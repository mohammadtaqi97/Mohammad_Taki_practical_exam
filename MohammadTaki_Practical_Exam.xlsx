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xr:revisionPtr revIDLastSave="0" documentId="8_{B2B2C7C8-CCEE-426D-88C3-51F6B7A81466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ataSet" sheetId="1" r:id="rId1"/>
    <sheet name="Data Analysis &amp; Visualisation" sheetId="2" r:id="rId2"/>
    <sheet name="Advanced  Formulas" sheetId="3" r:id="rId3"/>
  </sheets>
  <definedNames>
    <definedName name="Slicer_Category">#N/A</definedName>
    <definedName name="Slicer_Category1">#N/A</definedName>
    <definedName name="Slicer_Category2">#N/A</definedName>
    <definedName name="Slicer_City">#N/A</definedName>
    <definedName name="Slicer_Payment_Method">#N/A</definedName>
    <definedName name="Slicer_Payment_Method1">#N/A</definedName>
    <definedName name="Slicer_Product_Name">#N/A</definedName>
    <definedName name="Slicer_Region">#N/A</definedName>
    <definedName name="Slicer_Segment">#N/A</definedName>
    <definedName name="Slicer_State">#N/A</definedName>
  </definedNames>
  <calcPr calcId="191028"/>
  <pivotCaches>
    <pivotCache cacheId="9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2" i="3"/>
  <c r="G2" i="3"/>
  <c r="C2" i="3" a="1"/>
  <c r="C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D2" i="3" a="1"/>
  <c r="D2" i="3"/>
  <c r="E2" i="3"/>
  <c r="B2" i="3" a="1"/>
  <c r="B2" i="3"/>
  <c r="A2" i="3" a="1"/>
  <c r="A2" i="3"/>
  <c r="I2" i="3" l="1"/>
  <c r="H2" i="3"/>
  <c r="J2" i="3"/>
  <c r="F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<sst xmlns="http://schemas.openxmlformats.org/spreadsheetml/2006/main" count="10182" uniqueCount="1640">
  <si>
    <t>Order ID</t>
  </si>
  <si>
    <t>Order Date</t>
  </si>
  <si>
    <t>Ship Date</t>
  </si>
  <si>
    <t>Customer ID</t>
  </si>
  <si>
    <t>Customer Name</t>
  </si>
  <si>
    <t>Segment</t>
  </si>
  <si>
    <t>City</t>
  </si>
  <si>
    <t>State</t>
  </si>
  <si>
    <t>Region</t>
  </si>
  <si>
    <t>Category</t>
  </si>
  <si>
    <t>Product Name</t>
  </si>
  <si>
    <t>Sales</t>
  </si>
  <si>
    <t>Quantity</t>
  </si>
  <si>
    <t>Discount</t>
  </si>
  <si>
    <t>Profit</t>
  </si>
  <si>
    <t>Payment Method</t>
  </si>
  <si>
    <t>ORD-2025-00001</t>
  </si>
  <si>
    <t>CUST-0174</t>
  </si>
  <si>
    <t>Kiara Shah</t>
  </si>
  <si>
    <t>Home Office</t>
  </si>
  <si>
    <t>Bhavnagar</t>
  </si>
  <si>
    <t>Gujarat</t>
  </si>
  <si>
    <t>West</t>
  </si>
  <si>
    <t>Furniture</t>
  </si>
  <si>
    <t>Study Table</t>
  </si>
  <si>
    <t>Cash</t>
  </si>
  <si>
    <t>ORD-2024-00002</t>
  </si>
  <si>
    <t>CUST-0167</t>
  </si>
  <si>
    <t>Kiara Panjwani</t>
  </si>
  <si>
    <t>Consumer</t>
  </si>
  <si>
    <t>Office Supplies</t>
  </si>
  <si>
    <t>Pens Set</t>
  </si>
  <si>
    <t>ORD-2025-00003</t>
  </si>
  <si>
    <t>CUST-0056</t>
  </si>
  <si>
    <t>Aditya Shah</t>
  </si>
  <si>
    <t>Hyderabad</t>
  </si>
  <si>
    <t>Telangana</t>
  </si>
  <si>
    <t>South</t>
  </si>
  <si>
    <t>Electronics</t>
  </si>
  <si>
    <t>Keyboard</t>
  </si>
  <si>
    <t>ORD-2024-00004</t>
  </si>
  <si>
    <t>CUST-0138</t>
  </si>
  <si>
    <t>Anaya Sheikh</t>
  </si>
  <si>
    <t>Corporate</t>
  </si>
  <si>
    <t>Kolkata</t>
  </si>
  <si>
    <t>West Bengal</t>
  </si>
  <si>
    <t>East</t>
  </si>
  <si>
    <t>Drawer Unit</t>
  </si>
  <si>
    <t>UPI</t>
  </si>
  <si>
    <t>ORD-2025-00005</t>
  </si>
  <si>
    <t>CUST-0170</t>
  </si>
  <si>
    <t>Myra Iyer</t>
  </si>
  <si>
    <t>ORD-2026-00006</t>
  </si>
  <si>
    <t>CUST-0094</t>
  </si>
  <si>
    <t>Isha Trivedi</t>
  </si>
  <si>
    <t>USB Drive</t>
  </si>
  <si>
    <t>Credit Card</t>
  </si>
  <si>
    <t>ORD-2025-00007</t>
  </si>
  <si>
    <t>CUST-0042</t>
  </si>
  <si>
    <t>Rohan Panjwani</t>
  </si>
  <si>
    <t>Chennai</t>
  </si>
  <si>
    <t>Tamil Nadu</t>
  </si>
  <si>
    <t>Monitor</t>
  </si>
  <si>
    <t>Net Banking</t>
  </si>
  <si>
    <t>ORD-2024-00008</t>
  </si>
  <si>
    <t>CUST-0017</t>
  </si>
  <si>
    <t>Reyansh Sheikh</t>
  </si>
  <si>
    <t>Mumbai</t>
  </si>
  <si>
    <t>Maharashtra</t>
  </si>
  <si>
    <t>Debit Card</t>
  </si>
  <si>
    <t>ORD-2024-00009</t>
  </si>
  <si>
    <t>CUST-0191</t>
  </si>
  <si>
    <t>Kiara Soni</t>
  </si>
  <si>
    <t>Jaipur</t>
  </si>
  <si>
    <t>Rajasthan</t>
  </si>
  <si>
    <t>North</t>
  </si>
  <si>
    <t>Accessories</t>
  </si>
  <si>
    <t>Power Bank</t>
  </si>
  <si>
    <t>ORD-2025-00010</t>
  </si>
  <si>
    <t>CUST-0194</t>
  </si>
  <si>
    <t>Diya Rao</t>
  </si>
  <si>
    <t>Pune</t>
  </si>
  <si>
    <t>ORD-2025-00011</t>
  </si>
  <si>
    <t>CUST-0120</t>
  </si>
  <si>
    <t>Dev Joshi</t>
  </si>
  <si>
    <t>Cable Organizer</t>
  </si>
  <si>
    <t>ORD-2025-00012</t>
  </si>
  <si>
    <t>CUST-0117</t>
  </si>
  <si>
    <t>Aarav Verma</t>
  </si>
  <si>
    <t>Bookshelf</t>
  </si>
  <si>
    <t>ORD-2026-00013</t>
  </si>
  <si>
    <t>CUST-0164</t>
  </si>
  <si>
    <t>Dev Dave</t>
  </si>
  <si>
    <t>File Folder</t>
  </si>
  <si>
    <t>ORD-2025-00014</t>
  </si>
  <si>
    <t>CUST-0238</t>
  </si>
  <si>
    <t>Zoya Sheikh</t>
  </si>
  <si>
    <t>Surat</t>
  </si>
  <si>
    <t>ORD-2024-00015</t>
  </si>
  <si>
    <t>CUST-0137</t>
  </si>
  <si>
    <t>Vivaan Mehta</t>
  </si>
  <si>
    <t>Indore</t>
  </si>
  <si>
    <t>Madhya Pradesh</t>
  </si>
  <si>
    <t>Central</t>
  </si>
  <si>
    <t>Wireless Mouse</t>
  </si>
  <si>
    <t>ORD-2026-00016</t>
  </si>
  <si>
    <t>Reyansh Verma</t>
  </si>
  <si>
    <t>ORD-2025-00017</t>
  </si>
  <si>
    <t>Aditya Patel</t>
  </si>
  <si>
    <t>ORD-2024-00018</t>
  </si>
  <si>
    <t>CUST-0009</t>
  </si>
  <si>
    <t>Vadodara</t>
  </si>
  <si>
    <t>ORD-2024-00019</t>
  </si>
  <si>
    <t>CUST-0147</t>
  </si>
  <si>
    <t>Yusuf Khan</t>
  </si>
  <si>
    <t>ORD-2026-00020</t>
  </si>
  <si>
    <t>Diya Kapoor</t>
  </si>
  <si>
    <t>ORD-2024-00021</t>
  </si>
  <si>
    <t>CUST-0115</t>
  </si>
  <si>
    <t>Vivaan Panjwani</t>
  </si>
  <si>
    <t>Office Chair</t>
  </si>
  <si>
    <t>ORD-2025-00022</t>
  </si>
  <si>
    <t>CUST-0139</t>
  </si>
  <si>
    <t>Aarav Shah</t>
  </si>
  <si>
    <t>ORD-2025-00023</t>
  </si>
  <si>
    <t>CUST-0100</t>
  </si>
  <si>
    <t>Arjun Sheikh</t>
  </si>
  <si>
    <t>Stapler</t>
  </si>
  <si>
    <t>ORD-2025-00024</t>
  </si>
  <si>
    <t>CUST-0015</t>
  </si>
  <si>
    <t>Yusuf Verma</t>
  </si>
  <si>
    <t>Phone Stand</t>
  </si>
  <si>
    <t>ORD-2026-00025</t>
  </si>
  <si>
    <t>CUST-0136</t>
  </si>
  <si>
    <t>Isha Patel</t>
  </si>
  <si>
    <t>Ahmedabad</t>
  </si>
  <si>
    <t>ORD-2026-00026</t>
  </si>
  <si>
    <t>CUST-0146</t>
  </si>
  <si>
    <t>Myra Dave</t>
  </si>
  <si>
    <t>ORD-2025-00027</t>
  </si>
  <si>
    <t>CUST-0062</t>
  </si>
  <si>
    <t>Arjun Panjwani</t>
  </si>
  <si>
    <t>ORD-2025-00028</t>
  </si>
  <si>
    <t>CUST-0026</t>
  </si>
  <si>
    <t>Kabir Soni</t>
  </si>
  <si>
    <t>ORD-2024-00029</t>
  </si>
  <si>
    <t>CUST-0113</t>
  </si>
  <si>
    <t>Kiara Verma</t>
  </si>
  <si>
    <t>ORD-2026-00030</t>
  </si>
  <si>
    <t>CUST-0225</t>
  </si>
  <si>
    <t>Vivaan Joshi</t>
  </si>
  <si>
    <t>Delhi</t>
  </si>
  <si>
    <t>ORD-2026-00031</t>
  </si>
  <si>
    <t>CUST-0176</t>
  </si>
  <si>
    <t>Arjun Soni</t>
  </si>
  <si>
    <t>ORD-2026-00032</t>
  </si>
  <si>
    <t>CUST-0198</t>
  </si>
  <si>
    <t>Vivaan Kapoor</t>
  </si>
  <si>
    <t>ORD-2026-00033</t>
  </si>
  <si>
    <t>CUST-0227</t>
  </si>
  <si>
    <t>Vivaan Soni</t>
  </si>
  <si>
    <t>ORD-2025-00034</t>
  </si>
  <si>
    <t>CUST-0239</t>
  </si>
  <si>
    <t>Diya Sheikh</t>
  </si>
  <si>
    <t>ORD-2025-00035</t>
  </si>
  <si>
    <t>CUST-0237</t>
  </si>
  <si>
    <t>Myra Rao</t>
  </si>
  <si>
    <t>Bengaluru</t>
  </si>
  <si>
    <t>Karnataka</t>
  </si>
  <si>
    <t>Headphones</t>
  </si>
  <si>
    <t>ORD-2026-00036</t>
  </si>
  <si>
    <t>CUST-0208</t>
  </si>
  <si>
    <t>Myra Joshi</t>
  </si>
  <si>
    <t>Printer Paper</t>
  </si>
  <si>
    <t>ORD-2025-00037</t>
  </si>
  <si>
    <t>CUST-0211</t>
  </si>
  <si>
    <t>Myra Desai</t>
  </si>
  <si>
    <t>ORD-2025-00038</t>
  </si>
  <si>
    <t>Kiara Trivedi</t>
  </si>
  <si>
    <t>Rajkot</t>
  </si>
  <si>
    <t>ORD-2026-00039</t>
  </si>
  <si>
    <t>CUST-0187</t>
  </si>
  <si>
    <t>Aditya Panjwani</t>
  </si>
  <si>
    <t>ORD-2024-00040</t>
  </si>
  <si>
    <t>CUST-0134</t>
  </si>
  <si>
    <t>Kiara Kapoor</t>
  </si>
  <si>
    <t>ORD-2025-00041</t>
  </si>
  <si>
    <t>CUST-0185</t>
  </si>
  <si>
    <t>Sara Soni</t>
  </si>
  <si>
    <t>ORD-2024-00042</t>
  </si>
  <si>
    <t>CUST-0241</t>
  </si>
  <si>
    <t>Krish Kapoor</t>
  </si>
  <si>
    <t>ORD-2025-00043</t>
  </si>
  <si>
    <t>CUST-0111</t>
  </si>
  <si>
    <t>Yusuf Dave</t>
  </si>
  <si>
    <t>ORD-2025-00044</t>
  </si>
  <si>
    <t>CUST-0022</t>
  </si>
  <si>
    <t>ORD-2024-00045</t>
  </si>
  <si>
    <t>CUST-0012</t>
  </si>
  <si>
    <t>Myra Khan</t>
  </si>
  <si>
    <t>ORD-2025-00046</t>
  </si>
  <si>
    <t>CUST-0168</t>
  </si>
  <si>
    <t>Aarav Sheikh</t>
  </si>
  <si>
    <t>ORD-2024-00047</t>
  </si>
  <si>
    <t>CUST-0206</t>
  </si>
  <si>
    <t>Rohan Kapoor</t>
  </si>
  <si>
    <t>Laptop Bag</t>
  </si>
  <si>
    <t>ORD-2025-00048</t>
  </si>
  <si>
    <t>CUST-0041</t>
  </si>
  <si>
    <t>Fatima Khan</t>
  </si>
  <si>
    <t>ORD-2026-00049</t>
  </si>
  <si>
    <t>CUST-0074</t>
  </si>
  <si>
    <t>ORD-2026-00050</t>
  </si>
  <si>
    <t>CUST-0181</t>
  </si>
  <si>
    <t>Reyansh Shah</t>
  </si>
  <si>
    <t>ORD-2024-00051</t>
  </si>
  <si>
    <t>ORD-2025-00052</t>
  </si>
  <si>
    <t>CUST-0189</t>
  </si>
  <si>
    <t>Kiara Iyer</t>
  </si>
  <si>
    <t>ORD-2025-00053</t>
  </si>
  <si>
    <t>Krish Verma</t>
  </si>
  <si>
    <t>ORD-2026-00054</t>
  </si>
  <si>
    <t>CUST-0035</t>
  </si>
  <si>
    <t>Rohan Mehta</t>
  </si>
  <si>
    <t>Lucknow</t>
  </si>
  <si>
    <t>Uttar Pradesh</t>
  </si>
  <si>
    <t>ORD-2025-00055</t>
  </si>
  <si>
    <t>CUST-0244</t>
  </si>
  <si>
    <t>Aanya Joshi</t>
  </si>
  <si>
    <t>Webcam</t>
  </si>
  <si>
    <t>ORD-2024-00056</t>
  </si>
  <si>
    <t>CUST-0246</t>
  </si>
  <si>
    <t>Diya Iyer</t>
  </si>
  <si>
    <t>ORD-2024-00057</t>
  </si>
  <si>
    <t>CUST-0145</t>
  </si>
  <si>
    <t>Reyansh Khan</t>
  </si>
  <si>
    <t>ORD-2026-00058</t>
  </si>
  <si>
    <t>Sara Dave</t>
  </si>
  <si>
    <t>ORD-2025-00059</t>
  </si>
  <si>
    <t>CUST-0078</t>
  </si>
  <si>
    <t>Meera Iyer</t>
  </si>
  <si>
    <t>ORD-2026-00060</t>
  </si>
  <si>
    <t>CUST-0004</t>
  </si>
  <si>
    <t>Aanya Rao</t>
  </si>
  <si>
    <t>ORD-2025-00061</t>
  </si>
  <si>
    <t>CUST-0248</t>
  </si>
  <si>
    <t>Arjun Dave</t>
  </si>
  <si>
    <t>ORD-2025-00062</t>
  </si>
  <si>
    <t>CUST-0116</t>
  </si>
  <si>
    <t>ORD-2025-00063</t>
  </si>
  <si>
    <t>CUST-0055</t>
  </si>
  <si>
    <t>Zoya Iyer</t>
  </si>
  <si>
    <t>ORD-2024-00064</t>
  </si>
  <si>
    <t>Myra Verma</t>
  </si>
  <si>
    <t>ORD-2025-00065</t>
  </si>
  <si>
    <t>CUST-0057</t>
  </si>
  <si>
    <t>ORD-2025-00066</t>
  </si>
  <si>
    <t>CUST-0141</t>
  </si>
  <si>
    <t>Aditya Trivedi</t>
  </si>
  <si>
    <t>ORD-2024-00067</t>
  </si>
  <si>
    <t>Isha Desai</t>
  </si>
  <si>
    <t>Notebook Pack</t>
  </si>
  <si>
    <t>ORD-2024-00068</t>
  </si>
  <si>
    <t>CUST-0046</t>
  </si>
  <si>
    <t>Sara Patel</t>
  </si>
  <si>
    <t>ORD-2024-00069</t>
  </si>
  <si>
    <t>Fatima Shah</t>
  </si>
  <si>
    <t>ORD-2024-00070</t>
  </si>
  <si>
    <t>CUST-0221</t>
  </si>
  <si>
    <t>ORD-2025-00071</t>
  </si>
  <si>
    <t>Myra Shah</t>
  </si>
  <si>
    <t>ORD-2025-00072</t>
  </si>
  <si>
    <t>CUST-0077</t>
  </si>
  <si>
    <t>Yusuf Panjwani</t>
  </si>
  <si>
    <t>ORD-2025-00073</t>
  </si>
  <si>
    <t>Myra Mehta</t>
  </si>
  <si>
    <t>ORD-2024-00074</t>
  </si>
  <si>
    <t>Sara Verma</t>
  </si>
  <si>
    <t>ORD-2025-00075</t>
  </si>
  <si>
    <t>CUST-0058</t>
  </si>
  <si>
    <t>Vivaan Sheikh</t>
  </si>
  <si>
    <t>ORD-2024-00076</t>
  </si>
  <si>
    <t>CUST-0177</t>
  </si>
  <si>
    <t>ORD-2025-00077</t>
  </si>
  <si>
    <t>CUST-0155</t>
  </si>
  <si>
    <t>Arjun Patel</t>
  </si>
  <si>
    <t>ORD-2026-00078</t>
  </si>
  <si>
    <t>Rohan Sheikh</t>
  </si>
  <si>
    <t>ORD-2025-00079</t>
  </si>
  <si>
    <t>CUST-0083</t>
  </si>
  <si>
    <t>Anaya Rao</t>
  </si>
  <si>
    <t>ORD-2025-00080</t>
  </si>
  <si>
    <t>CUST-0065</t>
  </si>
  <si>
    <t>Desk Lamp</t>
  </si>
  <si>
    <t>ORD-2026-00081</t>
  </si>
  <si>
    <t>CUST-0160</t>
  </si>
  <si>
    <t>Fatima Kapoor</t>
  </si>
  <si>
    <t>ORD-2024-00082</t>
  </si>
  <si>
    <t>CUST-0008</t>
  </si>
  <si>
    <t>ORD-2024-00083</t>
  </si>
  <si>
    <t>CUST-0031</t>
  </si>
  <si>
    <t>Vivaan Khan</t>
  </si>
  <si>
    <t>ORD-2025-00084</t>
  </si>
  <si>
    <t>CUST-0038</t>
  </si>
  <si>
    <t>Krish Desai</t>
  </si>
  <si>
    <t>ORD-2026-00085</t>
  </si>
  <si>
    <t>CUST-0130</t>
  </si>
  <si>
    <t>Arjun Rao</t>
  </si>
  <si>
    <t>ORD-2026-00086</t>
  </si>
  <si>
    <t>CUST-0086</t>
  </si>
  <si>
    <t>ORD-2025-00087</t>
  </si>
  <si>
    <t>CUST-0106</t>
  </si>
  <si>
    <t>Diya Trivedi</t>
  </si>
  <si>
    <t>ORD-2025-00088</t>
  </si>
  <si>
    <t>Yusuf Trivedi</t>
  </si>
  <si>
    <t>ORD-2024-00089</t>
  </si>
  <si>
    <t>CUST-0249</t>
  </si>
  <si>
    <t>Vivaan Shah</t>
  </si>
  <si>
    <t>ORD-2024-00090</t>
  </si>
  <si>
    <t>CUST-0098</t>
  </si>
  <si>
    <t>Aditya Kapoor</t>
  </si>
  <si>
    <t>ORD-2026-00091</t>
  </si>
  <si>
    <t>CUST-0112</t>
  </si>
  <si>
    <t>Anaya Iyer</t>
  </si>
  <si>
    <t>ORD-2025-00092</t>
  </si>
  <si>
    <t>CUST-0076</t>
  </si>
  <si>
    <t>Zoya Trivedi</t>
  </si>
  <si>
    <t>ORD-2024-00093</t>
  </si>
  <si>
    <t>Meera Kapoor</t>
  </si>
  <si>
    <t>ORD-2026-00094</t>
  </si>
  <si>
    <t>CUST-0003</t>
  </si>
  <si>
    <t>ORD-2024-00095</t>
  </si>
  <si>
    <t>Arjun Khan</t>
  </si>
  <si>
    <t>ORD-2025-00096</t>
  </si>
  <si>
    <t>ORD-2024-00097</t>
  </si>
  <si>
    <t>CUST-0059</t>
  </si>
  <si>
    <t>ORD-2025-00098</t>
  </si>
  <si>
    <t>CUST-0080</t>
  </si>
  <si>
    <t>Rohan Patel</t>
  </si>
  <si>
    <t>ORD-2026-00099</t>
  </si>
  <si>
    <t>CUST-0202</t>
  </si>
  <si>
    <t>Kiara Sheikh</t>
  </si>
  <si>
    <t>ORD-2025-00100</t>
  </si>
  <si>
    <t>CUST-0087</t>
  </si>
  <si>
    <t>Anaya Khan</t>
  </si>
  <si>
    <t>ORD-2026-00101</t>
  </si>
  <si>
    <t>ORD-2025-00102</t>
  </si>
  <si>
    <t>CUST-0028</t>
  </si>
  <si>
    <t>ORD-2026-00103</t>
  </si>
  <si>
    <t>CUST-0105</t>
  </si>
  <si>
    <t>Anaya Mehta</t>
  </si>
  <si>
    <t>ORD-2024-00104</t>
  </si>
  <si>
    <t>CUST-0172</t>
  </si>
  <si>
    <t>ORD-2026-00105</t>
  </si>
  <si>
    <t>CUST-0095</t>
  </si>
  <si>
    <t>ORD-2026-00106</t>
  </si>
  <si>
    <t>CUST-0049</t>
  </si>
  <si>
    <t>ORD-2025-00107</t>
  </si>
  <si>
    <t>Yusuf Desai</t>
  </si>
  <si>
    <t>ORD-2024-00108</t>
  </si>
  <si>
    <t>CUST-0220</t>
  </si>
  <si>
    <t>ORD-2026-00109</t>
  </si>
  <si>
    <t>CUST-0061</t>
  </si>
  <si>
    <t>ORD-2024-00110</t>
  </si>
  <si>
    <t>Zoya Soni</t>
  </si>
  <si>
    <t>ORD-2025-00111</t>
  </si>
  <si>
    <t>Diya Khan</t>
  </si>
  <si>
    <t>ORD-2025-00112</t>
  </si>
  <si>
    <t>ORD-2025-00113</t>
  </si>
  <si>
    <t>ORD-2026-00114</t>
  </si>
  <si>
    <t>CUST-0212</t>
  </si>
  <si>
    <t>ORD-2024-00115</t>
  </si>
  <si>
    <t>CUST-0018</t>
  </si>
  <si>
    <t>Kabir Rao</t>
  </si>
  <si>
    <t>ORD-2025-00116</t>
  </si>
  <si>
    <t>CUST-0144</t>
  </si>
  <si>
    <t>ORD-2024-00117</t>
  </si>
  <si>
    <t>CUST-0027</t>
  </si>
  <si>
    <t>Yusuf Soni</t>
  </si>
  <si>
    <t>ORD-2025-00118</t>
  </si>
  <si>
    <t>ORD-2026-00119</t>
  </si>
  <si>
    <t>CUST-0180</t>
  </si>
  <si>
    <t>Sara Sheikh</t>
  </si>
  <si>
    <t>ORD-2024-00120</t>
  </si>
  <si>
    <t>CUST-0163</t>
  </si>
  <si>
    <t>ORD-2024-00121</t>
  </si>
  <si>
    <t>CUST-0084</t>
  </si>
  <si>
    <t>ORD-2024-00122</t>
  </si>
  <si>
    <t>CUST-0125</t>
  </si>
  <si>
    <t>Meera Khan</t>
  </si>
  <si>
    <t>ORD-2024-00123</t>
  </si>
  <si>
    <t>ORD-2024-00124</t>
  </si>
  <si>
    <t>CUST-0197</t>
  </si>
  <si>
    <t>Vivaan Iyer</t>
  </si>
  <si>
    <t>ORD-2024-00125</t>
  </si>
  <si>
    <t>Myra Soni</t>
  </si>
  <si>
    <t>ORD-2024-00126</t>
  </si>
  <si>
    <t>Aditya Dave</t>
  </si>
  <si>
    <t>ORD-2025-00127</t>
  </si>
  <si>
    <t>Isha Iyer</t>
  </si>
  <si>
    <t>ORD-2026-00128</t>
  </si>
  <si>
    <t>CUST-0151</t>
  </si>
  <si>
    <t>Krish Soni</t>
  </si>
  <si>
    <t>ORD-2026-00129</t>
  </si>
  <si>
    <t>Anaya Soni</t>
  </si>
  <si>
    <t>ORD-2026-00130</t>
  </si>
  <si>
    <t>CUST-0051</t>
  </si>
  <si>
    <t>Isha Dave</t>
  </si>
  <si>
    <t>ORD-2024-00131</t>
  </si>
  <si>
    <t>Meera Trivedi</t>
  </si>
  <si>
    <t>ORD-2024-00132</t>
  </si>
  <si>
    <t>CUST-0091</t>
  </si>
  <si>
    <t>Dev Shah</t>
  </si>
  <si>
    <t>ORD-2025-00133</t>
  </si>
  <si>
    <t>CUST-0219</t>
  </si>
  <si>
    <t>Kabir Dave</t>
  </si>
  <si>
    <t>ORD-2025-00134</t>
  </si>
  <si>
    <t>CUST-0129</t>
  </si>
  <si>
    <t>Vivaan Patel</t>
  </si>
  <si>
    <t>ORD-2026-00135</t>
  </si>
  <si>
    <t>Rohan Soni</t>
  </si>
  <si>
    <t>ORD-2024-00136</t>
  </si>
  <si>
    <t>CUST-0014</t>
  </si>
  <si>
    <t>ORD-2025-00137</t>
  </si>
  <si>
    <t>ORD-2026-00138</t>
  </si>
  <si>
    <t>CUST-0165</t>
  </si>
  <si>
    <t>Aditya Rao</t>
  </si>
  <si>
    <t>ORD-2024-00139</t>
  </si>
  <si>
    <t>CUST-0047</t>
  </si>
  <si>
    <t>Reyansh Trivedi</t>
  </si>
  <si>
    <t>ORD-2024-00140</t>
  </si>
  <si>
    <t>CUST-0214</t>
  </si>
  <si>
    <t>Dev Patel</t>
  </si>
  <si>
    <t>ORD-2026-00141</t>
  </si>
  <si>
    <t>CUST-0213</t>
  </si>
  <si>
    <t>ORD-2024-00142</t>
  </si>
  <si>
    <t>CUST-0060</t>
  </si>
  <si>
    <t>Kiara Desai</t>
  </si>
  <si>
    <t>ORD-2026-00143</t>
  </si>
  <si>
    <t>CUST-0200</t>
  </si>
  <si>
    <t>ORD-2026-00144</t>
  </si>
  <si>
    <t>CUST-0124</t>
  </si>
  <si>
    <t>ORD-2026-00145</t>
  </si>
  <si>
    <t>Aanya Shah</t>
  </si>
  <si>
    <t>ORD-2026-00146</t>
  </si>
  <si>
    <t>Krish Shah</t>
  </si>
  <si>
    <t>ORD-2024-00147</t>
  </si>
  <si>
    <t>CUST-0235</t>
  </si>
  <si>
    <t>Fatima Verma</t>
  </si>
  <si>
    <t>ORD-2025-00148</t>
  </si>
  <si>
    <t>Meera Soni</t>
  </si>
  <si>
    <t>ORD-2026-00149</t>
  </si>
  <si>
    <t>CUST-0204</t>
  </si>
  <si>
    <t>ORD-2026-00150</t>
  </si>
  <si>
    <t>CUST-0110</t>
  </si>
  <si>
    <t>Aarav Dave</t>
  </si>
  <si>
    <t>ORD-2025-00151</t>
  </si>
  <si>
    <t>CUST-0140</t>
  </si>
  <si>
    <t>Dev Iyer</t>
  </si>
  <si>
    <t>ORD-2024-00152</t>
  </si>
  <si>
    <t>CUST-0005</t>
  </si>
  <si>
    <t>ORD-2024-00153</t>
  </si>
  <si>
    <t>ORD-2026-00154</t>
  </si>
  <si>
    <t>CUST-0199</t>
  </si>
  <si>
    <t>ORD-2024-00155</t>
  </si>
  <si>
    <t>CUST-0209</t>
  </si>
  <si>
    <t>Kiara Khan</t>
  </si>
  <si>
    <t>ORD-2026-00156</t>
  </si>
  <si>
    <t>CUST-0032</t>
  </si>
  <si>
    <t>Zoya Panjwani</t>
  </si>
  <si>
    <t>ORD-2026-00157</t>
  </si>
  <si>
    <t>CUST-0133</t>
  </si>
  <si>
    <t>Arjun Iyer</t>
  </si>
  <si>
    <t>ORD-2024-00158</t>
  </si>
  <si>
    <t>Sara Joshi</t>
  </si>
  <si>
    <t>ORD-2026-00159</t>
  </si>
  <si>
    <t>CUST-0234</t>
  </si>
  <si>
    <t>Zoya Dave</t>
  </si>
  <si>
    <t>ORD-2025-00160</t>
  </si>
  <si>
    <t>ORD-2025-00161</t>
  </si>
  <si>
    <t>ORD-2025-00162</t>
  </si>
  <si>
    <t>ORD-2024-00163</t>
  </si>
  <si>
    <t>Krish Sheikh</t>
  </si>
  <si>
    <t>ORD-2024-00164</t>
  </si>
  <si>
    <t>CUST-0126</t>
  </si>
  <si>
    <t>ORD-2025-00165</t>
  </si>
  <si>
    <t>ORD-2026-00166</t>
  </si>
  <si>
    <t>CUST-0203</t>
  </si>
  <si>
    <t>Vivaan Desai</t>
  </si>
  <si>
    <t>ORD-2025-00167</t>
  </si>
  <si>
    <t>Sara Panjwani</t>
  </si>
  <si>
    <t>ORD-2025-00168</t>
  </si>
  <si>
    <t>Kabir Khan</t>
  </si>
  <si>
    <t>ORD-2024-00169</t>
  </si>
  <si>
    <t>ORD-2024-00170</t>
  </si>
  <si>
    <t>Kiara Joshi</t>
  </si>
  <si>
    <t>ORD-2025-00171</t>
  </si>
  <si>
    <t>ORD-2026-00172</t>
  </si>
  <si>
    <t>Aanya Dave</t>
  </si>
  <si>
    <t>ORD-2025-00173</t>
  </si>
  <si>
    <t>Krish Joshi</t>
  </si>
  <si>
    <t>ORD-2025-00174</t>
  </si>
  <si>
    <t>CUST-0156</t>
  </si>
  <si>
    <t>Vivaan Trivedi</t>
  </si>
  <si>
    <t>ORD-2026-00175</t>
  </si>
  <si>
    <t>CUST-0082</t>
  </si>
  <si>
    <t>ORD-2025-00176</t>
  </si>
  <si>
    <t>CUST-0108</t>
  </si>
  <si>
    <t>ORD-2026-00177</t>
  </si>
  <si>
    <t>Fatima Sheikh</t>
  </si>
  <si>
    <t>ORD-2024-00178</t>
  </si>
  <si>
    <t>CUST-0013</t>
  </si>
  <si>
    <t>Sara Khan</t>
  </si>
  <si>
    <t>ORD-2024-00179</t>
  </si>
  <si>
    <t>CUST-0196</t>
  </si>
  <si>
    <t>Krish Trivedi</t>
  </si>
  <si>
    <t>ORD-2024-00180</t>
  </si>
  <si>
    <t>ORD-2024-00181</t>
  </si>
  <si>
    <t>ORD-2025-00182</t>
  </si>
  <si>
    <t>CUST-0122</t>
  </si>
  <si>
    <t>Dev Khan</t>
  </si>
  <si>
    <t>ORD-2026-00183</t>
  </si>
  <si>
    <t>CUST-0158</t>
  </si>
  <si>
    <t>ORD-2026-00184</t>
  </si>
  <si>
    <t>ORD-2025-00185</t>
  </si>
  <si>
    <t>CUST-0201</t>
  </si>
  <si>
    <t>ORD-2025-00186</t>
  </si>
  <si>
    <t>Anaya Desai</t>
  </si>
  <si>
    <t>ORD-2024-00187</t>
  </si>
  <si>
    <t>CUST-0236</t>
  </si>
  <si>
    <t>Fatima Rao</t>
  </si>
  <si>
    <t>ORD-2025-00188</t>
  </si>
  <si>
    <t>CUST-0097</t>
  </si>
  <si>
    <t>Aditya Mehta</t>
  </si>
  <si>
    <t>ORD-2024-00189</t>
  </si>
  <si>
    <t>CUST-0072</t>
  </si>
  <si>
    <t>ORD-2026-00190</t>
  </si>
  <si>
    <t>CUST-0240</t>
  </si>
  <si>
    <t>Arjun Joshi</t>
  </si>
  <si>
    <t>ORD-2025-00191</t>
  </si>
  <si>
    <t>CUST-0245</t>
  </si>
  <si>
    <t>Kabir Trivedi</t>
  </si>
  <si>
    <t>ORD-2026-00192</t>
  </si>
  <si>
    <t>CUST-0036</t>
  </si>
  <si>
    <t>Anaya Dave</t>
  </si>
  <si>
    <t>ORD-2024-00193</t>
  </si>
  <si>
    <t>CUST-0184</t>
  </si>
  <si>
    <t>ORD-2024-00194</t>
  </si>
  <si>
    <t>Sara Trivedi</t>
  </si>
  <si>
    <t>ORD-2026-00195</t>
  </si>
  <si>
    <t>CUST-0215</t>
  </si>
  <si>
    <t>Isha Sheikh</t>
  </si>
  <si>
    <t>ORD-2026-00196</t>
  </si>
  <si>
    <t>Aditya Joshi</t>
  </si>
  <si>
    <t>ORD-2025-00197</t>
  </si>
  <si>
    <t>CUST-0029</t>
  </si>
  <si>
    <t>ORD-2025-00198</t>
  </si>
  <si>
    <t>Reyansh Mehta</t>
  </si>
  <si>
    <t>ORD-2026-00199</t>
  </si>
  <si>
    <t>Fatima Trivedi</t>
  </si>
  <si>
    <t>ORD-2024-00200</t>
  </si>
  <si>
    <t>Aarav Joshi</t>
  </si>
  <si>
    <t>ORD-2025-00201</t>
  </si>
  <si>
    <t>ORD-2025-00202</t>
  </si>
  <si>
    <t>ORD-2026-00203</t>
  </si>
  <si>
    <t>Zoya Shah</t>
  </si>
  <si>
    <t>ORD-2024-00204</t>
  </si>
  <si>
    <t>Rohan Shah</t>
  </si>
  <si>
    <t>ORD-2026-00205</t>
  </si>
  <si>
    <t>CUST-0132</t>
  </si>
  <si>
    <t>Aanya Khan</t>
  </si>
  <si>
    <t>ORD-2025-00206</t>
  </si>
  <si>
    <t>Reyansh Dave</t>
  </si>
  <si>
    <t>ORD-2025-00207</t>
  </si>
  <si>
    <t>CUST-0121</t>
  </si>
  <si>
    <t>Diya Joshi</t>
  </si>
  <si>
    <t>ORD-2026-00208</t>
  </si>
  <si>
    <t>CUST-0233</t>
  </si>
  <si>
    <t>Krish Panjwani</t>
  </si>
  <si>
    <t>ORD-2024-00209</t>
  </si>
  <si>
    <t>CUST-0033</t>
  </si>
  <si>
    <t>ORD-2024-00210</t>
  </si>
  <si>
    <t>CUST-0089</t>
  </si>
  <si>
    <t>ORD-2024-00211</t>
  </si>
  <si>
    <t>Meera Patel</t>
  </si>
  <si>
    <t>ORD-2025-00212</t>
  </si>
  <si>
    <t>Reyansh Iyer</t>
  </si>
  <si>
    <t>ORD-2025-00213</t>
  </si>
  <si>
    <t>CUST-0037</t>
  </si>
  <si>
    <t>Dev Desai</t>
  </si>
  <si>
    <t>ORD-2024-00214</t>
  </si>
  <si>
    <t>CUST-0242</t>
  </si>
  <si>
    <t>Krish Iyer</t>
  </si>
  <si>
    <t>ORD-2025-00215</t>
  </si>
  <si>
    <t>ORD-2026-00216</t>
  </si>
  <si>
    <t>ORD-2024-00217</t>
  </si>
  <si>
    <t>ORD-2025-00218</t>
  </si>
  <si>
    <t>ORD-2026-00219</t>
  </si>
  <si>
    <t>CUST-0053</t>
  </si>
  <si>
    <t>ORD-2024-00220</t>
  </si>
  <si>
    <t>ORD-2026-00221</t>
  </si>
  <si>
    <t>CUST-0222</t>
  </si>
  <si>
    <t>ORD-2024-00222</t>
  </si>
  <si>
    <t>Yusuf Rao</t>
  </si>
  <si>
    <t>ORD-2025-00223</t>
  </si>
  <si>
    <t>ORD-2024-00224</t>
  </si>
  <si>
    <t>CUST-0217</t>
  </si>
  <si>
    <t>ORD-2026-00225</t>
  </si>
  <si>
    <t>ORD-2025-00226</t>
  </si>
  <si>
    <t>Aarav Patel</t>
  </si>
  <si>
    <t>ORD-2025-00227</t>
  </si>
  <si>
    <t>ORD-2026-00228</t>
  </si>
  <si>
    <t>CUST-0063</t>
  </si>
  <si>
    <t>ORD-2025-00229</t>
  </si>
  <si>
    <t>ORD-2024-00230</t>
  </si>
  <si>
    <t>ORD-2025-00231</t>
  </si>
  <si>
    <t>CUST-0081</t>
  </si>
  <si>
    <t>Aarav Desai</t>
  </si>
  <si>
    <t>ORD-2026-00232</t>
  </si>
  <si>
    <t>ORD-2025-00233</t>
  </si>
  <si>
    <t>ORD-2026-00234</t>
  </si>
  <si>
    <t>CUST-0092</t>
  </si>
  <si>
    <t>ORD-2025-00235</t>
  </si>
  <si>
    <t>Arjun Mehta</t>
  </si>
  <si>
    <t>ORD-2026-00236</t>
  </si>
  <si>
    <t>CUST-0114</t>
  </si>
  <si>
    <t>ORD-2024-00237</t>
  </si>
  <si>
    <t>ORD-2026-00238</t>
  </si>
  <si>
    <t>ORD-2025-00239</t>
  </si>
  <si>
    <t>CUST-0127</t>
  </si>
  <si>
    <t>ORD-2024-00240</t>
  </si>
  <si>
    <t>Fatima Dave</t>
  </si>
  <si>
    <t>ORD-2025-00241</t>
  </si>
  <si>
    <t>Aditya Khan</t>
  </si>
  <si>
    <t>ORD-2026-00242</t>
  </si>
  <si>
    <t>CUST-0052</t>
  </si>
  <si>
    <t>ORD-2026-00243</t>
  </si>
  <si>
    <t>CUST-0210</t>
  </si>
  <si>
    <t>ORD-2024-00244</t>
  </si>
  <si>
    <t>CUST-0182</t>
  </si>
  <si>
    <t>ORD-2026-00245</t>
  </si>
  <si>
    <t>Vivaan Verma</t>
  </si>
  <si>
    <t>ORD-2024-00246</t>
  </si>
  <si>
    <t>Aanya Soni</t>
  </si>
  <si>
    <t>ORD-2025-00247</t>
  </si>
  <si>
    <t>CUST-0043</t>
  </si>
  <si>
    <t>ORD-2026-00248</t>
  </si>
  <si>
    <t>CUST-0131</t>
  </si>
  <si>
    <t>Dev Soni</t>
  </si>
  <si>
    <t>ORD-2024-00249</t>
  </si>
  <si>
    <t>Anaya Joshi</t>
  </si>
  <si>
    <t>ORD-2024-00250</t>
  </si>
  <si>
    <t>ORD-2024-00251</t>
  </si>
  <si>
    <t>Anaya Patel</t>
  </si>
  <si>
    <t>ORD-2025-00252</t>
  </si>
  <si>
    <t>ORD-2025-00253</t>
  </si>
  <si>
    <t>Rohan Dave</t>
  </si>
  <si>
    <t>ORD-2024-00254</t>
  </si>
  <si>
    <t>CUST-0224</t>
  </si>
  <si>
    <t>Kiara Mehta</t>
  </si>
  <si>
    <t>ORD-2024-00255</t>
  </si>
  <si>
    <t>CUST-0101</t>
  </si>
  <si>
    <t>Yusuf Shah</t>
  </si>
  <si>
    <t>ORD-2026-00256</t>
  </si>
  <si>
    <t>ORD-2025-00257</t>
  </si>
  <si>
    <t>CUST-0048</t>
  </si>
  <si>
    <t>ORD-2025-00258</t>
  </si>
  <si>
    <t>CUST-0159</t>
  </si>
  <si>
    <t>ORD-2025-00259</t>
  </si>
  <si>
    <t>CUST-0107</t>
  </si>
  <si>
    <t>Rohan Khan</t>
  </si>
  <si>
    <t>ORD-2025-00260</t>
  </si>
  <si>
    <t>ORD-2026-00261</t>
  </si>
  <si>
    <t>Kiara Rao</t>
  </si>
  <si>
    <t>ORD-2026-00262</t>
  </si>
  <si>
    <t>ORD-2024-00263</t>
  </si>
  <si>
    <t>ORD-2025-00264</t>
  </si>
  <si>
    <t>ORD-2024-00265</t>
  </si>
  <si>
    <t>ORD-2024-00266</t>
  </si>
  <si>
    <t>ORD-2025-00267</t>
  </si>
  <si>
    <t>Kabir Panjwani</t>
  </si>
  <si>
    <t>ORD-2025-00268</t>
  </si>
  <si>
    <t>ORD-2026-00269</t>
  </si>
  <si>
    <t>ORD-2024-00270</t>
  </si>
  <si>
    <t>ORD-2025-00271</t>
  </si>
  <si>
    <t>Arjun Shah</t>
  </si>
  <si>
    <t>ORD-2024-00272</t>
  </si>
  <si>
    <t>Myra Panjwani</t>
  </si>
  <si>
    <t>ORD-2025-00273</t>
  </si>
  <si>
    <t>ORD-2026-00274</t>
  </si>
  <si>
    <t>CUST-0023</t>
  </si>
  <si>
    <t>Anaya Shah</t>
  </si>
  <si>
    <t>ORD-2026-00275</t>
  </si>
  <si>
    <t>ORD-2024-00276</t>
  </si>
  <si>
    <t>ORD-2026-00277</t>
  </si>
  <si>
    <t>ORD-2026-00278</t>
  </si>
  <si>
    <t>ORD-2026-00279</t>
  </si>
  <si>
    <t>CUST-0153</t>
  </si>
  <si>
    <t>ORD-2026-00280</t>
  </si>
  <si>
    <t>CUST-0045</t>
  </si>
  <si>
    <t>Fatima Iyer</t>
  </si>
  <si>
    <t>ORD-2025-00281</t>
  </si>
  <si>
    <t>CUST-0102</t>
  </si>
  <si>
    <t>ORD-2026-00282</t>
  </si>
  <si>
    <t>CUST-0021</t>
  </si>
  <si>
    <t>Dev Sheikh</t>
  </si>
  <si>
    <t>ORD-2025-00283</t>
  </si>
  <si>
    <t>Diya Desai</t>
  </si>
  <si>
    <t>ORD-2024-00284</t>
  </si>
  <si>
    <t>Aarav Mehta</t>
  </si>
  <si>
    <t>ORD-2025-00285</t>
  </si>
  <si>
    <t>Arjun Verma</t>
  </si>
  <si>
    <t>ORD-2024-00286</t>
  </si>
  <si>
    <t>CUST-0148</t>
  </si>
  <si>
    <t>ORD-2025-00287</t>
  </si>
  <si>
    <t>CUST-0229</t>
  </si>
  <si>
    <t>Yusuf Kapoor</t>
  </si>
  <si>
    <t>ORD-2024-00288</t>
  </si>
  <si>
    <t>ORD-2026-00289</t>
  </si>
  <si>
    <t>ORD-2025-00290</t>
  </si>
  <si>
    <t>ORD-2026-00291</t>
  </si>
  <si>
    <t>CUST-0075</t>
  </si>
  <si>
    <t>Yusuf Iyer</t>
  </si>
  <si>
    <t>ORD-2024-00292</t>
  </si>
  <si>
    <t>ORD-2025-00293</t>
  </si>
  <si>
    <t>Sara Shah</t>
  </si>
  <si>
    <t>ORD-2024-00294</t>
  </si>
  <si>
    <t>Dev Panjwani</t>
  </si>
  <si>
    <t>ORD-2025-00295</t>
  </si>
  <si>
    <t>CUST-0020</t>
  </si>
  <si>
    <t>ORD-2025-00296</t>
  </si>
  <si>
    <t>ORD-2024-00297</t>
  </si>
  <si>
    <t>Rohan Trivedi</t>
  </si>
  <si>
    <t>ORD-2025-00298</t>
  </si>
  <si>
    <t>Kabir Mehta</t>
  </si>
  <si>
    <t>ORD-2026-00299</t>
  </si>
  <si>
    <t>CUST-0064</t>
  </si>
  <si>
    <t>ORD-2025-00300</t>
  </si>
  <si>
    <t>ORD-2026-00301</t>
  </si>
  <si>
    <t>ORD-2025-00302</t>
  </si>
  <si>
    <t>ORD-2024-00303</t>
  </si>
  <si>
    <t>ORD-2024-00304</t>
  </si>
  <si>
    <t>Meera Dave</t>
  </si>
  <si>
    <t>ORD-2025-00305</t>
  </si>
  <si>
    <t>CUST-0099</t>
  </si>
  <si>
    <t>ORD-2024-00306</t>
  </si>
  <si>
    <t>ORD-2024-00307</t>
  </si>
  <si>
    <t>CUST-0230</t>
  </si>
  <si>
    <t>ORD-2025-00308</t>
  </si>
  <si>
    <t>CUST-0069</t>
  </si>
  <si>
    <t>ORD-2026-00309</t>
  </si>
  <si>
    <t>ORD-2025-00310</t>
  </si>
  <si>
    <t>Fatima Patel</t>
  </si>
  <si>
    <t>ORD-2024-00311</t>
  </si>
  <si>
    <t>ORD-2026-00312</t>
  </si>
  <si>
    <t>ORD-2026-00313</t>
  </si>
  <si>
    <t>Isha Verma</t>
  </si>
  <si>
    <t>ORD-2025-00314</t>
  </si>
  <si>
    <t>Sara Mehta</t>
  </si>
  <si>
    <t>ORD-2026-00315</t>
  </si>
  <si>
    <t>Meera Desai</t>
  </si>
  <si>
    <t>ORD-2024-00316</t>
  </si>
  <si>
    <t>ORD-2025-00317</t>
  </si>
  <si>
    <t>ORD-2026-00318</t>
  </si>
  <si>
    <t>ORD-2024-00319</t>
  </si>
  <si>
    <t>ORD-2024-00320</t>
  </si>
  <si>
    <t>ORD-2024-00321</t>
  </si>
  <si>
    <t>ORD-2024-00322</t>
  </si>
  <si>
    <t>CUST-0001</t>
  </si>
  <si>
    <t>ORD-2025-00323</t>
  </si>
  <si>
    <t>ORD-2026-00324</t>
  </si>
  <si>
    <t>ORD-2024-00325</t>
  </si>
  <si>
    <t>Yusuf Patel</t>
  </si>
  <si>
    <t>ORD-2024-00326</t>
  </si>
  <si>
    <t>ORD-2025-00327</t>
  </si>
  <si>
    <t>ORD-2024-00328</t>
  </si>
  <si>
    <t>Diya Panjwani</t>
  </si>
  <si>
    <t>ORD-2024-00329</t>
  </si>
  <si>
    <t>Kabir Shah</t>
  </si>
  <si>
    <t>ORD-2025-00330</t>
  </si>
  <si>
    <t>ORD-2025-00331</t>
  </si>
  <si>
    <t>CUST-0226</t>
  </si>
  <si>
    <t>ORD-2025-00332</t>
  </si>
  <si>
    <t>ORD-2024-00333</t>
  </si>
  <si>
    <t>Zoya Patel</t>
  </si>
  <si>
    <t>ORD-2024-00334</t>
  </si>
  <si>
    <t>Rohan Iyer</t>
  </si>
  <si>
    <t>ORD-2026-00335</t>
  </si>
  <si>
    <t>ORD-2026-00336</t>
  </si>
  <si>
    <t>ORD-2024-00337</t>
  </si>
  <si>
    <t>Zoya Verma</t>
  </si>
  <si>
    <t>ORD-2025-00338</t>
  </si>
  <si>
    <t>ORD-2025-00339</t>
  </si>
  <si>
    <t>Isha Rao</t>
  </si>
  <si>
    <t>ORD-2026-00340</t>
  </si>
  <si>
    <t>CUST-0006</t>
  </si>
  <si>
    <t>Aarav Khan</t>
  </si>
  <si>
    <t>ORD-2025-00341</t>
  </si>
  <si>
    <t>ORD-2025-00342</t>
  </si>
  <si>
    <t>ORD-2025-00343</t>
  </si>
  <si>
    <t>ORD-2025-00344</t>
  </si>
  <si>
    <t>CUST-0231</t>
  </si>
  <si>
    <t>ORD-2025-00345</t>
  </si>
  <si>
    <t>ORD-2025-00346</t>
  </si>
  <si>
    <t>ORD-2025-00347</t>
  </si>
  <si>
    <t>ORD-2026-00348</t>
  </si>
  <si>
    <t>ORD-2024-00349</t>
  </si>
  <si>
    <t>CUST-0150</t>
  </si>
  <si>
    <t>ORD-2026-00350</t>
  </si>
  <si>
    <t>ORD-2025-00351</t>
  </si>
  <si>
    <t>ORD-2024-00352</t>
  </si>
  <si>
    <t>CUST-0044</t>
  </si>
  <si>
    <t>ORD-2026-00353</t>
  </si>
  <si>
    <t>Fatima Panjwani</t>
  </si>
  <si>
    <t>ORD-2025-00354</t>
  </si>
  <si>
    <t>Aarav Kapoor</t>
  </si>
  <si>
    <t>ORD-2024-00355</t>
  </si>
  <si>
    <t>ORD-2024-00356</t>
  </si>
  <si>
    <t>ORD-2026-00357</t>
  </si>
  <si>
    <t>ORD-2024-00358</t>
  </si>
  <si>
    <t>ORD-2024-00359</t>
  </si>
  <si>
    <t>ORD-2024-00360</t>
  </si>
  <si>
    <t>ORD-2026-00361</t>
  </si>
  <si>
    <t>ORD-2025-00362</t>
  </si>
  <si>
    <t>CUST-0054</t>
  </si>
  <si>
    <t>ORD-2024-00363</t>
  </si>
  <si>
    <t>ORD-2026-00364</t>
  </si>
  <si>
    <t>ORD-2025-00365</t>
  </si>
  <si>
    <t>CUST-0228</t>
  </si>
  <si>
    <t>Diya Patel</t>
  </si>
  <si>
    <t>ORD-2024-00366</t>
  </si>
  <si>
    <t>ORD-2025-00367</t>
  </si>
  <si>
    <t>ORD-2026-00368</t>
  </si>
  <si>
    <t>Meera Panjwani</t>
  </si>
  <si>
    <t>ORD-2024-00369</t>
  </si>
  <si>
    <t>Diya Shah</t>
  </si>
  <si>
    <t>ORD-2024-00370</t>
  </si>
  <si>
    <t>ORD-2024-00371</t>
  </si>
  <si>
    <t>ORD-2026-00372</t>
  </si>
  <si>
    <t>ORD-2025-00373</t>
  </si>
  <si>
    <t>CUST-0128</t>
  </si>
  <si>
    <t>ORD-2024-00374</t>
  </si>
  <si>
    <t>ORD-2026-00375</t>
  </si>
  <si>
    <t>ORD-2024-00376</t>
  </si>
  <si>
    <t>Isha Khan</t>
  </si>
  <si>
    <t>ORD-2024-00377</t>
  </si>
  <si>
    <t>ORD-2026-00378</t>
  </si>
  <si>
    <t>ORD-2026-00379</t>
  </si>
  <si>
    <t>ORD-2026-00380</t>
  </si>
  <si>
    <t>Meera Sheikh</t>
  </si>
  <si>
    <t>ORD-2024-00381</t>
  </si>
  <si>
    <t>ORD-2026-00382</t>
  </si>
  <si>
    <t>ORD-2025-00383</t>
  </si>
  <si>
    <t>Aanya Kapoor</t>
  </si>
  <si>
    <t>ORD-2024-00384</t>
  </si>
  <si>
    <t>ORD-2024-00385</t>
  </si>
  <si>
    <t>Zoya Rao</t>
  </si>
  <si>
    <t>ORD-2025-00386</t>
  </si>
  <si>
    <t>ORD-2026-00387</t>
  </si>
  <si>
    <t>Meera Rao</t>
  </si>
  <si>
    <t>ORD-2026-00388</t>
  </si>
  <si>
    <t>ORD-2024-00389</t>
  </si>
  <si>
    <t>CUST-0068</t>
  </si>
  <si>
    <t>ORD-2024-00390</t>
  </si>
  <si>
    <t>ORD-2025-00391</t>
  </si>
  <si>
    <t>ORD-2025-00392</t>
  </si>
  <si>
    <t>ORD-2024-00393</t>
  </si>
  <si>
    <t>Myra Sheikh</t>
  </si>
  <si>
    <t>ORD-2026-00394</t>
  </si>
  <si>
    <t>ORD-2025-00395</t>
  </si>
  <si>
    <t>CUST-0050</t>
  </si>
  <si>
    <t>Aditya Soni</t>
  </si>
  <si>
    <t>ORD-2024-00396</t>
  </si>
  <si>
    <t>ORD-2025-00397</t>
  </si>
  <si>
    <t>CUST-0085</t>
  </si>
  <si>
    <t>ORD-2024-00398</t>
  </si>
  <si>
    <t>ORD-2025-00399</t>
  </si>
  <si>
    <t>ORD-2024-00400</t>
  </si>
  <si>
    <t>ORD-2025-00401</t>
  </si>
  <si>
    <t>ORD-2026-00402</t>
  </si>
  <si>
    <t>ORD-2024-00403</t>
  </si>
  <si>
    <t>Isha Mehta</t>
  </si>
  <si>
    <t>ORD-2026-00404</t>
  </si>
  <si>
    <t>Kabir Joshi</t>
  </si>
  <si>
    <t>ORD-2024-00405</t>
  </si>
  <si>
    <t>ORD-2026-00406</t>
  </si>
  <si>
    <t>CUST-0178</t>
  </si>
  <si>
    <t>Yusuf Mehta</t>
  </si>
  <si>
    <t>ORD-2025-00407</t>
  </si>
  <si>
    <t>ORD-2025-00408</t>
  </si>
  <si>
    <t>ORD-2024-00409</t>
  </si>
  <si>
    <t>CUST-0161</t>
  </si>
  <si>
    <t>Kabir Verma</t>
  </si>
  <si>
    <t>ORD-2026-00410</t>
  </si>
  <si>
    <t>CUST-0010</t>
  </si>
  <si>
    <t>ORD-2025-00411</t>
  </si>
  <si>
    <t>ORD-2025-00412</t>
  </si>
  <si>
    <t>CUST-0247</t>
  </si>
  <si>
    <t>ORD-2024-00413</t>
  </si>
  <si>
    <t>ORD-2024-00414</t>
  </si>
  <si>
    <t>ORD-2026-00415</t>
  </si>
  <si>
    <t>ORD-2025-00416</t>
  </si>
  <si>
    <t>ORD-2025-00417</t>
  </si>
  <si>
    <t>Dev Kapoor</t>
  </si>
  <si>
    <t>ORD-2024-00418</t>
  </si>
  <si>
    <t>Aditya Verma</t>
  </si>
  <si>
    <t>ORD-2025-00419</t>
  </si>
  <si>
    <t>Myra Patel</t>
  </si>
  <si>
    <t>ORD-2025-00420</t>
  </si>
  <si>
    <t>Isha Soni</t>
  </si>
  <si>
    <t>ORD-2026-00421</t>
  </si>
  <si>
    <t>Fatima Mehta</t>
  </si>
  <si>
    <t>ORD-2025-00422</t>
  </si>
  <si>
    <t>CUST-0088</t>
  </si>
  <si>
    <t>ORD-2024-00423</t>
  </si>
  <si>
    <t>ORD-2025-00424</t>
  </si>
  <si>
    <t>ORD-2026-00425</t>
  </si>
  <si>
    <t>CUST-0179</t>
  </si>
  <si>
    <t>ORD-2026-00426</t>
  </si>
  <si>
    <t>CUST-0123</t>
  </si>
  <si>
    <t>ORD-2025-00427</t>
  </si>
  <si>
    <t>CUST-0002</t>
  </si>
  <si>
    <t>ORD-2024-00428</t>
  </si>
  <si>
    <t>Yusuf Joshi</t>
  </si>
  <si>
    <t>ORD-2025-00429</t>
  </si>
  <si>
    <t>CUST-0143</t>
  </si>
  <si>
    <t>ORD-2025-00430</t>
  </si>
  <si>
    <t>Anaya Verma</t>
  </si>
  <si>
    <t>ORD-2026-00431</t>
  </si>
  <si>
    <t>Diya Mehta</t>
  </si>
  <si>
    <t>ORD-2026-00432</t>
  </si>
  <si>
    <t>ORD-2026-00433</t>
  </si>
  <si>
    <t>Isha Kapoor</t>
  </si>
  <si>
    <t>ORD-2024-00434</t>
  </si>
  <si>
    <t>ORD-2025-00435</t>
  </si>
  <si>
    <t>ORD-2025-00436</t>
  </si>
  <si>
    <t>ORD-2024-00437</t>
  </si>
  <si>
    <t>ORD-2024-00438</t>
  </si>
  <si>
    <t>ORD-2026-00439</t>
  </si>
  <si>
    <t>ORD-2026-00440</t>
  </si>
  <si>
    <t>ORD-2024-00441</t>
  </si>
  <si>
    <t>ORD-2025-00442</t>
  </si>
  <si>
    <t>ORD-2024-00443</t>
  </si>
  <si>
    <t>Kiara Patel</t>
  </si>
  <si>
    <t>ORD-2025-00444</t>
  </si>
  <si>
    <t>ORD-2026-00445</t>
  </si>
  <si>
    <t>ORD-2025-00446</t>
  </si>
  <si>
    <t>ORD-2025-00447</t>
  </si>
  <si>
    <t>CUST-0109</t>
  </si>
  <si>
    <t>Reyansh Panjwani</t>
  </si>
  <si>
    <t>ORD-2025-00448</t>
  </si>
  <si>
    <t>ORD-2026-00449</t>
  </si>
  <si>
    <t>CUST-0190</t>
  </si>
  <si>
    <t>ORD-2025-00450</t>
  </si>
  <si>
    <t>ORD-2024-00451</t>
  </si>
  <si>
    <t>CUST-0067</t>
  </si>
  <si>
    <t>ORD-2026-00452</t>
  </si>
  <si>
    <t>ORD-2025-00453</t>
  </si>
  <si>
    <t>ORD-2025-00454</t>
  </si>
  <si>
    <t>Krish Rao</t>
  </si>
  <si>
    <t>ORD-2024-00455</t>
  </si>
  <si>
    <t>CUST-0166</t>
  </si>
  <si>
    <t>ORD-2026-00456</t>
  </si>
  <si>
    <t>Myra Kapoor</t>
  </si>
  <si>
    <t>ORD-2024-00457</t>
  </si>
  <si>
    <t>CUST-0007</t>
  </si>
  <si>
    <t>ORD-2024-00458</t>
  </si>
  <si>
    <t>CUST-0073</t>
  </si>
  <si>
    <t>ORD-2025-00459</t>
  </si>
  <si>
    <t>ORD-2025-00460</t>
  </si>
  <si>
    <t>ORD-2024-00461</t>
  </si>
  <si>
    <t>ORD-2025-00462</t>
  </si>
  <si>
    <t>ORD-2024-00463</t>
  </si>
  <si>
    <t>Aanya Sheikh</t>
  </si>
  <si>
    <t>ORD-2025-00464</t>
  </si>
  <si>
    <t>ORD-2024-00465</t>
  </si>
  <si>
    <t>Anaya Kapoor</t>
  </si>
  <si>
    <t>ORD-2025-00466</t>
  </si>
  <si>
    <t>ORD-2024-00467</t>
  </si>
  <si>
    <t>ORD-2026-00468</t>
  </si>
  <si>
    <t>CUST-0193</t>
  </si>
  <si>
    <t>ORD-2024-00469</t>
  </si>
  <si>
    <t>ORD-2026-00470</t>
  </si>
  <si>
    <t>ORD-2025-00471</t>
  </si>
  <si>
    <t>CUST-0093</t>
  </si>
  <si>
    <t>ORD-2026-00472</t>
  </si>
  <si>
    <t>Anaya Panjwani</t>
  </si>
  <si>
    <t>ORD-2026-00473</t>
  </si>
  <si>
    <t>ORD-2024-00474</t>
  </si>
  <si>
    <t>ORD-2024-00475</t>
  </si>
  <si>
    <t>ORD-2025-00476</t>
  </si>
  <si>
    <t>ORD-2024-00477</t>
  </si>
  <si>
    <t>ORD-2026-00478</t>
  </si>
  <si>
    <t>ORD-2025-00479</t>
  </si>
  <si>
    <t>ORD-2024-00480</t>
  </si>
  <si>
    <t>ORD-2024-00481</t>
  </si>
  <si>
    <t>Kabir Patel</t>
  </si>
  <si>
    <t>ORD-2026-00482</t>
  </si>
  <si>
    <t>ORD-2026-00483</t>
  </si>
  <si>
    <t>ORD-2025-00484</t>
  </si>
  <si>
    <t>ORD-2026-00485</t>
  </si>
  <si>
    <t>ORD-2025-00486</t>
  </si>
  <si>
    <t>ORD-2026-00487</t>
  </si>
  <si>
    <t>Arjun Trivedi</t>
  </si>
  <si>
    <t>ORD-2026-00488</t>
  </si>
  <si>
    <t>ORD-2024-00489</t>
  </si>
  <si>
    <t>ORD-2026-00490</t>
  </si>
  <si>
    <t>ORD-2026-00491</t>
  </si>
  <si>
    <t>ORD-2026-00492</t>
  </si>
  <si>
    <t>ORD-2024-00493</t>
  </si>
  <si>
    <t>ORD-2026-00494</t>
  </si>
  <si>
    <t>ORD-2025-00495</t>
  </si>
  <si>
    <t>ORD-2025-00496</t>
  </si>
  <si>
    <t>ORD-2024-00497</t>
  </si>
  <si>
    <t>ORD-2024-00498</t>
  </si>
  <si>
    <t>ORD-2024-00499</t>
  </si>
  <si>
    <t>ORD-2026-00500</t>
  </si>
  <si>
    <t>CUST-0079</t>
  </si>
  <si>
    <t>ORD-2024-00501</t>
  </si>
  <si>
    <t>ORD-2025-00502</t>
  </si>
  <si>
    <t>Meera Joshi</t>
  </si>
  <si>
    <t>ORD-2025-00503</t>
  </si>
  <si>
    <t>CUST-0223</t>
  </si>
  <si>
    <t>ORD-2026-00504</t>
  </si>
  <si>
    <t>ORD-2024-00505</t>
  </si>
  <si>
    <t>Zoya Kapoor</t>
  </si>
  <si>
    <t>ORD-2025-00506</t>
  </si>
  <si>
    <t>Aarav Soni</t>
  </si>
  <si>
    <t>ORD-2024-00507</t>
  </si>
  <si>
    <t>ORD-2025-00508</t>
  </si>
  <si>
    <t>ORD-2025-00509</t>
  </si>
  <si>
    <t>CUST-0135</t>
  </si>
  <si>
    <t>ORD-2026-00510</t>
  </si>
  <si>
    <t>ORD-2026-00511</t>
  </si>
  <si>
    <t>ORD-2025-00512</t>
  </si>
  <si>
    <t>ORD-2025-00513</t>
  </si>
  <si>
    <t>ORD-2025-00514</t>
  </si>
  <si>
    <t>ORD-2026-00515</t>
  </si>
  <si>
    <t>CUST-0011</t>
  </si>
  <si>
    <t>Meera Verma</t>
  </si>
  <si>
    <t>ORD-2025-00516</t>
  </si>
  <si>
    <t>ORD-2025-00517</t>
  </si>
  <si>
    <t>ORD-2025-00518</t>
  </si>
  <si>
    <t>Diya Verma</t>
  </si>
  <si>
    <t>ORD-2025-00519</t>
  </si>
  <si>
    <t>ORD-2024-00520</t>
  </si>
  <si>
    <t>ORD-2024-00521</t>
  </si>
  <si>
    <t>ORD-2025-00522</t>
  </si>
  <si>
    <t>ORD-2026-00523</t>
  </si>
  <si>
    <t>ORD-2025-00524</t>
  </si>
  <si>
    <t>ORD-2025-00525</t>
  </si>
  <si>
    <t>ORD-2024-00526</t>
  </si>
  <si>
    <t>CUST-0171</t>
  </si>
  <si>
    <t>ORD-2024-00527</t>
  </si>
  <si>
    <t>CUST-0157</t>
  </si>
  <si>
    <t>ORD-2026-00528</t>
  </si>
  <si>
    <t>ORD-2026-00529</t>
  </si>
  <si>
    <t>CUST-0071</t>
  </si>
  <si>
    <t>ORD-2024-00530</t>
  </si>
  <si>
    <t>ORD-2024-00531</t>
  </si>
  <si>
    <t>ORD-2024-00532</t>
  </si>
  <si>
    <t>ORD-2025-00533</t>
  </si>
  <si>
    <t>ORD-2024-00534</t>
  </si>
  <si>
    <t>ORD-2024-00535</t>
  </si>
  <si>
    <t>ORD-2026-00536</t>
  </si>
  <si>
    <t>ORD-2025-00537</t>
  </si>
  <si>
    <t>ORD-2025-00538</t>
  </si>
  <si>
    <t>ORD-2025-00539</t>
  </si>
  <si>
    <t>ORD-2026-00540</t>
  </si>
  <si>
    <t>ORD-2026-00541</t>
  </si>
  <si>
    <t>ORD-2026-00542</t>
  </si>
  <si>
    <t>ORD-2025-00543</t>
  </si>
  <si>
    <t>ORD-2024-00544</t>
  </si>
  <si>
    <t>ORD-2025-00545</t>
  </si>
  <si>
    <t>CUST-0034</t>
  </si>
  <si>
    <t>ORD-2024-00546</t>
  </si>
  <si>
    <t>ORD-2025-00547</t>
  </si>
  <si>
    <t>CUST-0024</t>
  </si>
  <si>
    <t>ORD-2025-00548</t>
  </si>
  <si>
    <t>ORD-2024-00549</t>
  </si>
  <si>
    <t>Anaya Trivedi</t>
  </si>
  <si>
    <t>ORD-2026-00550</t>
  </si>
  <si>
    <t>ORD-2026-00551</t>
  </si>
  <si>
    <t>ORD-2024-00552</t>
  </si>
  <si>
    <t>ORD-2026-00553</t>
  </si>
  <si>
    <t>ORD-2025-00554</t>
  </si>
  <si>
    <t>Reyansh Rao</t>
  </si>
  <si>
    <t>ORD-2026-00555</t>
  </si>
  <si>
    <t>ORD-2024-00556</t>
  </si>
  <si>
    <t>ORD-2025-00557</t>
  </si>
  <si>
    <t>ORD-2026-00558</t>
  </si>
  <si>
    <t>ORD-2025-00559</t>
  </si>
  <si>
    <t>ORD-2024-00560</t>
  </si>
  <si>
    <t>ORD-2024-00561</t>
  </si>
  <si>
    <t>ORD-2024-00562</t>
  </si>
  <si>
    <t>CUST-0188</t>
  </si>
  <si>
    <t>ORD-2025-00563</t>
  </si>
  <si>
    <t>ORD-2024-00564</t>
  </si>
  <si>
    <t>ORD-2025-00565</t>
  </si>
  <si>
    <t>ORD-2025-00566</t>
  </si>
  <si>
    <t>ORD-2024-00567</t>
  </si>
  <si>
    <t>ORD-2024-00568</t>
  </si>
  <si>
    <t>ORD-2025-00569</t>
  </si>
  <si>
    <t>ORD-2026-00570</t>
  </si>
  <si>
    <t>ORD-2026-00571</t>
  </si>
  <si>
    <t>ORD-2025-00572</t>
  </si>
  <si>
    <t>Fatima Joshi</t>
  </si>
  <si>
    <t>ORD-2026-00573</t>
  </si>
  <si>
    <t>ORD-2026-00574</t>
  </si>
  <si>
    <t>CUST-0066</t>
  </si>
  <si>
    <t>ORD-2026-00575</t>
  </si>
  <si>
    <t>ORD-2026-00576</t>
  </si>
  <si>
    <t>ORD-2024-00577</t>
  </si>
  <si>
    <t>ORD-2025-00578</t>
  </si>
  <si>
    <t>Kabir Kapoor</t>
  </si>
  <si>
    <t>ORD-2026-00579</t>
  </si>
  <si>
    <t>CUST-0016</t>
  </si>
  <si>
    <t>ORD-2024-00580</t>
  </si>
  <si>
    <t>ORD-2024-00581</t>
  </si>
  <si>
    <t>ORD-2026-00582</t>
  </si>
  <si>
    <t>ORD-2024-00583</t>
  </si>
  <si>
    <t>ORD-2026-00584</t>
  </si>
  <si>
    <t>ORD-2026-00585</t>
  </si>
  <si>
    <t>ORD-2024-00586</t>
  </si>
  <si>
    <t>Reyansh Joshi</t>
  </si>
  <si>
    <t>ORD-2026-00587</t>
  </si>
  <si>
    <t>ORD-2026-00588</t>
  </si>
  <si>
    <t>ORD-2024-00589</t>
  </si>
  <si>
    <t>ORD-2024-00590</t>
  </si>
  <si>
    <t>ORD-2024-00591</t>
  </si>
  <si>
    <t>ORD-2026-00592</t>
  </si>
  <si>
    <t>Kabir Iyer</t>
  </si>
  <si>
    <t>ORD-2024-00593</t>
  </si>
  <si>
    <t>ORD-2025-00594</t>
  </si>
  <si>
    <t>ORD-2024-00595</t>
  </si>
  <si>
    <t>ORD-2026-00596</t>
  </si>
  <si>
    <t>ORD-2024-00597</t>
  </si>
  <si>
    <t>ORD-2025-00598</t>
  </si>
  <si>
    <t>ORD-2024-00599</t>
  </si>
  <si>
    <t>CUST-0039</t>
  </si>
  <si>
    <t>ORD-2025-00600</t>
  </si>
  <si>
    <t>ORD-2026-00601</t>
  </si>
  <si>
    <t>ORD-2025-00602</t>
  </si>
  <si>
    <t>ORD-2025-00603</t>
  </si>
  <si>
    <t>ORD-2024-00604</t>
  </si>
  <si>
    <t>CUST-0070</t>
  </si>
  <si>
    <t>ORD-2025-00605</t>
  </si>
  <si>
    <t>Aditya Desai</t>
  </si>
  <si>
    <t>ORD-2024-00606</t>
  </si>
  <si>
    <t>ORD-2025-00607</t>
  </si>
  <si>
    <t>ORD-2026-00608</t>
  </si>
  <si>
    <t>ORD-2025-00609</t>
  </si>
  <si>
    <t>ORD-2026-00610</t>
  </si>
  <si>
    <t>ORD-2025-00611</t>
  </si>
  <si>
    <t>CUST-0104</t>
  </si>
  <si>
    <t>ORD-2025-00612</t>
  </si>
  <si>
    <t>ORD-2025-00613</t>
  </si>
  <si>
    <t>ORD-2025-00614</t>
  </si>
  <si>
    <t>ORD-2024-00615</t>
  </si>
  <si>
    <t>ORD-2025-00616</t>
  </si>
  <si>
    <t>Dev Rao</t>
  </si>
  <si>
    <t>ORD-2025-00617</t>
  </si>
  <si>
    <t>Kabir Desai</t>
  </si>
  <si>
    <t>ORD-2024-00618</t>
  </si>
  <si>
    <t>ORD-2025-00619</t>
  </si>
  <si>
    <t>ORD-2024-00620</t>
  </si>
  <si>
    <t>ORD-2026-00621</t>
  </si>
  <si>
    <t>ORD-2026-00622</t>
  </si>
  <si>
    <t>ORD-2024-00623</t>
  </si>
  <si>
    <t>ORD-2025-00624</t>
  </si>
  <si>
    <t>ORD-2026-00625</t>
  </si>
  <si>
    <t>ORD-2025-00626</t>
  </si>
  <si>
    <t>ORD-2025-00627</t>
  </si>
  <si>
    <t>ORD-2025-00628</t>
  </si>
  <si>
    <t>CUST-0218</t>
  </si>
  <si>
    <t>ORD-2026-00629</t>
  </si>
  <si>
    <t>ORD-2025-00630</t>
  </si>
  <si>
    <t>Zoya Joshi</t>
  </si>
  <si>
    <t>ORD-2024-00631</t>
  </si>
  <si>
    <t>Aanya Verma</t>
  </si>
  <si>
    <t>ORD-2026-00632</t>
  </si>
  <si>
    <t>Dev Trivedi</t>
  </si>
  <si>
    <t>ORD-2026-00633</t>
  </si>
  <si>
    <t>CUST-0119</t>
  </si>
  <si>
    <t>ORD-2024-00634</t>
  </si>
  <si>
    <t>ORD-2026-00635</t>
  </si>
  <si>
    <t>ORD-2025-00636</t>
  </si>
  <si>
    <t>ORD-2025-00637</t>
  </si>
  <si>
    <t>CUST-0096</t>
  </si>
  <si>
    <t>Dev Verma</t>
  </si>
  <si>
    <t>ORD-2026-00638</t>
  </si>
  <si>
    <t>Zoya Mehta</t>
  </si>
  <si>
    <t>ORD-2025-00639</t>
  </si>
  <si>
    <t>ORD-2026-00640</t>
  </si>
  <si>
    <t>ORD-2024-00641</t>
  </si>
  <si>
    <t>ORD-2024-00642</t>
  </si>
  <si>
    <t>ORD-2025-00643</t>
  </si>
  <si>
    <t>ORD-2024-00644</t>
  </si>
  <si>
    <t>ORD-2024-00645</t>
  </si>
  <si>
    <t>ORD-2025-00646</t>
  </si>
  <si>
    <t>ORD-2024-00647</t>
  </si>
  <si>
    <t>ORD-2024-00648</t>
  </si>
  <si>
    <t>ORD-2026-00649</t>
  </si>
  <si>
    <t>ORD-2025-00650</t>
  </si>
  <si>
    <t>ORD-2025-00651</t>
  </si>
  <si>
    <t>ORD-2024-00652</t>
  </si>
  <si>
    <t>ORD-2026-00653</t>
  </si>
  <si>
    <t>CUST-0173</t>
  </si>
  <si>
    <t>ORD-2025-00654</t>
  </si>
  <si>
    <t>CUST-0152</t>
  </si>
  <si>
    <t>ORD-2025-00655</t>
  </si>
  <si>
    <t>ORD-2025-00656</t>
  </si>
  <si>
    <t>Fatima Soni</t>
  </si>
  <si>
    <t>ORD-2026-00657</t>
  </si>
  <si>
    <t>ORD-2026-00658</t>
  </si>
  <si>
    <t>CUST-0040</t>
  </si>
  <si>
    <t>ORD-2026-00659</t>
  </si>
  <si>
    <t>ORD-2026-00660</t>
  </si>
  <si>
    <t>Krish Khan</t>
  </si>
  <si>
    <t>ORD-2024-00661</t>
  </si>
  <si>
    <t>ORD-2025-00662</t>
  </si>
  <si>
    <t>ORD-2025-00663</t>
  </si>
  <si>
    <t>ORD-2024-00664</t>
  </si>
  <si>
    <t>Aanya Trivedi</t>
  </si>
  <si>
    <t>ORD-2024-00665</t>
  </si>
  <si>
    <t>ORD-2025-00666</t>
  </si>
  <si>
    <t>ORD-2025-00667</t>
  </si>
  <si>
    <t>ORD-2024-00668</t>
  </si>
  <si>
    <t>CUST-0250</t>
  </si>
  <si>
    <t>ORD-2024-00669</t>
  </si>
  <si>
    <t>ORD-2025-00670</t>
  </si>
  <si>
    <t>ORD-2026-00671</t>
  </si>
  <si>
    <t>ORD-2026-00672</t>
  </si>
  <si>
    <t>Rohan Joshi</t>
  </si>
  <si>
    <t>ORD-2026-00673</t>
  </si>
  <si>
    <t>ORD-2026-00674</t>
  </si>
  <si>
    <t>Isha Joshi</t>
  </si>
  <si>
    <t>ORD-2024-00675</t>
  </si>
  <si>
    <t>ORD-2025-00676</t>
  </si>
  <si>
    <t>Arjun Kapoor</t>
  </si>
  <si>
    <t>ORD-2025-00677</t>
  </si>
  <si>
    <t>Kabir Sheikh</t>
  </si>
  <si>
    <t>ORD-2025-00678</t>
  </si>
  <si>
    <t>ORD-2025-00679</t>
  </si>
  <si>
    <t>ORD-2026-00680</t>
  </si>
  <si>
    <t>ORD-2026-00681</t>
  </si>
  <si>
    <t>ORD-2026-00682</t>
  </si>
  <si>
    <t>ORD-2026-00683</t>
  </si>
  <si>
    <t>ORD-2025-00684</t>
  </si>
  <si>
    <t>ORD-2024-00685</t>
  </si>
  <si>
    <t>ORD-2025-00686</t>
  </si>
  <si>
    <t>ORD-2026-00687</t>
  </si>
  <si>
    <t>ORD-2024-00688</t>
  </si>
  <si>
    <t>Vivaan Rao</t>
  </si>
  <si>
    <t>ORD-2026-00689</t>
  </si>
  <si>
    <t>Aditya Iyer</t>
  </si>
  <si>
    <t>ORD-2024-00690</t>
  </si>
  <si>
    <t>CUST-0243</t>
  </si>
  <si>
    <t>ORD-2025-00691</t>
  </si>
  <si>
    <t>ORD-2025-00692</t>
  </si>
  <si>
    <t>ORD-2024-00693</t>
  </si>
  <si>
    <t>ORD-2024-00694</t>
  </si>
  <si>
    <t>ORD-2025-00695</t>
  </si>
  <si>
    <t>ORD-2025-00696</t>
  </si>
  <si>
    <t>ORD-2026-00697</t>
  </si>
  <si>
    <t>ORD-2026-00698</t>
  </si>
  <si>
    <t>ORD-2025-00699</t>
  </si>
  <si>
    <t>ORD-2026-00700</t>
  </si>
  <si>
    <t>ORD-2026-00701</t>
  </si>
  <si>
    <t>ORD-2025-00702</t>
  </si>
  <si>
    <t>ORD-2024-00703</t>
  </si>
  <si>
    <t>ORD-2026-00704</t>
  </si>
  <si>
    <t>ORD-2026-00705</t>
  </si>
  <si>
    <t>CUST-0175</t>
  </si>
  <si>
    <t>ORD-2026-00706</t>
  </si>
  <si>
    <t>ORD-2025-00707</t>
  </si>
  <si>
    <t>ORD-2026-00708</t>
  </si>
  <si>
    <t>ORD-2024-00709</t>
  </si>
  <si>
    <t>ORD-2024-00710</t>
  </si>
  <si>
    <t>ORD-2025-00711</t>
  </si>
  <si>
    <t>ORD-2025-00712</t>
  </si>
  <si>
    <t>ORD-2025-00713</t>
  </si>
  <si>
    <t>ORD-2025-00714</t>
  </si>
  <si>
    <t>CUST-0142</t>
  </si>
  <si>
    <t>ORD-2024-00715</t>
  </si>
  <si>
    <t>ORD-2024-00716</t>
  </si>
  <si>
    <t>CUST-0216</t>
  </si>
  <si>
    <t>Krish Patel</t>
  </si>
  <si>
    <t>ORD-2026-00717</t>
  </si>
  <si>
    <t>CUST-0207</t>
  </si>
  <si>
    <t>ORD-2024-00718</t>
  </si>
  <si>
    <t>ORD-2025-00719</t>
  </si>
  <si>
    <t>ORD-2024-00720</t>
  </si>
  <si>
    <t>ORD-2025-00721</t>
  </si>
  <si>
    <t>ORD-2026-00722</t>
  </si>
  <si>
    <t>ORD-2024-00723</t>
  </si>
  <si>
    <t>ORD-2025-00724</t>
  </si>
  <si>
    <t>ORD-2026-00725</t>
  </si>
  <si>
    <t>Rohan Verma</t>
  </si>
  <si>
    <t>ORD-2024-00726</t>
  </si>
  <si>
    <t>Yusuf Sheikh</t>
  </si>
  <si>
    <t>ORD-2026-00727</t>
  </si>
  <si>
    <t>ORD-2026-00728</t>
  </si>
  <si>
    <t>ORD-2024-00729</t>
  </si>
  <si>
    <t>ORD-2024-00730</t>
  </si>
  <si>
    <t>CUST-0030</t>
  </si>
  <si>
    <t>ORD-2024-00731</t>
  </si>
  <si>
    <t>ORD-2025-00732</t>
  </si>
  <si>
    <t>ORD-2025-00733</t>
  </si>
  <si>
    <t>ORD-2026-00734</t>
  </si>
  <si>
    <t>ORD-2026-00735</t>
  </si>
  <si>
    <t>ORD-2024-00736</t>
  </si>
  <si>
    <t>Rohan Rao</t>
  </si>
  <si>
    <t>ORD-2026-00737</t>
  </si>
  <si>
    <t>CUST-0103</t>
  </si>
  <si>
    <t>Isha Panjwani</t>
  </si>
  <si>
    <t>ORD-2026-00738</t>
  </si>
  <si>
    <t>CUST-0205</t>
  </si>
  <si>
    <t>ORD-2026-00739</t>
  </si>
  <si>
    <t>ORD-2025-00740</t>
  </si>
  <si>
    <t>Diya Soni</t>
  </si>
  <si>
    <t>ORD-2026-00741</t>
  </si>
  <si>
    <t>ORD-2024-00742</t>
  </si>
  <si>
    <t>ORD-2024-00743</t>
  </si>
  <si>
    <t>ORD-2025-00744</t>
  </si>
  <si>
    <t>ORD-2025-00745</t>
  </si>
  <si>
    <t>ORD-2024-00746</t>
  </si>
  <si>
    <t>ORD-2025-00747</t>
  </si>
  <si>
    <t>ORD-2024-00748</t>
  </si>
  <si>
    <t>ORD-2025-00749</t>
  </si>
  <si>
    <t>ORD-2024-00750</t>
  </si>
  <si>
    <t>ORD-2024-00751</t>
  </si>
  <si>
    <t>ORD-2024-00752</t>
  </si>
  <si>
    <t>ORD-2026-00753</t>
  </si>
  <si>
    <t>ORD-2025-00754</t>
  </si>
  <si>
    <t>ORD-2025-00755</t>
  </si>
  <si>
    <t>ORD-2026-00756</t>
  </si>
  <si>
    <t>ORD-2024-00757</t>
  </si>
  <si>
    <t>Aarav Trivedi</t>
  </si>
  <si>
    <t>ORD-2025-00758</t>
  </si>
  <si>
    <t>ORD-2024-00759</t>
  </si>
  <si>
    <t>ORD-2025-00760</t>
  </si>
  <si>
    <t>ORD-2024-00761</t>
  </si>
  <si>
    <t>ORD-2025-00762</t>
  </si>
  <si>
    <t>ORD-2024-00763</t>
  </si>
  <si>
    <t>ORD-2025-00764</t>
  </si>
  <si>
    <t>ORD-2025-00765</t>
  </si>
  <si>
    <t>ORD-2025-00766</t>
  </si>
  <si>
    <t>Aanya Desai</t>
  </si>
  <si>
    <t>ORD-2026-00767</t>
  </si>
  <si>
    <t>ORD-2024-00768</t>
  </si>
  <si>
    <t>ORD-2026-00769</t>
  </si>
  <si>
    <t>ORD-2025-00770</t>
  </si>
  <si>
    <t>ORD-2026-00771</t>
  </si>
  <si>
    <t>ORD-2024-00772</t>
  </si>
  <si>
    <t>ORD-2024-00773</t>
  </si>
  <si>
    <t>ORD-2026-00774</t>
  </si>
  <si>
    <t>Aarav Panjwani</t>
  </si>
  <si>
    <t>ORD-2026-00775</t>
  </si>
  <si>
    <t>ORD-2024-00776</t>
  </si>
  <si>
    <t>ORD-2026-00777</t>
  </si>
  <si>
    <t>ORD-2024-00778</t>
  </si>
  <si>
    <t>Myra Trivedi</t>
  </si>
  <si>
    <t>ORD-2025-00779</t>
  </si>
  <si>
    <t>CUST-0149</t>
  </si>
  <si>
    <t>ORD-2025-00780</t>
  </si>
  <si>
    <t>ORD-2025-00781</t>
  </si>
  <si>
    <t>ORD-2024-00782</t>
  </si>
  <si>
    <t>ORD-2025-00783</t>
  </si>
  <si>
    <t>ORD-2024-00784</t>
  </si>
  <si>
    <t>ORD-2025-00785</t>
  </si>
  <si>
    <t>ORD-2025-00786</t>
  </si>
  <si>
    <t>ORD-2026-00787</t>
  </si>
  <si>
    <t>ORD-2026-00788</t>
  </si>
  <si>
    <t>ORD-2024-00789</t>
  </si>
  <si>
    <t>ORD-2024-00790</t>
  </si>
  <si>
    <t>ORD-2024-00791</t>
  </si>
  <si>
    <t>ORD-2024-00792</t>
  </si>
  <si>
    <t>ORD-2025-00793</t>
  </si>
  <si>
    <t>ORD-2026-00794</t>
  </si>
  <si>
    <t>Reyansh Desai</t>
  </si>
  <si>
    <t>ORD-2025-00795</t>
  </si>
  <si>
    <t>ORD-2024-00796</t>
  </si>
  <si>
    <t>ORD-2024-00797</t>
  </si>
  <si>
    <t>ORD-2025-00798</t>
  </si>
  <si>
    <t>ORD-2024-00799</t>
  </si>
  <si>
    <t>ORD-2025-00800</t>
  </si>
  <si>
    <t>ORD-2024-00801</t>
  </si>
  <si>
    <t>ORD-2025-00802</t>
  </si>
  <si>
    <t>ORD-2026-00803</t>
  </si>
  <si>
    <t>Reyansh Kapoor</t>
  </si>
  <si>
    <t>ORD-2024-00804</t>
  </si>
  <si>
    <t>ORD-2026-00805</t>
  </si>
  <si>
    <t>CUST-0195</t>
  </si>
  <si>
    <t>ORD-2024-00806</t>
  </si>
  <si>
    <t>ORD-2026-00807</t>
  </si>
  <si>
    <t>ORD-2025-00808</t>
  </si>
  <si>
    <t>ORD-2026-00809</t>
  </si>
  <si>
    <t>ORD-2025-00810</t>
  </si>
  <si>
    <t>ORD-2025-00811</t>
  </si>
  <si>
    <t>ORD-2025-00812</t>
  </si>
  <si>
    <t>ORD-2025-00813</t>
  </si>
  <si>
    <t>ORD-2026-00814</t>
  </si>
  <si>
    <t>ORD-2026-00815</t>
  </si>
  <si>
    <t>ORD-2026-00816</t>
  </si>
  <si>
    <t>ORD-2024-00817</t>
  </si>
  <si>
    <t>ORD-2025-00818</t>
  </si>
  <si>
    <t>ORD-2024-00819</t>
  </si>
  <si>
    <t>ORD-2025-00820</t>
  </si>
  <si>
    <t>ORD-2025-00821</t>
  </si>
  <si>
    <t>ORD-2024-00822</t>
  </si>
  <si>
    <t>ORD-2024-00823</t>
  </si>
  <si>
    <t>ORD-2024-00824</t>
  </si>
  <si>
    <t>ORD-2024-00825</t>
  </si>
  <si>
    <t>Diya Dave</t>
  </si>
  <si>
    <t>ORD-2026-00826</t>
  </si>
  <si>
    <t>Aanya Patel</t>
  </si>
  <si>
    <t>ORD-2026-00827</t>
  </si>
  <si>
    <t>ORD-2026-00828</t>
  </si>
  <si>
    <t>ORD-2024-00829</t>
  </si>
  <si>
    <t>CUST-0118</t>
  </si>
  <si>
    <t>ORD-2025-00830</t>
  </si>
  <si>
    <t>CUST-0154</t>
  </si>
  <si>
    <t>ORD-2026-00831</t>
  </si>
  <si>
    <t>CUST-0162</t>
  </si>
  <si>
    <t>ORD-2024-00832</t>
  </si>
  <si>
    <t>ORD-2025-00833</t>
  </si>
  <si>
    <t>Sara Desai</t>
  </si>
  <si>
    <t>ORD-2026-00834</t>
  </si>
  <si>
    <t>ORD-2024-00835</t>
  </si>
  <si>
    <t>ORD-2026-00836</t>
  </si>
  <si>
    <t>ORD-2025-00837</t>
  </si>
  <si>
    <t>ORD-2025-00838</t>
  </si>
  <si>
    <t>ORD-2025-00839</t>
  </si>
  <si>
    <t>ORD-2025-00840</t>
  </si>
  <si>
    <t>ORD-2025-00841</t>
  </si>
  <si>
    <t>ORD-2025-00842</t>
  </si>
  <si>
    <t>Kiara Dave</t>
  </si>
  <si>
    <t>ORD-2024-00843</t>
  </si>
  <si>
    <t>ORD-2025-00844</t>
  </si>
  <si>
    <t>ORD-2026-00845</t>
  </si>
  <si>
    <t>ORD-2025-00846</t>
  </si>
  <si>
    <t>ORD-2025-00847</t>
  </si>
  <si>
    <t>ORD-2024-00848</t>
  </si>
  <si>
    <t>ORD-2024-00849</t>
  </si>
  <si>
    <t>ORD-2026-00850</t>
  </si>
  <si>
    <t>ORD-2024-00851</t>
  </si>
  <si>
    <t>ORD-2025-00852</t>
  </si>
  <si>
    <t>ORD-2026-00853</t>
  </si>
  <si>
    <t>Isha Shah</t>
  </si>
  <si>
    <t>ORD-2025-00854</t>
  </si>
  <si>
    <t>ORD-2026-00855</t>
  </si>
  <si>
    <t>ORD-2025-00856</t>
  </si>
  <si>
    <t>ORD-2025-00857</t>
  </si>
  <si>
    <t>ORD-2025-00858</t>
  </si>
  <si>
    <t>CUST-0169</t>
  </si>
  <si>
    <t>ORD-2024-00859</t>
  </si>
  <si>
    <t>ORD-2025-00860</t>
  </si>
  <si>
    <t>ORD-2025-00861</t>
  </si>
  <si>
    <t>Sara Rao</t>
  </si>
  <si>
    <t>ORD-2026-00862</t>
  </si>
  <si>
    <t>ORD-2024-00863</t>
  </si>
  <si>
    <t>ORD-2025-00864</t>
  </si>
  <si>
    <t>Meera Shah</t>
  </si>
  <si>
    <t>ORD-2025-00865</t>
  </si>
  <si>
    <t>ORD-2024-00866</t>
  </si>
  <si>
    <t>Krish Dave</t>
  </si>
  <si>
    <t>ORD-2024-00867</t>
  </si>
  <si>
    <t>ORD-2025-00868</t>
  </si>
  <si>
    <t>ORD-2025-00869</t>
  </si>
  <si>
    <t>ORD-2025-00870</t>
  </si>
  <si>
    <t>ORD-2026-00871</t>
  </si>
  <si>
    <t>ORD-2024-00872</t>
  </si>
  <si>
    <t>ORD-2025-00873</t>
  </si>
  <si>
    <t>ORD-2025-00874</t>
  </si>
  <si>
    <t>ORD-2026-00875</t>
  </si>
  <si>
    <t>ORD-2026-00876</t>
  </si>
  <si>
    <t>ORD-2025-00877</t>
  </si>
  <si>
    <t>Meera Mehta</t>
  </si>
  <si>
    <t>ORD-2026-00878</t>
  </si>
  <si>
    <t>ORD-2024-00879</t>
  </si>
  <si>
    <t>CUST-0025</t>
  </si>
  <si>
    <t>ORD-2025-00880</t>
  </si>
  <si>
    <t>CUST-0183</t>
  </si>
  <si>
    <t>ORD-2025-00881</t>
  </si>
  <si>
    <t>ORD-2024-00882</t>
  </si>
  <si>
    <t>ORD-2026-00883</t>
  </si>
  <si>
    <t>ORD-2024-00884</t>
  </si>
  <si>
    <t>ORD-2025-00885</t>
  </si>
  <si>
    <t>ORD-2024-00886</t>
  </si>
  <si>
    <t>ORD-2025-00887</t>
  </si>
  <si>
    <t>ORD-2025-00888</t>
  </si>
  <si>
    <t>ORD-2024-00889</t>
  </si>
  <si>
    <t>ORD-2024-00890</t>
  </si>
  <si>
    <t>ORD-2024-00891</t>
  </si>
  <si>
    <t>ORD-2024-00892</t>
  </si>
  <si>
    <t>ORD-2025-00893</t>
  </si>
  <si>
    <t>ORD-2026-00894</t>
  </si>
  <si>
    <t>ORD-2024-00895</t>
  </si>
  <si>
    <t>ORD-2026-00896</t>
  </si>
  <si>
    <t>ORD-2025-00897</t>
  </si>
  <si>
    <t>ORD-2024-00898</t>
  </si>
  <si>
    <t>ORD-2025-00899</t>
  </si>
  <si>
    <t>ORD-2025-00900</t>
  </si>
  <si>
    <t>ORD-2024-00901</t>
  </si>
  <si>
    <t>ORD-2026-00902</t>
  </si>
  <si>
    <t>ORD-2024-00903</t>
  </si>
  <si>
    <t>ORD-2025-00904</t>
  </si>
  <si>
    <t>ORD-2025-00905</t>
  </si>
  <si>
    <t>ORD-2024-00906</t>
  </si>
  <si>
    <t>ORD-2024-00907</t>
  </si>
  <si>
    <t>ORD-2026-00908</t>
  </si>
  <si>
    <t>ORD-2026-00909</t>
  </si>
  <si>
    <t>ORD-2024-00910</t>
  </si>
  <si>
    <t>ORD-2025-00911</t>
  </si>
  <si>
    <t>ORD-2026-00912</t>
  </si>
  <si>
    <t>ORD-2024-00913</t>
  </si>
  <si>
    <t>ORD-2025-00914</t>
  </si>
  <si>
    <t>ORD-2024-00915</t>
  </si>
  <si>
    <t>ORD-2024-00916</t>
  </si>
  <si>
    <t>ORD-2024-00917</t>
  </si>
  <si>
    <t>ORD-2024-00918</t>
  </si>
  <si>
    <t>ORD-2024-00919</t>
  </si>
  <si>
    <t>ORD-2026-00920</t>
  </si>
  <si>
    <t>ORD-2024-00921</t>
  </si>
  <si>
    <t>ORD-2025-00922</t>
  </si>
  <si>
    <t>ORD-2024-00923</t>
  </si>
  <si>
    <t>ORD-2024-00924</t>
  </si>
  <si>
    <t>ORD-2024-00925</t>
  </si>
  <si>
    <t>Reyansh Soni</t>
  </si>
  <si>
    <t>ORD-2025-00926</t>
  </si>
  <si>
    <t>ORD-2024-00927</t>
  </si>
  <si>
    <t>ORD-2024-00928</t>
  </si>
  <si>
    <t>ORD-2024-00929</t>
  </si>
  <si>
    <t>ORD-2025-00930</t>
  </si>
  <si>
    <t>ORD-2024-00931</t>
  </si>
  <si>
    <t>Dev Mehta</t>
  </si>
  <si>
    <t>ORD-2025-00932</t>
  </si>
  <si>
    <t>ORD-2024-00933</t>
  </si>
  <si>
    <t>ORD-2026-00934</t>
  </si>
  <si>
    <t>ORD-2025-00935</t>
  </si>
  <si>
    <t>Aanya Mehta</t>
  </si>
  <si>
    <t>ORD-2024-00936</t>
  </si>
  <si>
    <t>ORD-2025-00937</t>
  </si>
  <si>
    <t>ORD-2025-00938</t>
  </si>
  <si>
    <t>ORD-2025-00939</t>
  </si>
  <si>
    <t>ORD-2026-00940</t>
  </si>
  <si>
    <t>ORD-2025-00941</t>
  </si>
  <si>
    <t>ORD-2025-00942</t>
  </si>
  <si>
    <t>ORD-2025-00943</t>
  </si>
  <si>
    <t>ORD-2025-00944</t>
  </si>
  <si>
    <t>ORD-2026-00945</t>
  </si>
  <si>
    <t>ORD-2024-00946</t>
  </si>
  <si>
    <t>ORD-2025-00947</t>
  </si>
  <si>
    <t>ORD-2025-00948</t>
  </si>
  <si>
    <t>CUST-0192</t>
  </si>
  <si>
    <t>ORD-2025-00949</t>
  </si>
  <si>
    <t>ORD-2024-00950</t>
  </si>
  <si>
    <t>ORD-2026-00951</t>
  </si>
  <si>
    <t>Krish Mehta</t>
  </si>
  <si>
    <t>ORD-2025-00952</t>
  </si>
  <si>
    <t>ORD-2025-00953</t>
  </si>
  <si>
    <t>ORD-2024-00954</t>
  </si>
  <si>
    <t>ORD-2026-00955</t>
  </si>
  <si>
    <t>ORD-2026-00956</t>
  </si>
  <si>
    <t>ORD-2024-00957</t>
  </si>
  <si>
    <t>ORD-2025-00958</t>
  </si>
  <si>
    <t>ORD-2025-00959</t>
  </si>
  <si>
    <t>ORD-2024-00960</t>
  </si>
  <si>
    <t>ORD-2024-00961</t>
  </si>
  <si>
    <t>ORD-2025-00962</t>
  </si>
  <si>
    <t>ORD-2025-00963</t>
  </si>
  <si>
    <t>ORD-2025-00964</t>
  </si>
  <si>
    <t>ORD-2024-00965</t>
  </si>
  <si>
    <t>CUST-0019</t>
  </si>
  <si>
    <t>ORD-2024-00966</t>
  </si>
  <si>
    <t>ORD-2025-00967</t>
  </si>
  <si>
    <t>ORD-2025-00968</t>
  </si>
  <si>
    <t>ORD-2025-00969</t>
  </si>
  <si>
    <t>ORD-2025-00970</t>
  </si>
  <si>
    <t>ORD-2026-00971</t>
  </si>
  <si>
    <t>ORD-2026-00972</t>
  </si>
  <si>
    <t>ORD-2024-00973</t>
  </si>
  <si>
    <t>ORD-2025-00974</t>
  </si>
  <si>
    <t>ORD-2025-00975</t>
  </si>
  <si>
    <t>ORD-2024-00976</t>
  </si>
  <si>
    <t>ORD-2024-00977</t>
  </si>
  <si>
    <t>Aanya Panjwani</t>
  </si>
  <si>
    <t>ORD-2025-00978</t>
  </si>
  <si>
    <t>ORD-2026-00979</t>
  </si>
  <si>
    <t>ORD-2025-00980</t>
  </si>
  <si>
    <t>ORD-2025-00981</t>
  </si>
  <si>
    <t>ORD-2024-00982</t>
  </si>
  <si>
    <t>ORD-2025-00983</t>
  </si>
  <si>
    <t>ORD-2024-00984</t>
  </si>
  <si>
    <t>ORD-2026-00985</t>
  </si>
  <si>
    <t>ORD-2025-00986</t>
  </si>
  <si>
    <t>ORD-2024-00987</t>
  </si>
  <si>
    <t>CUST-0186</t>
  </si>
  <si>
    <t>ORD-2024-00988</t>
  </si>
  <si>
    <t>ORD-2024-00989</t>
  </si>
  <si>
    <t>ORD-2026-00990</t>
  </si>
  <si>
    <t>ORD-2026-00991</t>
  </si>
  <si>
    <t>ORD-2025-00992</t>
  </si>
  <si>
    <t>ORD-2026-00993</t>
  </si>
  <si>
    <t>ORD-2024-00994</t>
  </si>
  <si>
    <t>ORD-2025-00995</t>
  </si>
  <si>
    <t>ORD-2025-00996</t>
  </si>
  <si>
    <t>ORD-2025-00997</t>
  </si>
  <si>
    <t>ORD-2024-00998</t>
  </si>
  <si>
    <t>ORD-2024-00999</t>
  </si>
  <si>
    <t>ORD-2024-01000</t>
  </si>
  <si>
    <t>Total sales from all City</t>
  </si>
  <si>
    <t>Total sales from all State</t>
  </si>
  <si>
    <t>Total sales from Region</t>
  </si>
  <si>
    <t>Category wise total sales</t>
  </si>
  <si>
    <t>Category wise Quantity</t>
  </si>
  <si>
    <t>CustomerID vs Payment Method</t>
  </si>
  <si>
    <t>Region wise Payment Method</t>
  </si>
  <si>
    <t>Sum of Sales</t>
  </si>
  <si>
    <t>Count of Quantity</t>
  </si>
  <si>
    <t>Count of Customer ID</t>
  </si>
  <si>
    <t>Count of Payment Method</t>
  </si>
  <si>
    <t>Grand Total</t>
  </si>
  <si>
    <t>Central Total</t>
  </si>
  <si>
    <t>East Total</t>
  </si>
  <si>
    <t>North Total</t>
  </si>
  <si>
    <t>South Total</t>
  </si>
  <si>
    <t>West Total</t>
  </si>
  <si>
    <t>Sales collected by Payent method</t>
  </si>
  <si>
    <t>Product Wise Quantity</t>
  </si>
  <si>
    <t>Category wise total Profit</t>
  </si>
  <si>
    <t>Segment wise City</t>
  </si>
  <si>
    <t>Sum of Profit</t>
  </si>
  <si>
    <t>Count of City</t>
  </si>
  <si>
    <t xml:space="preserve">Sales </t>
  </si>
  <si>
    <t>Performance</t>
  </si>
  <si>
    <t>Sales Category</t>
  </si>
  <si>
    <t>Order Status</t>
  </si>
  <si>
    <t>Customer Name -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</si>
</sst>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47]#,##0.0"/>
    <numFmt numFmtId="165" formatCode="_ [$₹-447]* #,##0.0_ ;_ [$₹-447]* \-#,##0.0_ ;_ [$₹-447]* &quot;-&quot;?_ ;_ @_ 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4" tint="0.59999389629810485"/>
      <name val="Aptos Narrow"/>
      <charset val="1"/>
    </font>
    <font>
      <b/>
      <i/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Aptos Narrow"/>
    </font>
    <font>
      <b/>
      <i/>
      <sz val="11"/>
      <color rgb="FFB4C6E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22B3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4" fillId="3" borderId="0" xfId="0" applyFont="1" applyFill="1"/>
    <xf numFmtId="0" fontId="5" fillId="3" borderId="0" xfId="0" applyFont="1" applyFill="1"/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9" fillId="0" borderId="2" xfId="0" applyFont="1" applyFill="1" applyBorder="1" applyAlignment="1"/>
    <xf numFmtId="0" fontId="9" fillId="0" borderId="3" xfId="0" applyFont="1" applyFill="1" applyBorder="1" applyAlignment="1"/>
    <xf numFmtId="0" fontId="9" fillId="0" borderId="4" xfId="0" applyFont="1" applyFill="1" applyBorder="1" applyAlignment="1"/>
    <xf numFmtId="9" fontId="0" fillId="0" borderId="0" xfId="0" applyNumberFormat="1"/>
    <xf numFmtId="14" fontId="0" fillId="0" borderId="0" xfId="0" applyNumberFormat="1"/>
    <xf numFmtId="0" fontId="10" fillId="3" borderId="0" xfId="0" applyFont="1" applyFill="1"/>
    <xf numFmtId="165" fontId="10" fillId="3" borderId="0" xfId="0" applyNumberFormat="1" applyFont="1" applyFill="1"/>
    <xf numFmtId="9" fontId="10" fillId="3" borderId="0" xfId="0" applyNumberFormat="1" applyFont="1" applyFill="1"/>
    <xf numFmtId="0" fontId="11" fillId="3" borderId="1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25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</font>
    </dxf>
    <dxf>
      <font>
        <i/>
      </font>
    </dxf>
    <dxf>
      <font>
        <color rgb="FF000000"/>
      </font>
    </dxf>
    <dxf>
      <fill>
        <patternFill patternType="solid">
          <fgColor indexed="64"/>
          <bgColor rgb="FFFFFF00"/>
        </patternFill>
      </fill>
    </dxf>
    <dxf>
      <font>
        <color rgb="FF00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colors>
    <mruColors>
      <color rgb="FFB4C6E7"/>
      <color rgb="FF222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microsoft.com/office/2007/relationships/slicerCache" Target="slicerCaches/slicerCache9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07/relationships/slicerCache" Target="slicerCaches/slicerCache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7.xml"/><Relationship Id="rId5" Type="http://schemas.microsoft.com/office/2007/relationships/slicerCache" Target="slicerCaches/slicerCache1.xml"/><Relationship Id="rId15" Type="http://schemas.openxmlformats.org/officeDocument/2006/relationships/theme" Target="theme/theme1.xml"/><Relationship Id="rId10" Type="http://schemas.microsoft.com/office/2007/relationships/slicerCache" Target="slicerCaches/slicerCache6.xml"/><Relationship Id="rId19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microsoft.com/office/2007/relationships/slicerCache" Target="slicerCaches/slicerCache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[MohammadTaki_Practical_Exam.xlsx]Data Analysis &amp; Visualisation!PivotTable1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Analysis &amp; Visualisation'!$D$3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 &amp; Visualisation'!$C$4:$C$19</c:f>
              <c:strCache>
                <c:ptCount val="15"/>
                <c:pt idx="0">
                  <c:v>Ahmedabad</c:v>
                </c:pt>
                <c:pt idx="1">
                  <c:v>Bengaluru</c:v>
                </c:pt>
                <c:pt idx="2">
                  <c:v>Bhavnagar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  <c:pt idx="6">
                  <c:v>Indore</c:v>
                </c:pt>
                <c:pt idx="7">
                  <c:v>Jaipur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Pune</c:v>
                </c:pt>
                <c:pt idx="12">
                  <c:v>Rajkot</c:v>
                </c:pt>
                <c:pt idx="13">
                  <c:v>Surat</c:v>
                </c:pt>
                <c:pt idx="14">
                  <c:v>Vadodara</c:v>
                </c:pt>
              </c:strCache>
            </c:strRef>
          </c:cat>
          <c:val>
            <c:numRef>
              <c:f>'Data Analysis &amp; Visualisation'!$D$4:$D$19</c:f>
              <c:numCache>
                <c:formatCode>[$₹-447]#,##0.0</c:formatCode>
                <c:ptCount val="15"/>
                <c:pt idx="0">
                  <c:v>428509.5</c:v>
                </c:pt>
                <c:pt idx="1">
                  <c:v>575877.5</c:v>
                </c:pt>
                <c:pt idx="2">
                  <c:v>548171.5</c:v>
                </c:pt>
                <c:pt idx="3">
                  <c:v>546874</c:v>
                </c:pt>
                <c:pt idx="4">
                  <c:v>394535.5</c:v>
                </c:pt>
                <c:pt idx="5">
                  <c:v>277026.5</c:v>
                </c:pt>
                <c:pt idx="6">
                  <c:v>380218</c:v>
                </c:pt>
                <c:pt idx="7">
                  <c:v>432785.5</c:v>
                </c:pt>
                <c:pt idx="8">
                  <c:v>418438</c:v>
                </c:pt>
                <c:pt idx="9">
                  <c:v>416226.5</c:v>
                </c:pt>
                <c:pt idx="10">
                  <c:v>376616.5</c:v>
                </c:pt>
                <c:pt idx="11">
                  <c:v>494997.5</c:v>
                </c:pt>
                <c:pt idx="12">
                  <c:v>452242</c:v>
                </c:pt>
                <c:pt idx="13">
                  <c:v>564353</c:v>
                </c:pt>
                <c:pt idx="14">
                  <c:v>667476.5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2-4FAC-B4B4-58B0486C5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8"/>
        <c:overlap val="100"/>
        <c:axId val="1986973704"/>
        <c:axId val="1986977288"/>
      </c:barChart>
      <c:catAx>
        <c:axId val="1986973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77288"/>
        <c:crosses val="autoZero"/>
        <c:auto val="1"/>
        <c:lblAlgn val="ctr"/>
        <c:lblOffset val="100"/>
        <c:noMultiLvlLbl val="0"/>
      </c:catAx>
      <c:valAx>
        <c:axId val="198697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47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7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[MohammadTaki_Practical_Exam.xlsx]Data Analysis &amp; Visualisation!PivotTable2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Analysis &amp; Visualisation'!$K$3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'Data Analysis &amp; Visualisation'!$J$4:$J$14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'Data Analysis &amp; Visualisation'!$K$4:$K$14</c:f>
              <c:numCache>
                <c:formatCode>[$₹-447]#,##0.0</c:formatCode>
                <c:ptCount val="10"/>
                <c:pt idx="0">
                  <c:v>394535.5</c:v>
                </c:pt>
                <c:pt idx="1">
                  <c:v>2660752.5</c:v>
                </c:pt>
                <c:pt idx="2">
                  <c:v>575877.5</c:v>
                </c:pt>
                <c:pt idx="3">
                  <c:v>380218</c:v>
                </c:pt>
                <c:pt idx="4">
                  <c:v>871614</c:v>
                </c:pt>
                <c:pt idx="5">
                  <c:v>432785.5</c:v>
                </c:pt>
                <c:pt idx="6">
                  <c:v>546874</c:v>
                </c:pt>
                <c:pt idx="7">
                  <c:v>277026.5</c:v>
                </c:pt>
                <c:pt idx="8">
                  <c:v>416226.5</c:v>
                </c:pt>
                <c:pt idx="9">
                  <c:v>418438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9-4A3F-A027-8A8E88516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0841608"/>
        <c:axId val="2010845704"/>
      </c:lineChart>
      <c:catAx>
        <c:axId val="2010841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45704"/>
        <c:crosses val="autoZero"/>
        <c:auto val="1"/>
        <c:lblAlgn val="ctr"/>
        <c:lblOffset val="100"/>
        <c:noMultiLvlLbl val="0"/>
      </c:catAx>
      <c:valAx>
        <c:axId val="201084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47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4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[MohammadTaki_Practical_Exam.xlsx]Data Analysis &amp; Visualisation!PivotTable4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'Data Analysis &amp; Visualisation'!$R$3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6F-4CA6-80C3-57707A30C2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6F-4CA6-80C3-57707A30C2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6F-4CA6-80C3-57707A30C2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6F-4CA6-80C3-57707A30C2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6F-4CA6-80C3-57707A30C29C}"/>
              </c:ext>
            </c:extLst>
          </c:dPt>
          <c:cat>
            <c:strRef>
              <c:f>'Data Analysis &amp; Visualisation'!$Q$4:$Q$9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'Data Analysis &amp; Visualisation'!$R$4:$R$9</c:f>
              <c:numCache>
                <c:formatCode>[$₹-447]#,##0.0</c:formatCode>
                <c:ptCount val="5"/>
                <c:pt idx="0">
                  <c:v>380218</c:v>
                </c:pt>
                <c:pt idx="1">
                  <c:v>418438</c:v>
                </c:pt>
                <c:pt idx="2">
                  <c:v>1243547.5</c:v>
                </c:pt>
                <c:pt idx="3">
                  <c:v>1399778</c:v>
                </c:pt>
                <c:pt idx="4">
                  <c:v>3532366.5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9-42B5-8B96-33CBF48D2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[MohammadTaki_Practical_Exam.xlsx]Data Analysis &amp; Visualisation!PivotTable5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Analysis &amp; Visualisation'!$X$3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 &amp; Visualisation'!$W$4:$W$8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'Data Analysis &amp; Visualisation'!$X$4:$X$8</c:f>
              <c:numCache>
                <c:formatCode>[$₹-447]#,##0.0</c:formatCode>
                <c:ptCount val="4"/>
                <c:pt idx="0">
                  <c:v>1097218.5</c:v>
                </c:pt>
                <c:pt idx="1">
                  <c:v>2622957.5</c:v>
                </c:pt>
                <c:pt idx="2">
                  <c:v>3073800</c:v>
                </c:pt>
                <c:pt idx="3">
                  <c:v>180372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8-4759-8D05-0E171496F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5882120"/>
        <c:axId val="1314937352"/>
      </c:barChart>
      <c:catAx>
        <c:axId val="1225882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937352"/>
        <c:crosses val="autoZero"/>
        <c:auto val="1"/>
        <c:lblAlgn val="ctr"/>
        <c:lblOffset val="100"/>
        <c:noMultiLvlLbl val="0"/>
      </c:catAx>
      <c:valAx>
        <c:axId val="131493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47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882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[MohammadTaki_Practical_Exam.xlsx]Data Analysis &amp; Visualisation!PivotTable7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Person and their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'Data Analysis &amp; Visualisation'!$AK$3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'Data Analysis &amp; Visualisation'!$AJ$4:$AJ$9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'Data Analysis &amp; Visualisation'!$AK$4:$AK$9</c:f>
              <c:numCache>
                <c:formatCode>General</c:formatCode>
                <c:ptCount val="5"/>
                <c:pt idx="0">
                  <c:v>193</c:v>
                </c:pt>
                <c:pt idx="1">
                  <c:v>192</c:v>
                </c:pt>
                <c:pt idx="2">
                  <c:v>191</c:v>
                </c:pt>
                <c:pt idx="3">
                  <c:v>199</c:v>
                </c:pt>
                <c:pt idx="4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A-49B1-B49D-FE1F8A00D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899016"/>
        <c:axId val="1233382408"/>
      </c:lineChart>
      <c:catAx>
        <c:axId val="1225899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Method</a:t>
                </a:r>
              </a:p>
            </c:rich>
          </c:tx>
          <c:overlay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82408"/>
        <c:crosses val="autoZero"/>
        <c:auto val="1"/>
        <c:lblAlgn val="ctr"/>
        <c:lblOffset val="100"/>
        <c:noMultiLvlLbl val="0"/>
      </c:catAx>
      <c:valAx>
        <c:axId val="123338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89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[MohammadTaki_Practical_Exam.xlsx]Data Analysis &amp; Visualisation!PivotTable8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'Data Analysis &amp; Visualisation'!$D$38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 &amp; Visualisation'!$C$39:$C$44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'Data Analysis &amp; Visualisation'!$D$39:$D$44</c:f>
              <c:numCache>
                <c:formatCode>[$₹-447]#,##0.0</c:formatCode>
                <c:ptCount val="5"/>
                <c:pt idx="0">
                  <c:v>1245510.5</c:v>
                </c:pt>
                <c:pt idx="1">
                  <c:v>1131370.5</c:v>
                </c:pt>
                <c:pt idx="2">
                  <c:v>1309456</c:v>
                </c:pt>
                <c:pt idx="3">
                  <c:v>1622114.5</c:v>
                </c:pt>
                <c:pt idx="4">
                  <c:v>1665896.5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C-431A-9E5A-2457E561F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2997384"/>
        <c:axId val="1578512392"/>
      </c:barChart>
      <c:catAx>
        <c:axId val="123299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12392"/>
        <c:crosses val="autoZero"/>
        <c:auto val="1"/>
        <c:lblAlgn val="ctr"/>
        <c:lblOffset val="100"/>
        <c:noMultiLvlLbl val="0"/>
      </c:catAx>
      <c:valAx>
        <c:axId val="15785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9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[MohammadTaki_Practical_Exam.xlsx]Data Analysis &amp; Visualisation!PivotTable10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'Data Analysis &amp; Visualisation'!$O$38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'Data Analysis &amp; Visualisation'!$N$39:$N$43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'Data Analysis &amp; Visualisation'!$O$39:$O$43</c:f>
              <c:numCache>
                <c:formatCode>_ [$₹-447]* #,##0.0_ ;_ [$₹-447]* \-#,##0.0_ ;_ [$₹-447]* "-"?_ ;_ @_ </c:formatCode>
                <c:ptCount val="4"/>
                <c:pt idx="0">
                  <c:v>263659.7099999999</c:v>
                </c:pt>
                <c:pt idx="1">
                  <c:v>594096.63000000035</c:v>
                </c:pt>
                <c:pt idx="2">
                  <c:v>710551.60000000056</c:v>
                </c:pt>
                <c:pt idx="3">
                  <c:v>44074.299999999967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5-4095-8D56-18F94C260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727560"/>
        <c:axId val="1281650696"/>
      </c:lineChart>
      <c:catAx>
        <c:axId val="1216727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50696"/>
        <c:crosses val="autoZero"/>
        <c:auto val="1"/>
        <c:lblAlgn val="ctr"/>
        <c:lblOffset val="100"/>
        <c:noMultiLvlLbl val="0"/>
      </c:catAx>
      <c:valAx>
        <c:axId val="128165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47]* #,##0.0_ ;_ [$₹-447]* \-#,##0.0_ ;_ [$₹-447]* &quot;-&quot;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2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[MohammadTaki_Practical_Exam.xlsx]Data Analysis &amp; Visualisation!PivotTable3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'City' by 'Segment'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Analysis &amp; Visualisation'!$U$38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54-47E9-9D63-7AECC6E18D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54-47E9-9D63-7AECC6E18D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54-47E9-9D63-7AECC6E18D91}"/>
              </c:ext>
            </c:extLst>
          </c:dPt>
          <c:cat>
            <c:strRef>
              <c:f>'Data Analysis &amp; Visualisation'!$T$39:$T$42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'Data Analysis &amp; Visualisation'!$U$39:$U$42</c:f>
              <c:numCache>
                <c:formatCode>General</c:formatCode>
                <c:ptCount val="3"/>
                <c:pt idx="0">
                  <c:v>336</c:v>
                </c:pt>
                <c:pt idx="1">
                  <c:v>333</c:v>
                </c:pt>
                <c:pt idx="2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DA-4BA0-86D3-09B8844C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-9525</xdr:colOff>
      <xdr:row>18</xdr:row>
      <xdr:rowOff>161925</xdr:rowOff>
    </xdr:from>
    <xdr:to>
      <xdr:col>5</xdr:col>
      <xdr:colOff>581025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1A82A-561E-335E-0004-AE753B4E1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18</xdr:row>
      <xdr:rowOff>152400</xdr:rowOff>
    </xdr:from>
    <xdr:to>
      <xdr:col>12</xdr:col>
      <xdr:colOff>666750</xdr:colOff>
      <xdr:row>33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005EE4-77E6-60DA-8260-F4C0E56ADBAD}"/>
            </a:ext>
            <a:ext uri="{147F2762-F138-4A5C-976F-8EAC2B608ADB}">
              <a16:predDERef xmlns:a16="http://schemas.microsoft.com/office/drawing/2014/main" pred="{7841A82A-561E-335E-0004-AE753B4E1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638175</xdr:colOff>
      <xdr:row>19</xdr:row>
      <xdr:rowOff>0</xdr:rowOff>
    </xdr:from>
    <xdr:to>
      <xdr:col>20</xdr:col>
      <xdr:colOff>0</xdr:colOff>
      <xdr:row>33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5DEB70-A953-3587-D22E-35D18EB6CB9C}"/>
            </a:ext>
            <a:ext uri="{147F2762-F138-4A5C-976F-8EAC2B608ADB}">
              <a16:predDERef xmlns:a16="http://schemas.microsoft.com/office/drawing/2014/main" pred="{82005EE4-77E6-60DA-8260-F4C0E56AD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666750</xdr:colOff>
      <xdr:row>18</xdr:row>
      <xdr:rowOff>180975</xdr:rowOff>
    </xdr:from>
    <xdr:to>
      <xdr:col>25</xdr:col>
      <xdr:colOff>600075</xdr:colOff>
      <xdr:row>33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50003A-AD2A-F8D6-45F9-5387DAABBD06}"/>
            </a:ext>
            <a:ext uri="{147F2762-F138-4A5C-976F-8EAC2B608ADB}">
              <a16:predDERef xmlns:a16="http://schemas.microsoft.com/office/drawing/2014/main" pred="{DD5DEB70-A953-3587-D22E-35D18EB6C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0</xdr:colOff>
      <xdr:row>18</xdr:row>
      <xdr:rowOff>152400</xdr:rowOff>
    </xdr:from>
    <xdr:to>
      <xdr:col>38</xdr:col>
      <xdr:colOff>38100</xdr:colOff>
      <xdr:row>33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E75848-3C02-0D67-5B26-252AB291FFF2}"/>
            </a:ext>
            <a:ext uri="{147F2762-F138-4A5C-976F-8EAC2B608ADB}">
              <a16:predDERef xmlns:a16="http://schemas.microsoft.com/office/drawing/2014/main" pred="{BC50003A-AD2A-F8D6-45F9-5387DAABB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66675</xdr:colOff>
      <xdr:row>44</xdr:row>
      <xdr:rowOff>47625</xdr:rowOff>
    </xdr:from>
    <xdr:to>
      <xdr:col>6</xdr:col>
      <xdr:colOff>104775</xdr:colOff>
      <xdr:row>59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0364BDC-7EC5-E0FB-AC49-B0F4621B43B9}"/>
            </a:ext>
            <a:ext uri="{147F2762-F138-4A5C-976F-8EAC2B608ADB}">
              <a16:predDERef xmlns:a16="http://schemas.microsoft.com/office/drawing/2014/main" pred="{CEE75848-3C02-0D67-5B26-252AB291F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666750</xdr:colOff>
      <xdr:row>44</xdr:row>
      <xdr:rowOff>0</xdr:rowOff>
    </xdr:from>
    <xdr:to>
      <xdr:col>16</xdr:col>
      <xdr:colOff>762000</xdr:colOff>
      <xdr:row>58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46DECE-14C7-668C-5AD4-56CB2463FFB9}"/>
            </a:ext>
            <a:ext uri="{147F2762-F138-4A5C-976F-8EAC2B608ADB}">
              <a16:predDERef xmlns:a16="http://schemas.microsoft.com/office/drawing/2014/main" pred="{A0364BDC-7EC5-E0FB-AC49-B0F4621B4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828675</xdr:colOff>
      <xdr:row>43</xdr:row>
      <xdr:rowOff>152400</xdr:rowOff>
    </xdr:from>
    <xdr:to>
      <xdr:col>22</xdr:col>
      <xdr:colOff>933450</xdr:colOff>
      <xdr:row>58</xdr:row>
      <xdr:rowOff>38100</xdr:rowOff>
    </xdr:to>
    <xdr:graphicFrame macro="">
      <xdr:nvGraphicFramePr>
        <xdr:cNvPr id="6" name="Chart 5" descr="Chart type: Pie. 'City' by 'Segment'&#10;&#10;Description automatically generated">
          <a:extLst>
            <a:ext uri="{FF2B5EF4-FFF2-40B4-BE49-F238E27FC236}">
              <a16:creationId xmlns:a16="http://schemas.microsoft.com/office/drawing/2014/main" id="{7E4C5182-7121-6B24-93B7-CF4ED6040F17}"/>
            </a:ext>
            <a:ext uri="{147F2762-F138-4A5C-976F-8EAC2B608ADB}">
              <a16:predDERef xmlns:a16="http://schemas.microsoft.com/office/drawing/2014/main" pred="{8D46DECE-14C7-668C-5AD4-56CB2463F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38100</xdr:colOff>
      <xdr:row>0</xdr:row>
      <xdr:rowOff>9525</xdr:rowOff>
    </xdr:from>
    <xdr:to>
      <xdr:col>6</xdr:col>
      <xdr:colOff>123825</xdr:colOff>
      <xdr:row>13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City">
              <a:extLst>
                <a:ext uri="{FF2B5EF4-FFF2-40B4-BE49-F238E27FC236}">
                  <a16:creationId xmlns:a16="http://schemas.microsoft.com/office/drawing/2014/main" id="{DD7130EB-13FE-E515-BE74-0ACBB224B1B4}"/>
                </a:ext>
                <a:ext uri="{147F2762-F138-4A5C-976F-8EAC2B608ADB}">
                  <a16:predDERef xmlns:a16="http://schemas.microsoft.com/office/drawing/2014/main" pred="{7E4C5182-7121-6B24-93B7-CF4ED6040F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6550" y="9525"/>
              <a:ext cx="1304925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9525</xdr:colOff>
      <xdr:row>0</xdr:row>
      <xdr:rowOff>180975</xdr:rowOff>
    </xdr:from>
    <xdr:to>
      <xdr:col>13</xdr:col>
      <xdr:colOff>466725</xdr:colOff>
      <xdr:row>10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State">
              <a:extLst>
                <a:ext uri="{FF2B5EF4-FFF2-40B4-BE49-F238E27FC236}">
                  <a16:creationId xmlns:a16="http://schemas.microsoft.com/office/drawing/2014/main" id="{7E0B4600-62F6-5096-2E07-2A383D1CBF17}"/>
                </a:ext>
                <a:ext uri="{147F2762-F138-4A5C-976F-8EAC2B608ADB}">
                  <a16:predDERef xmlns:a16="http://schemas.microsoft.com/office/drawing/2014/main" pred="{DD7130EB-13FE-E515-BE74-0ACBB224B1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91450" y="180975"/>
              <a:ext cx="1828800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819150</xdr:colOff>
      <xdr:row>0</xdr:row>
      <xdr:rowOff>180975</xdr:rowOff>
    </xdr:from>
    <xdr:to>
      <xdr:col>19</xdr:col>
      <xdr:colOff>552450</xdr:colOff>
      <xdr:row>7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Region">
              <a:extLst>
                <a:ext uri="{FF2B5EF4-FFF2-40B4-BE49-F238E27FC236}">
                  <a16:creationId xmlns:a16="http://schemas.microsoft.com/office/drawing/2014/main" id="{59704926-EA16-F038-A455-442D8F6B96CB}"/>
                </a:ext>
                <a:ext uri="{147F2762-F138-4A5C-976F-8EAC2B608ADB}">
                  <a16:predDERef xmlns:a16="http://schemas.microsoft.com/office/drawing/2014/main" pred="{DE02FB64-DB50-8333-434C-1E02DA521C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96900" y="180975"/>
              <a:ext cx="1238250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24</xdr:col>
      <xdr:colOff>28575</xdr:colOff>
      <xdr:row>0</xdr:row>
      <xdr:rowOff>171450</xdr:rowOff>
    </xdr:from>
    <xdr:to>
      <xdr:col>26</xdr:col>
      <xdr:colOff>466725</xdr:colOff>
      <xdr:row>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Category">
              <a:extLst>
                <a:ext uri="{FF2B5EF4-FFF2-40B4-BE49-F238E27FC236}">
                  <a16:creationId xmlns:a16="http://schemas.microsoft.com/office/drawing/2014/main" id="{068352AA-F7CA-09BB-D45C-5BB8E9556081}"/>
                </a:ext>
                <a:ext uri="{147F2762-F138-4A5C-976F-8EAC2B608ADB}">
                  <a16:predDERef xmlns:a16="http://schemas.microsoft.com/office/drawing/2014/main" pred="{9678F3A7-5807-C0D9-2537-A3ECB5E010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64200" y="171450"/>
              <a:ext cx="18288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37</xdr:col>
      <xdr:colOff>76200</xdr:colOff>
      <xdr:row>0</xdr:row>
      <xdr:rowOff>171450</xdr:rowOff>
    </xdr:from>
    <xdr:to>
      <xdr:col>39</xdr:col>
      <xdr:colOff>466725</xdr:colOff>
      <xdr:row>7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Payment Method">
              <a:extLst>
                <a:ext uri="{FF2B5EF4-FFF2-40B4-BE49-F238E27FC236}">
                  <a16:creationId xmlns:a16="http://schemas.microsoft.com/office/drawing/2014/main" id="{6CD6B522-2BE6-A094-46FC-9397B17003BD}"/>
                </a:ext>
                <a:ext uri="{147F2762-F138-4A5C-976F-8EAC2B608ADB}">
                  <a16:predDERef xmlns:a16="http://schemas.microsoft.com/office/drawing/2014/main" pred="{39AD1277-8070-8CFD-BB95-391A616C62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80025" y="171450"/>
              <a:ext cx="1609725" cy="134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30</xdr:col>
      <xdr:colOff>38100</xdr:colOff>
      <xdr:row>0</xdr:row>
      <xdr:rowOff>114300</xdr:rowOff>
    </xdr:from>
    <xdr:to>
      <xdr:col>33</xdr:col>
      <xdr:colOff>38100</xdr:colOff>
      <xdr:row>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Category 1">
              <a:extLst>
                <a:ext uri="{FF2B5EF4-FFF2-40B4-BE49-F238E27FC236}">
                  <a16:creationId xmlns:a16="http://schemas.microsoft.com/office/drawing/2014/main" id="{B3E01FB7-134D-9016-C61B-4583EFF07B34}"/>
                </a:ext>
                <a:ext uri="{147F2762-F138-4A5C-976F-8EAC2B608ADB}">
                  <a16:predDERef xmlns:a16="http://schemas.microsoft.com/office/drawing/2014/main" pred="{6CD6B522-2BE6-A094-46FC-9397B17003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88825" y="114300"/>
              <a:ext cx="18288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66675</xdr:colOff>
      <xdr:row>35</xdr:row>
      <xdr:rowOff>133350</xdr:rowOff>
    </xdr:from>
    <xdr:to>
      <xdr:col>5</xdr:col>
      <xdr:colOff>495300</xdr:colOff>
      <xdr:row>41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Payment Method 1">
              <a:extLst>
                <a:ext uri="{FF2B5EF4-FFF2-40B4-BE49-F238E27FC236}">
                  <a16:creationId xmlns:a16="http://schemas.microsoft.com/office/drawing/2014/main" id="{0B4BD1D6-30E7-DF21-878B-88BFA9E584BD}"/>
                </a:ext>
                <a:ext uri="{147F2762-F138-4A5C-976F-8EAC2B608ADB}">
                  <a16:predDERef xmlns:a16="http://schemas.microsoft.com/office/drawing/2014/main" pred="{B3E01FB7-134D-9016-C61B-4583EFF07B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5125" y="6800850"/>
              <a:ext cx="1038225" cy="104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209550</xdr:colOff>
      <xdr:row>35</xdr:row>
      <xdr:rowOff>180975</xdr:rowOff>
    </xdr:from>
    <xdr:to>
      <xdr:col>8</xdr:col>
      <xdr:colOff>590550</xdr:colOff>
      <xdr:row>53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Product Name">
              <a:extLst>
                <a:ext uri="{FF2B5EF4-FFF2-40B4-BE49-F238E27FC236}">
                  <a16:creationId xmlns:a16="http://schemas.microsoft.com/office/drawing/2014/main" id="{BBBFDA94-DA20-BE10-DF39-FC005CEE2ED1}"/>
                </a:ext>
                <a:ext uri="{147F2762-F138-4A5C-976F-8EAC2B608ADB}">
                  <a16:predDERef xmlns:a16="http://schemas.microsoft.com/office/drawing/2014/main" pred="{0B4BD1D6-30E7-DF21-878B-88BFA9E584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6848475"/>
              <a:ext cx="1600200" cy="337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28575</xdr:colOff>
      <xdr:row>35</xdr:row>
      <xdr:rowOff>171450</xdr:rowOff>
    </xdr:from>
    <xdr:to>
      <xdr:col>17</xdr:col>
      <xdr:colOff>390525</xdr:colOff>
      <xdr:row>40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Category 2">
              <a:extLst>
                <a:ext uri="{FF2B5EF4-FFF2-40B4-BE49-F238E27FC236}">
                  <a16:creationId xmlns:a16="http://schemas.microsoft.com/office/drawing/2014/main" id="{6D8A853A-9170-9A41-41F4-FBBF06D8075D}"/>
                </a:ext>
                <a:ext uri="{147F2762-F138-4A5C-976F-8EAC2B608ADB}">
                  <a16:predDERef xmlns:a16="http://schemas.microsoft.com/office/drawing/2014/main" pred="{BBBFDA94-DA20-BE10-DF39-FC005CEE2E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9475" y="6838950"/>
              <a:ext cx="18288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21</xdr:col>
      <xdr:colOff>28575</xdr:colOff>
      <xdr:row>35</xdr:row>
      <xdr:rowOff>133350</xdr:rowOff>
    </xdr:from>
    <xdr:to>
      <xdr:col>23</xdr:col>
      <xdr:colOff>0</xdr:colOff>
      <xdr:row>39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Segment">
              <a:extLst>
                <a:ext uri="{FF2B5EF4-FFF2-40B4-BE49-F238E27FC236}">
                  <a16:creationId xmlns:a16="http://schemas.microsoft.com/office/drawing/2014/main" id="{E031A0E9-BE21-0A4E-92D3-13E0302244F4}"/>
                </a:ext>
                <a:ext uri="{147F2762-F138-4A5C-976F-8EAC2B608ADB}">
                  <a16:predDERef xmlns:a16="http://schemas.microsoft.com/office/drawing/2014/main" pred="{6D8A853A-9170-9A41-41F4-FBBF06D807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68625" y="6800850"/>
              <a:ext cx="18288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874549537039" createdVersion="8" refreshedVersion="8" minRefreshableVersion="3" recordCount="1000" xr:uid="{D0E529E7-DA9E-4417-B8B9-203A4D05563B}">
  <cacheSource type="worksheet">
    <worksheetSource ref="A1:P1001" sheet="DataSet"/>
  </cacheSource>
  <cacheFields count="16">
    <cacheField name="Order ID" numFmtId="0">
      <sharedItems count="1000">
        <s v="ORD-2025-00001"/>
        <s v="ORD-2024-00002"/>
        <s v="ORD-2025-00003"/>
        <s v="ORD-2024-00004"/>
        <s v="ORD-2025-00005"/>
        <s v="ORD-2026-00006"/>
        <s v="ORD-2025-00007"/>
        <s v="ORD-2024-00008"/>
        <s v="ORD-2024-00009"/>
        <s v="ORD-2025-00010"/>
        <s v="ORD-2025-00011"/>
        <s v="ORD-2025-00012"/>
        <s v="ORD-2026-00013"/>
        <s v="ORD-2025-00014"/>
        <s v="ORD-2024-00015"/>
        <s v="ORD-2026-00016"/>
        <s v="ORD-2025-00017"/>
        <s v="ORD-2024-00018"/>
        <s v="ORD-2024-00019"/>
        <s v="ORD-2026-00020"/>
        <s v="ORD-2024-00021"/>
        <s v="ORD-2025-00022"/>
        <s v="ORD-2025-00023"/>
        <s v="ORD-2025-00024"/>
        <s v="ORD-2026-00025"/>
        <s v="ORD-2026-00026"/>
        <s v="ORD-2025-00027"/>
        <s v="ORD-2025-00028"/>
        <s v="ORD-2024-00029"/>
        <s v="ORD-2026-00030"/>
        <s v="ORD-2026-00031"/>
        <s v="ORD-2026-00032"/>
        <s v="ORD-2026-00033"/>
        <s v="ORD-2025-00034"/>
        <s v="ORD-2025-00035"/>
        <s v="ORD-2026-00036"/>
        <s v="ORD-2025-00037"/>
        <s v="ORD-2025-00038"/>
        <s v="ORD-2026-00039"/>
        <s v="ORD-2024-00040"/>
        <s v="ORD-2025-00041"/>
        <s v="ORD-2024-00042"/>
        <s v="ORD-2025-00043"/>
        <s v="ORD-2025-00044"/>
        <s v="ORD-2024-00045"/>
        <s v="ORD-2025-00046"/>
        <s v="ORD-2024-00047"/>
        <s v="ORD-2025-00048"/>
        <s v="ORD-2026-00049"/>
        <s v="ORD-2026-00050"/>
        <s v="ORD-2024-00051"/>
        <s v="ORD-2025-00052"/>
        <s v="ORD-2025-00053"/>
        <s v="ORD-2026-00054"/>
        <s v="ORD-2025-00055"/>
        <s v="ORD-2024-00056"/>
        <s v="ORD-2024-00057"/>
        <s v="ORD-2026-00058"/>
        <s v="ORD-2025-00059"/>
        <s v="ORD-2026-00060"/>
        <s v="ORD-2025-00061"/>
        <s v="ORD-2025-00062"/>
        <s v="ORD-2025-00063"/>
        <s v="ORD-2024-00064"/>
        <s v="ORD-2025-00065"/>
        <s v="ORD-2025-00066"/>
        <s v="ORD-2024-00067"/>
        <s v="ORD-2024-00068"/>
        <s v="ORD-2024-00069"/>
        <s v="ORD-2024-00070"/>
        <s v="ORD-2025-00071"/>
        <s v="ORD-2025-00072"/>
        <s v="ORD-2025-00073"/>
        <s v="ORD-2024-00074"/>
        <s v="ORD-2025-00075"/>
        <s v="ORD-2024-00076"/>
        <s v="ORD-2025-00077"/>
        <s v="ORD-2026-00078"/>
        <s v="ORD-2025-00079"/>
        <s v="ORD-2025-00080"/>
        <s v="ORD-2026-00081"/>
        <s v="ORD-2024-00082"/>
        <s v="ORD-2024-00083"/>
        <s v="ORD-2025-00084"/>
        <s v="ORD-2026-00085"/>
        <s v="ORD-2026-00086"/>
        <s v="ORD-2025-00087"/>
        <s v="ORD-2025-00088"/>
        <s v="ORD-2024-00089"/>
        <s v="ORD-2024-00090"/>
        <s v="ORD-2026-00091"/>
        <s v="ORD-2025-00092"/>
        <s v="ORD-2024-00093"/>
        <s v="ORD-2026-00094"/>
        <s v="ORD-2024-00095"/>
        <s v="ORD-2025-00096"/>
        <s v="ORD-2024-00097"/>
        <s v="ORD-2025-00098"/>
        <s v="ORD-2026-00099"/>
        <s v="ORD-2025-00100"/>
        <s v="ORD-2026-00101"/>
        <s v="ORD-2025-00102"/>
        <s v="ORD-2026-00103"/>
        <s v="ORD-2024-00104"/>
        <s v="ORD-2026-00105"/>
        <s v="ORD-2026-00106"/>
        <s v="ORD-2025-00107"/>
        <s v="ORD-2024-00108"/>
        <s v="ORD-2026-00109"/>
        <s v="ORD-2024-00110"/>
        <s v="ORD-2025-00111"/>
        <s v="ORD-2025-00112"/>
        <s v="ORD-2025-00113"/>
        <s v="ORD-2026-00114"/>
        <s v="ORD-2024-00115"/>
        <s v="ORD-2025-00116"/>
        <s v="ORD-2024-00117"/>
        <s v="ORD-2025-00118"/>
        <s v="ORD-2026-00119"/>
        <s v="ORD-2024-00120"/>
        <s v="ORD-2024-00121"/>
        <s v="ORD-2024-00122"/>
        <s v="ORD-2024-00123"/>
        <s v="ORD-2024-00124"/>
        <s v="ORD-2024-00125"/>
        <s v="ORD-2024-00126"/>
        <s v="ORD-2025-00127"/>
        <s v="ORD-2026-00128"/>
        <s v="ORD-2026-00129"/>
        <s v="ORD-2026-00130"/>
        <s v="ORD-2024-00131"/>
        <s v="ORD-2024-00132"/>
        <s v="ORD-2025-00133"/>
        <s v="ORD-2025-00134"/>
        <s v="ORD-2026-00135"/>
        <s v="ORD-2024-00136"/>
        <s v="ORD-2025-00137"/>
        <s v="ORD-2026-00138"/>
        <s v="ORD-2024-00139"/>
        <s v="ORD-2024-00140"/>
        <s v="ORD-2026-00141"/>
        <s v="ORD-2024-00142"/>
        <s v="ORD-2026-00143"/>
        <s v="ORD-2026-00144"/>
        <s v="ORD-2026-00145"/>
        <s v="ORD-2026-00146"/>
        <s v="ORD-2024-00147"/>
        <s v="ORD-2025-00148"/>
        <s v="ORD-2026-00149"/>
        <s v="ORD-2026-00150"/>
        <s v="ORD-2025-00151"/>
        <s v="ORD-2024-00152"/>
        <s v="ORD-2024-00153"/>
        <s v="ORD-2026-00154"/>
        <s v="ORD-2024-00155"/>
        <s v="ORD-2026-00156"/>
        <s v="ORD-2026-00157"/>
        <s v="ORD-2024-00158"/>
        <s v="ORD-2026-00159"/>
        <s v="ORD-2025-00160"/>
        <s v="ORD-2025-00161"/>
        <s v="ORD-2025-00162"/>
        <s v="ORD-2024-00163"/>
        <s v="ORD-2024-00164"/>
        <s v="ORD-2025-00165"/>
        <s v="ORD-2026-00166"/>
        <s v="ORD-2025-00167"/>
        <s v="ORD-2025-00168"/>
        <s v="ORD-2024-00169"/>
        <s v="ORD-2024-00170"/>
        <s v="ORD-2025-00171"/>
        <s v="ORD-2026-00172"/>
        <s v="ORD-2025-00173"/>
        <s v="ORD-2025-00174"/>
        <s v="ORD-2026-00175"/>
        <s v="ORD-2025-00176"/>
        <s v="ORD-2026-00177"/>
        <s v="ORD-2024-00178"/>
        <s v="ORD-2024-00179"/>
        <s v="ORD-2024-00180"/>
        <s v="ORD-2024-00181"/>
        <s v="ORD-2025-00182"/>
        <s v="ORD-2026-00183"/>
        <s v="ORD-2026-00184"/>
        <s v="ORD-2025-00185"/>
        <s v="ORD-2025-00186"/>
        <s v="ORD-2024-00187"/>
        <s v="ORD-2025-00188"/>
        <s v="ORD-2024-00189"/>
        <s v="ORD-2026-00190"/>
        <s v="ORD-2025-00191"/>
        <s v="ORD-2026-00192"/>
        <s v="ORD-2024-00193"/>
        <s v="ORD-2024-00194"/>
        <s v="ORD-2026-00195"/>
        <s v="ORD-2026-00196"/>
        <s v="ORD-2025-00197"/>
        <s v="ORD-2025-00198"/>
        <s v="ORD-2026-00199"/>
        <s v="ORD-2024-00200"/>
        <s v="ORD-2025-00201"/>
        <s v="ORD-2025-00202"/>
        <s v="ORD-2026-00203"/>
        <s v="ORD-2024-00204"/>
        <s v="ORD-2026-00205"/>
        <s v="ORD-2025-00206"/>
        <s v="ORD-2025-00207"/>
        <s v="ORD-2026-00208"/>
        <s v="ORD-2024-00209"/>
        <s v="ORD-2024-00210"/>
        <s v="ORD-2024-00211"/>
        <s v="ORD-2025-00212"/>
        <s v="ORD-2025-00213"/>
        <s v="ORD-2024-00214"/>
        <s v="ORD-2025-00215"/>
        <s v="ORD-2026-00216"/>
        <s v="ORD-2024-00217"/>
        <s v="ORD-2025-00218"/>
        <s v="ORD-2026-00219"/>
        <s v="ORD-2024-00220"/>
        <s v="ORD-2026-00221"/>
        <s v="ORD-2024-00222"/>
        <s v="ORD-2025-00223"/>
        <s v="ORD-2024-00224"/>
        <s v="ORD-2026-00225"/>
        <s v="ORD-2025-00226"/>
        <s v="ORD-2025-00227"/>
        <s v="ORD-2026-00228"/>
        <s v="ORD-2025-00229"/>
        <s v="ORD-2024-00230"/>
        <s v="ORD-2025-00231"/>
        <s v="ORD-2026-00232"/>
        <s v="ORD-2025-00233"/>
        <s v="ORD-2026-00234"/>
        <s v="ORD-2025-00235"/>
        <s v="ORD-2026-00236"/>
        <s v="ORD-2024-00237"/>
        <s v="ORD-2026-00238"/>
        <s v="ORD-2025-00239"/>
        <s v="ORD-2024-00240"/>
        <s v="ORD-2025-00241"/>
        <s v="ORD-2026-00242"/>
        <s v="ORD-2026-00243"/>
        <s v="ORD-2024-00244"/>
        <s v="ORD-2026-00245"/>
        <s v="ORD-2024-00246"/>
        <s v="ORD-2025-00247"/>
        <s v="ORD-2026-00248"/>
        <s v="ORD-2024-00249"/>
        <s v="ORD-2024-00250"/>
        <s v="ORD-2024-00251"/>
        <s v="ORD-2025-00252"/>
        <s v="ORD-2025-00253"/>
        <s v="ORD-2024-00254"/>
        <s v="ORD-2024-00255"/>
        <s v="ORD-2026-00256"/>
        <s v="ORD-2025-00257"/>
        <s v="ORD-2025-00258"/>
        <s v="ORD-2025-00259"/>
        <s v="ORD-2025-00260"/>
        <s v="ORD-2026-00261"/>
        <s v="ORD-2026-00262"/>
        <s v="ORD-2024-00263"/>
        <s v="ORD-2025-00264"/>
        <s v="ORD-2024-00265"/>
        <s v="ORD-2024-00266"/>
        <s v="ORD-2025-00267"/>
        <s v="ORD-2025-00268"/>
        <s v="ORD-2026-00269"/>
        <s v="ORD-2024-00270"/>
        <s v="ORD-2025-00271"/>
        <s v="ORD-2024-00272"/>
        <s v="ORD-2025-00273"/>
        <s v="ORD-2026-00274"/>
        <s v="ORD-2026-00275"/>
        <s v="ORD-2024-00276"/>
        <s v="ORD-2026-00277"/>
        <s v="ORD-2026-00278"/>
        <s v="ORD-2026-00279"/>
        <s v="ORD-2026-00280"/>
        <s v="ORD-2025-00281"/>
        <s v="ORD-2026-00282"/>
        <s v="ORD-2025-00283"/>
        <s v="ORD-2024-00284"/>
        <s v="ORD-2025-00285"/>
        <s v="ORD-2024-00286"/>
        <s v="ORD-2025-00287"/>
        <s v="ORD-2024-00288"/>
        <s v="ORD-2026-00289"/>
        <s v="ORD-2025-00290"/>
        <s v="ORD-2026-00291"/>
        <s v="ORD-2024-00292"/>
        <s v="ORD-2025-00293"/>
        <s v="ORD-2024-00294"/>
        <s v="ORD-2025-00295"/>
        <s v="ORD-2025-00296"/>
        <s v="ORD-2024-00297"/>
        <s v="ORD-2025-00298"/>
        <s v="ORD-2026-00299"/>
        <s v="ORD-2025-00300"/>
        <s v="ORD-2026-00301"/>
        <s v="ORD-2025-00302"/>
        <s v="ORD-2024-00303"/>
        <s v="ORD-2024-00304"/>
        <s v="ORD-2025-00305"/>
        <s v="ORD-2024-00306"/>
        <s v="ORD-2024-00307"/>
        <s v="ORD-2025-00308"/>
        <s v="ORD-2026-00309"/>
        <s v="ORD-2025-00310"/>
        <s v="ORD-2024-00311"/>
        <s v="ORD-2026-00312"/>
        <s v="ORD-2026-00313"/>
        <s v="ORD-2025-00314"/>
        <s v="ORD-2026-00315"/>
        <s v="ORD-2024-00316"/>
        <s v="ORD-2025-00317"/>
        <s v="ORD-2026-00318"/>
        <s v="ORD-2024-00319"/>
        <s v="ORD-2024-00320"/>
        <s v="ORD-2024-00321"/>
        <s v="ORD-2024-00322"/>
        <s v="ORD-2025-00323"/>
        <s v="ORD-2026-00324"/>
        <s v="ORD-2024-00325"/>
        <s v="ORD-2024-00326"/>
        <s v="ORD-2025-00327"/>
        <s v="ORD-2024-00328"/>
        <s v="ORD-2024-00329"/>
        <s v="ORD-2025-00330"/>
        <s v="ORD-2025-00331"/>
        <s v="ORD-2025-00332"/>
        <s v="ORD-2024-00333"/>
        <s v="ORD-2024-00334"/>
        <s v="ORD-2026-00335"/>
        <s v="ORD-2026-00336"/>
        <s v="ORD-2024-00337"/>
        <s v="ORD-2025-00338"/>
        <s v="ORD-2025-00339"/>
        <s v="ORD-2026-00340"/>
        <s v="ORD-2025-00341"/>
        <s v="ORD-2025-00342"/>
        <s v="ORD-2025-00343"/>
        <s v="ORD-2025-00344"/>
        <s v="ORD-2025-00345"/>
        <s v="ORD-2025-00346"/>
        <s v="ORD-2025-00347"/>
        <s v="ORD-2026-00348"/>
        <s v="ORD-2024-00349"/>
        <s v="ORD-2026-00350"/>
        <s v="ORD-2025-00351"/>
        <s v="ORD-2024-00352"/>
        <s v="ORD-2026-00353"/>
        <s v="ORD-2025-00354"/>
        <s v="ORD-2024-00355"/>
        <s v="ORD-2024-00356"/>
        <s v="ORD-2026-00357"/>
        <s v="ORD-2024-00358"/>
        <s v="ORD-2024-00359"/>
        <s v="ORD-2024-00360"/>
        <s v="ORD-2026-00361"/>
        <s v="ORD-2025-00362"/>
        <s v="ORD-2024-00363"/>
        <s v="ORD-2026-00364"/>
        <s v="ORD-2025-00365"/>
        <s v="ORD-2024-00366"/>
        <s v="ORD-2025-00367"/>
        <s v="ORD-2026-00368"/>
        <s v="ORD-2024-00369"/>
        <s v="ORD-2024-00370"/>
        <s v="ORD-2024-00371"/>
        <s v="ORD-2026-00372"/>
        <s v="ORD-2025-00373"/>
        <s v="ORD-2024-00374"/>
        <s v="ORD-2026-00375"/>
        <s v="ORD-2024-00376"/>
        <s v="ORD-2024-00377"/>
        <s v="ORD-2026-00378"/>
        <s v="ORD-2026-00379"/>
        <s v="ORD-2026-00380"/>
        <s v="ORD-2024-00381"/>
        <s v="ORD-2026-00382"/>
        <s v="ORD-2025-00383"/>
        <s v="ORD-2024-00384"/>
        <s v="ORD-2024-00385"/>
        <s v="ORD-2025-00386"/>
        <s v="ORD-2026-00387"/>
        <s v="ORD-2026-00388"/>
        <s v="ORD-2024-00389"/>
        <s v="ORD-2024-00390"/>
        <s v="ORD-2025-00391"/>
        <s v="ORD-2025-00392"/>
        <s v="ORD-2024-00393"/>
        <s v="ORD-2026-00394"/>
        <s v="ORD-2025-00395"/>
        <s v="ORD-2024-00396"/>
        <s v="ORD-2025-00397"/>
        <s v="ORD-2024-00398"/>
        <s v="ORD-2025-00399"/>
        <s v="ORD-2024-00400"/>
        <s v="ORD-2025-00401"/>
        <s v="ORD-2026-00402"/>
        <s v="ORD-2024-00403"/>
        <s v="ORD-2026-00404"/>
        <s v="ORD-2024-00405"/>
        <s v="ORD-2026-00406"/>
        <s v="ORD-2025-00407"/>
        <s v="ORD-2025-00408"/>
        <s v="ORD-2024-00409"/>
        <s v="ORD-2026-00410"/>
        <s v="ORD-2025-00411"/>
        <s v="ORD-2025-00412"/>
        <s v="ORD-2024-00413"/>
        <s v="ORD-2024-00414"/>
        <s v="ORD-2026-00415"/>
        <s v="ORD-2025-00416"/>
        <s v="ORD-2025-00417"/>
        <s v="ORD-2024-00418"/>
        <s v="ORD-2025-00419"/>
        <s v="ORD-2025-00420"/>
        <s v="ORD-2026-00421"/>
        <s v="ORD-2025-00422"/>
        <s v="ORD-2024-00423"/>
        <s v="ORD-2025-00424"/>
        <s v="ORD-2026-00425"/>
        <s v="ORD-2026-00426"/>
        <s v="ORD-2025-00427"/>
        <s v="ORD-2024-00428"/>
        <s v="ORD-2025-00429"/>
        <s v="ORD-2025-00430"/>
        <s v="ORD-2026-00431"/>
        <s v="ORD-2026-00432"/>
        <s v="ORD-2026-00433"/>
        <s v="ORD-2024-00434"/>
        <s v="ORD-2025-00435"/>
        <s v="ORD-2025-00436"/>
        <s v="ORD-2024-00437"/>
        <s v="ORD-2024-00438"/>
        <s v="ORD-2026-00439"/>
        <s v="ORD-2026-00440"/>
        <s v="ORD-2024-00441"/>
        <s v="ORD-2025-00442"/>
        <s v="ORD-2024-00443"/>
        <s v="ORD-2025-00444"/>
        <s v="ORD-2026-00445"/>
        <s v="ORD-2025-00446"/>
        <s v="ORD-2025-00447"/>
        <s v="ORD-2025-00448"/>
        <s v="ORD-2026-00449"/>
        <s v="ORD-2025-00450"/>
        <s v="ORD-2024-00451"/>
        <s v="ORD-2026-00452"/>
        <s v="ORD-2025-00453"/>
        <s v="ORD-2025-00454"/>
        <s v="ORD-2024-00455"/>
        <s v="ORD-2026-00456"/>
        <s v="ORD-2024-00457"/>
        <s v="ORD-2024-00458"/>
        <s v="ORD-2025-00459"/>
        <s v="ORD-2025-00460"/>
        <s v="ORD-2024-00461"/>
        <s v="ORD-2025-00462"/>
        <s v="ORD-2024-00463"/>
        <s v="ORD-2025-00464"/>
        <s v="ORD-2024-00465"/>
        <s v="ORD-2025-00466"/>
        <s v="ORD-2024-00467"/>
        <s v="ORD-2026-00468"/>
        <s v="ORD-2024-00469"/>
        <s v="ORD-2026-00470"/>
        <s v="ORD-2025-00471"/>
        <s v="ORD-2026-00472"/>
        <s v="ORD-2026-00473"/>
        <s v="ORD-2024-00474"/>
        <s v="ORD-2024-00475"/>
        <s v="ORD-2025-00476"/>
        <s v="ORD-2024-00477"/>
        <s v="ORD-2026-00478"/>
        <s v="ORD-2025-00479"/>
        <s v="ORD-2024-00480"/>
        <s v="ORD-2024-00481"/>
        <s v="ORD-2026-00482"/>
        <s v="ORD-2026-00483"/>
        <s v="ORD-2025-00484"/>
        <s v="ORD-2026-00485"/>
        <s v="ORD-2025-00486"/>
        <s v="ORD-2026-00487"/>
        <s v="ORD-2026-00488"/>
        <s v="ORD-2024-00489"/>
        <s v="ORD-2026-00490"/>
        <s v="ORD-2026-00491"/>
        <s v="ORD-2026-00492"/>
        <s v="ORD-2024-00493"/>
        <s v="ORD-2026-00494"/>
        <s v="ORD-2025-00495"/>
        <s v="ORD-2025-00496"/>
        <s v="ORD-2024-00497"/>
        <s v="ORD-2024-00498"/>
        <s v="ORD-2024-00499"/>
        <s v="ORD-2026-00500"/>
        <s v="ORD-2024-00501"/>
        <s v="ORD-2025-00502"/>
        <s v="ORD-2025-00503"/>
        <s v="ORD-2026-00504"/>
        <s v="ORD-2024-00505"/>
        <s v="ORD-2025-00506"/>
        <s v="ORD-2024-00507"/>
        <s v="ORD-2025-00508"/>
        <s v="ORD-2025-00509"/>
        <s v="ORD-2026-00510"/>
        <s v="ORD-2026-00511"/>
        <s v="ORD-2025-00512"/>
        <s v="ORD-2025-00513"/>
        <s v="ORD-2025-00514"/>
        <s v="ORD-2026-00515"/>
        <s v="ORD-2025-00516"/>
        <s v="ORD-2025-00517"/>
        <s v="ORD-2025-00518"/>
        <s v="ORD-2025-00519"/>
        <s v="ORD-2024-00520"/>
        <s v="ORD-2024-00521"/>
        <s v="ORD-2025-00522"/>
        <s v="ORD-2026-00523"/>
        <s v="ORD-2025-00524"/>
        <s v="ORD-2025-00525"/>
        <s v="ORD-2024-00526"/>
        <s v="ORD-2024-00527"/>
        <s v="ORD-2026-00528"/>
        <s v="ORD-2026-00529"/>
        <s v="ORD-2024-00530"/>
        <s v="ORD-2024-00531"/>
        <s v="ORD-2024-00532"/>
        <s v="ORD-2025-00533"/>
        <s v="ORD-2024-00534"/>
        <s v="ORD-2024-00535"/>
        <s v="ORD-2026-00536"/>
        <s v="ORD-2025-00537"/>
        <s v="ORD-2025-00538"/>
        <s v="ORD-2025-00539"/>
        <s v="ORD-2026-00540"/>
        <s v="ORD-2026-00541"/>
        <s v="ORD-2026-00542"/>
        <s v="ORD-2025-00543"/>
        <s v="ORD-2024-00544"/>
        <s v="ORD-2025-00545"/>
        <s v="ORD-2024-00546"/>
        <s v="ORD-2025-00547"/>
        <s v="ORD-2025-00548"/>
        <s v="ORD-2024-00549"/>
        <s v="ORD-2026-00550"/>
        <s v="ORD-2026-00551"/>
        <s v="ORD-2024-00552"/>
        <s v="ORD-2026-00553"/>
        <s v="ORD-2025-00554"/>
        <s v="ORD-2026-00555"/>
        <s v="ORD-2024-00556"/>
        <s v="ORD-2025-00557"/>
        <s v="ORD-2026-00558"/>
        <s v="ORD-2025-00559"/>
        <s v="ORD-2024-00560"/>
        <s v="ORD-2024-00561"/>
        <s v="ORD-2024-00562"/>
        <s v="ORD-2025-00563"/>
        <s v="ORD-2024-00564"/>
        <s v="ORD-2025-00565"/>
        <s v="ORD-2025-00566"/>
        <s v="ORD-2024-00567"/>
        <s v="ORD-2024-00568"/>
        <s v="ORD-2025-00569"/>
        <s v="ORD-2026-00570"/>
        <s v="ORD-2026-00571"/>
        <s v="ORD-2025-00572"/>
        <s v="ORD-2026-00573"/>
        <s v="ORD-2026-00574"/>
        <s v="ORD-2026-00575"/>
        <s v="ORD-2026-00576"/>
        <s v="ORD-2024-00577"/>
        <s v="ORD-2025-00578"/>
        <s v="ORD-2026-00579"/>
        <s v="ORD-2024-00580"/>
        <s v="ORD-2024-00581"/>
        <s v="ORD-2026-00582"/>
        <s v="ORD-2024-00583"/>
        <s v="ORD-2026-00584"/>
        <s v="ORD-2026-00585"/>
        <s v="ORD-2024-00586"/>
        <s v="ORD-2026-00587"/>
        <s v="ORD-2026-00588"/>
        <s v="ORD-2024-00589"/>
        <s v="ORD-2024-00590"/>
        <s v="ORD-2024-00591"/>
        <s v="ORD-2026-00592"/>
        <s v="ORD-2024-00593"/>
        <s v="ORD-2025-00594"/>
        <s v="ORD-2024-00595"/>
        <s v="ORD-2026-00596"/>
        <s v="ORD-2024-00597"/>
        <s v="ORD-2025-00598"/>
        <s v="ORD-2024-00599"/>
        <s v="ORD-2025-00600"/>
        <s v="ORD-2026-00601"/>
        <s v="ORD-2025-00602"/>
        <s v="ORD-2025-00603"/>
        <s v="ORD-2024-00604"/>
        <s v="ORD-2025-00605"/>
        <s v="ORD-2024-00606"/>
        <s v="ORD-2025-00607"/>
        <s v="ORD-2026-00608"/>
        <s v="ORD-2025-00609"/>
        <s v="ORD-2026-00610"/>
        <s v="ORD-2025-00611"/>
        <s v="ORD-2025-00612"/>
        <s v="ORD-2025-00613"/>
        <s v="ORD-2025-00614"/>
        <s v="ORD-2024-00615"/>
        <s v="ORD-2025-00616"/>
        <s v="ORD-2025-00617"/>
        <s v="ORD-2024-00618"/>
        <s v="ORD-2025-00619"/>
        <s v="ORD-2024-00620"/>
        <s v="ORD-2026-00621"/>
        <s v="ORD-2026-00622"/>
        <s v="ORD-2024-00623"/>
        <s v="ORD-2025-00624"/>
        <s v="ORD-2026-00625"/>
        <s v="ORD-2025-00626"/>
        <s v="ORD-2025-00627"/>
        <s v="ORD-2025-00628"/>
        <s v="ORD-2026-00629"/>
        <s v="ORD-2025-00630"/>
        <s v="ORD-2024-00631"/>
        <s v="ORD-2026-00632"/>
        <s v="ORD-2026-00633"/>
        <s v="ORD-2024-00634"/>
        <s v="ORD-2026-00635"/>
        <s v="ORD-2025-00636"/>
        <s v="ORD-2025-00637"/>
        <s v="ORD-2026-00638"/>
        <s v="ORD-2025-00639"/>
        <s v="ORD-2026-00640"/>
        <s v="ORD-2024-00641"/>
        <s v="ORD-2024-00642"/>
        <s v="ORD-2025-00643"/>
        <s v="ORD-2024-00644"/>
        <s v="ORD-2024-00645"/>
        <s v="ORD-2025-00646"/>
        <s v="ORD-2024-00647"/>
        <s v="ORD-2024-00648"/>
        <s v="ORD-2026-00649"/>
        <s v="ORD-2025-00650"/>
        <s v="ORD-2025-00651"/>
        <s v="ORD-2024-00652"/>
        <s v="ORD-2026-00653"/>
        <s v="ORD-2025-00654"/>
        <s v="ORD-2025-00655"/>
        <s v="ORD-2025-00656"/>
        <s v="ORD-2026-00657"/>
        <s v="ORD-2026-00658"/>
        <s v="ORD-2026-00659"/>
        <s v="ORD-2026-00660"/>
        <s v="ORD-2024-00661"/>
        <s v="ORD-2025-00662"/>
        <s v="ORD-2025-00663"/>
        <s v="ORD-2024-00664"/>
        <s v="ORD-2024-00665"/>
        <s v="ORD-2025-00666"/>
        <s v="ORD-2025-00667"/>
        <s v="ORD-2024-00668"/>
        <s v="ORD-2024-00669"/>
        <s v="ORD-2025-00670"/>
        <s v="ORD-2026-00671"/>
        <s v="ORD-2026-00672"/>
        <s v="ORD-2026-00673"/>
        <s v="ORD-2026-00674"/>
        <s v="ORD-2024-00675"/>
        <s v="ORD-2025-00676"/>
        <s v="ORD-2025-00677"/>
        <s v="ORD-2025-00678"/>
        <s v="ORD-2025-00679"/>
        <s v="ORD-2026-00680"/>
        <s v="ORD-2026-00681"/>
        <s v="ORD-2026-00682"/>
        <s v="ORD-2026-00683"/>
        <s v="ORD-2025-00684"/>
        <s v="ORD-2024-00685"/>
        <s v="ORD-2025-00686"/>
        <s v="ORD-2026-00687"/>
        <s v="ORD-2024-00688"/>
        <s v="ORD-2026-00689"/>
        <s v="ORD-2024-00690"/>
        <s v="ORD-2025-00691"/>
        <s v="ORD-2025-00692"/>
        <s v="ORD-2024-00693"/>
        <s v="ORD-2024-00694"/>
        <s v="ORD-2025-00695"/>
        <s v="ORD-2025-00696"/>
        <s v="ORD-2026-00697"/>
        <s v="ORD-2026-00698"/>
        <s v="ORD-2025-00699"/>
        <s v="ORD-2026-00700"/>
        <s v="ORD-2026-00701"/>
        <s v="ORD-2025-00702"/>
        <s v="ORD-2024-00703"/>
        <s v="ORD-2026-00704"/>
        <s v="ORD-2026-00705"/>
        <s v="ORD-2026-00706"/>
        <s v="ORD-2025-00707"/>
        <s v="ORD-2026-00708"/>
        <s v="ORD-2024-00709"/>
        <s v="ORD-2024-00710"/>
        <s v="ORD-2025-00711"/>
        <s v="ORD-2025-00712"/>
        <s v="ORD-2025-00713"/>
        <s v="ORD-2025-00714"/>
        <s v="ORD-2024-00715"/>
        <s v="ORD-2024-00716"/>
        <s v="ORD-2026-00717"/>
        <s v="ORD-2024-00718"/>
        <s v="ORD-2025-00719"/>
        <s v="ORD-2024-00720"/>
        <s v="ORD-2025-00721"/>
        <s v="ORD-2026-00722"/>
        <s v="ORD-2024-00723"/>
        <s v="ORD-2025-00724"/>
        <s v="ORD-2026-00725"/>
        <s v="ORD-2024-00726"/>
        <s v="ORD-2026-00727"/>
        <s v="ORD-2026-00728"/>
        <s v="ORD-2024-00729"/>
        <s v="ORD-2024-00730"/>
        <s v="ORD-2024-00731"/>
        <s v="ORD-2025-00732"/>
        <s v="ORD-2025-00733"/>
        <s v="ORD-2026-00734"/>
        <s v="ORD-2026-00735"/>
        <s v="ORD-2024-00736"/>
        <s v="ORD-2026-00737"/>
        <s v="ORD-2026-00738"/>
        <s v="ORD-2026-00739"/>
        <s v="ORD-2025-00740"/>
        <s v="ORD-2026-00741"/>
        <s v="ORD-2024-00742"/>
        <s v="ORD-2024-00743"/>
        <s v="ORD-2025-00744"/>
        <s v="ORD-2025-00745"/>
        <s v="ORD-2024-00746"/>
        <s v="ORD-2025-00747"/>
        <s v="ORD-2024-00748"/>
        <s v="ORD-2025-00749"/>
        <s v="ORD-2024-00750"/>
        <s v="ORD-2024-00751"/>
        <s v="ORD-2024-00752"/>
        <s v="ORD-2026-00753"/>
        <s v="ORD-2025-00754"/>
        <s v="ORD-2025-00755"/>
        <s v="ORD-2026-00756"/>
        <s v="ORD-2024-00757"/>
        <s v="ORD-2025-00758"/>
        <s v="ORD-2024-00759"/>
        <s v="ORD-2025-00760"/>
        <s v="ORD-2024-00761"/>
        <s v="ORD-2025-00762"/>
        <s v="ORD-2024-00763"/>
        <s v="ORD-2025-00764"/>
        <s v="ORD-2025-00765"/>
        <s v="ORD-2025-00766"/>
        <s v="ORD-2026-00767"/>
        <s v="ORD-2024-00768"/>
        <s v="ORD-2026-00769"/>
        <s v="ORD-2025-00770"/>
        <s v="ORD-2026-00771"/>
        <s v="ORD-2024-00772"/>
        <s v="ORD-2024-00773"/>
        <s v="ORD-2026-00774"/>
        <s v="ORD-2026-00775"/>
        <s v="ORD-2024-00776"/>
        <s v="ORD-2026-00777"/>
        <s v="ORD-2024-00778"/>
        <s v="ORD-2025-00779"/>
        <s v="ORD-2025-00780"/>
        <s v="ORD-2025-00781"/>
        <s v="ORD-2024-00782"/>
        <s v="ORD-2025-00783"/>
        <s v="ORD-2024-00784"/>
        <s v="ORD-2025-00785"/>
        <s v="ORD-2025-00786"/>
        <s v="ORD-2026-00787"/>
        <s v="ORD-2026-00788"/>
        <s v="ORD-2024-00789"/>
        <s v="ORD-2024-00790"/>
        <s v="ORD-2024-00791"/>
        <s v="ORD-2024-00792"/>
        <s v="ORD-2025-00793"/>
        <s v="ORD-2026-00794"/>
        <s v="ORD-2025-00795"/>
        <s v="ORD-2024-00796"/>
        <s v="ORD-2024-00797"/>
        <s v="ORD-2025-00798"/>
        <s v="ORD-2024-00799"/>
        <s v="ORD-2025-00800"/>
        <s v="ORD-2024-00801"/>
        <s v="ORD-2025-00802"/>
        <s v="ORD-2026-00803"/>
        <s v="ORD-2024-00804"/>
        <s v="ORD-2026-00805"/>
        <s v="ORD-2024-00806"/>
        <s v="ORD-2026-00807"/>
        <s v="ORD-2025-00808"/>
        <s v="ORD-2026-00809"/>
        <s v="ORD-2025-00810"/>
        <s v="ORD-2025-00811"/>
        <s v="ORD-2025-00812"/>
        <s v="ORD-2025-00813"/>
        <s v="ORD-2026-00814"/>
        <s v="ORD-2026-00815"/>
        <s v="ORD-2026-00816"/>
        <s v="ORD-2024-00817"/>
        <s v="ORD-2025-00818"/>
        <s v="ORD-2024-00819"/>
        <s v="ORD-2025-00820"/>
        <s v="ORD-2025-00821"/>
        <s v="ORD-2024-00822"/>
        <s v="ORD-2024-00823"/>
        <s v="ORD-2024-00824"/>
        <s v="ORD-2024-00825"/>
        <s v="ORD-2026-00826"/>
        <s v="ORD-2026-00827"/>
        <s v="ORD-2026-00828"/>
        <s v="ORD-2024-00829"/>
        <s v="ORD-2025-00830"/>
        <s v="ORD-2026-00831"/>
        <s v="ORD-2024-00832"/>
        <s v="ORD-2025-00833"/>
        <s v="ORD-2026-00834"/>
        <s v="ORD-2024-00835"/>
        <s v="ORD-2026-00836"/>
        <s v="ORD-2025-00837"/>
        <s v="ORD-2025-00838"/>
        <s v="ORD-2025-00839"/>
        <s v="ORD-2025-00840"/>
        <s v="ORD-2025-00841"/>
        <s v="ORD-2025-00842"/>
        <s v="ORD-2024-00843"/>
        <s v="ORD-2025-00844"/>
        <s v="ORD-2026-00845"/>
        <s v="ORD-2025-00846"/>
        <s v="ORD-2025-00847"/>
        <s v="ORD-2024-00848"/>
        <s v="ORD-2024-00849"/>
        <s v="ORD-2026-00850"/>
        <s v="ORD-2024-00851"/>
        <s v="ORD-2025-00852"/>
        <s v="ORD-2026-00853"/>
        <s v="ORD-2025-00854"/>
        <s v="ORD-2026-00855"/>
        <s v="ORD-2025-00856"/>
        <s v="ORD-2025-00857"/>
        <s v="ORD-2025-00858"/>
        <s v="ORD-2024-00859"/>
        <s v="ORD-2025-00860"/>
        <s v="ORD-2025-00861"/>
        <s v="ORD-2026-00862"/>
        <s v="ORD-2024-00863"/>
        <s v="ORD-2025-00864"/>
        <s v="ORD-2025-00865"/>
        <s v="ORD-2024-00866"/>
        <s v="ORD-2024-00867"/>
        <s v="ORD-2025-00868"/>
        <s v="ORD-2025-00869"/>
        <s v="ORD-2025-00870"/>
        <s v="ORD-2026-00871"/>
        <s v="ORD-2024-00872"/>
        <s v="ORD-2025-00873"/>
        <s v="ORD-2025-00874"/>
        <s v="ORD-2026-00875"/>
        <s v="ORD-2026-00876"/>
        <s v="ORD-2025-00877"/>
        <s v="ORD-2026-00878"/>
        <s v="ORD-2024-00879"/>
        <s v="ORD-2025-00880"/>
        <s v="ORD-2025-00881"/>
        <s v="ORD-2024-00882"/>
        <s v="ORD-2026-00883"/>
        <s v="ORD-2024-00884"/>
        <s v="ORD-2025-00885"/>
        <s v="ORD-2024-00886"/>
        <s v="ORD-2025-00887"/>
        <s v="ORD-2025-00888"/>
        <s v="ORD-2024-00889"/>
        <s v="ORD-2024-00890"/>
        <s v="ORD-2024-00891"/>
        <s v="ORD-2024-00892"/>
        <s v="ORD-2025-00893"/>
        <s v="ORD-2026-00894"/>
        <s v="ORD-2024-00895"/>
        <s v="ORD-2026-00896"/>
        <s v="ORD-2025-00897"/>
        <s v="ORD-2024-00898"/>
        <s v="ORD-2025-00899"/>
        <s v="ORD-2025-00900"/>
        <s v="ORD-2024-00901"/>
        <s v="ORD-2026-00902"/>
        <s v="ORD-2024-00903"/>
        <s v="ORD-2025-00904"/>
        <s v="ORD-2025-00905"/>
        <s v="ORD-2024-00906"/>
        <s v="ORD-2024-00907"/>
        <s v="ORD-2026-00908"/>
        <s v="ORD-2026-00909"/>
        <s v="ORD-2024-00910"/>
        <s v="ORD-2025-00911"/>
        <s v="ORD-2026-00912"/>
        <s v="ORD-2024-00913"/>
        <s v="ORD-2025-00914"/>
        <s v="ORD-2024-00915"/>
        <s v="ORD-2024-00916"/>
        <s v="ORD-2024-00917"/>
        <s v="ORD-2024-00918"/>
        <s v="ORD-2024-00919"/>
        <s v="ORD-2026-00920"/>
        <s v="ORD-2024-00921"/>
        <s v="ORD-2025-00922"/>
        <s v="ORD-2024-00923"/>
        <s v="ORD-2024-00924"/>
        <s v="ORD-2024-00925"/>
        <s v="ORD-2025-00926"/>
        <s v="ORD-2024-00927"/>
        <s v="ORD-2024-00928"/>
        <s v="ORD-2024-00929"/>
        <s v="ORD-2025-00930"/>
        <s v="ORD-2024-00931"/>
        <s v="ORD-2025-00932"/>
        <s v="ORD-2024-00933"/>
        <s v="ORD-2026-00934"/>
        <s v="ORD-2025-00935"/>
        <s v="ORD-2024-00936"/>
        <s v="ORD-2025-00937"/>
        <s v="ORD-2025-00938"/>
        <s v="ORD-2025-00939"/>
        <s v="ORD-2026-00940"/>
        <s v="ORD-2025-00941"/>
        <s v="ORD-2025-00942"/>
        <s v="ORD-2025-00943"/>
        <s v="ORD-2025-00944"/>
        <s v="ORD-2026-00945"/>
        <s v="ORD-2024-00946"/>
        <s v="ORD-2025-00947"/>
        <s v="ORD-2025-00948"/>
        <s v="ORD-2025-00949"/>
        <s v="ORD-2024-00950"/>
        <s v="ORD-2026-00951"/>
        <s v="ORD-2025-00952"/>
        <s v="ORD-2025-00953"/>
        <s v="ORD-2024-00954"/>
        <s v="ORD-2026-00955"/>
        <s v="ORD-2026-00956"/>
        <s v="ORD-2024-00957"/>
        <s v="ORD-2025-00958"/>
        <s v="ORD-2025-00959"/>
        <s v="ORD-2024-00960"/>
        <s v="ORD-2024-00961"/>
        <s v="ORD-2025-00962"/>
        <s v="ORD-2025-00963"/>
        <s v="ORD-2025-00964"/>
        <s v="ORD-2024-00965"/>
        <s v="ORD-2024-00966"/>
        <s v="ORD-2025-00967"/>
        <s v="ORD-2025-00968"/>
        <s v="ORD-2025-00969"/>
        <s v="ORD-2025-00970"/>
        <s v="ORD-2026-00971"/>
        <s v="ORD-2026-00972"/>
        <s v="ORD-2024-00973"/>
        <s v="ORD-2025-00974"/>
        <s v="ORD-2025-00975"/>
        <s v="ORD-2024-00976"/>
        <s v="ORD-2024-00977"/>
        <s v="ORD-2025-00978"/>
        <s v="ORD-2026-00979"/>
        <s v="ORD-2025-00980"/>
        <s v="ORD-2025-00981"/>
        <s v="ORD-2024-00982"/>
        <s v="ORD-2025-00983"/>
        <s v="ORD-2024-00984"/>
        <s v="ORD-2026-00985"/>
        <s v="ORD-2025-00986"/>
        <s v="ORD-2024-00987"/>
        <s v="ORD-2024-00988"/>
        <s v="ORD-2024-00989"/>
        <s v="ORD-2026-00990"/>
        <s v="ORD-2026-00991"/>
        <s v="ORD-2025-00992"/>
        <s v="ORD-2026-00993"/>
        <s v="ORD-2024-00994"/>
        <s v="ORD-2025-00995"/>
        <s v="ORD-2025-00996"/>
        <s v="ORD-2025-00997"/>
        <s v="ORD-2024-00998"/>
        <s v="ORD-2024-00999"/>
        <s v="ORD-2024-01000"/>
      </sharedItems>
    </cacheField>
    <cacheField name="Order Date" numFmtId="14">
      <sharedItems containsSemiMixedTypes="0" containsNonDate="0" containsDate="1" containsString="0" minDate="2024-01-03T00:00:00" maxDate="2026-09-28T00:00:00" count="623">
        <d v="2025-10-16T00:00:00"/>
        <d v="2024-02-02T00:00:00"/>
        <d v="2025-08-26T00:00:00"/>
        <d v="2024-04-09T00:00:00"/>
        <d v="2025-07-19T00:00:00"/>
        <d v="2026-05-25T00:00:00"/>
        <d v="2025-11-17T00:00:00"/>
        <d v="2024-08-12T00:00:00"/>
        <d v="2024-08-05T00:00:00"/>
        <d v="2025-03-14T00:00:00"/>
        <d v="2025-10-04T00:00:00"/>
        <d v="2025-11-27T00:00:00"/>
        <d v="2026-09-22T00:00:00"/>
        <d v="2025-01-17T00:00:00"/>
        <d v="2024-02-29T00:00:00"/>
        <d v="2026-08-27T00:00:00"/>
        <d v="2025-11-18T00:00:00"/>
        <d v="2024-08-23T00:00:00"/>
        <d v="2024-10-12T00:00:00"/>
        <d v="2026-04-06T00:00:00"/>
        <d v="2024-03-03T00:00:00"/>
        <d v="2025-04-18T00:00:00"/>
        <d v="2025-02-20T00:00:00"/>
        <d v="2025-03-09T00:00:00"/>
        <d v="2026-02-04T00:00:00"/>
        <d v="2026-05-21T00:00:00"/>
        <d v="2025-09-26T00:00:00"/>
        <d v="2025-04-13T00:00:00"/>
        <d v="2024-09-28T00:00:00"/>
        <d v="2026-01-30T00:00:00"/>
        <d v="2026-07-16T00:00:00"/>
        <d v="2026-01-29T00:00:00"/>
        <d v="2025-08-19T00:00:00"/>
        <d v="2025-11-29T00:00:00"/>
        <d v="2026-06-21T00:00:00"/>
        <d v="2025-01-26T00:00:00"/>
        <d v="2025-02-12T00:00:00"/>
        <d v="2026-06-17T00:00:00"/>
        <d v="2024-04-28T00:00:00"/>
        <d v="2025-01-07T00:00:00"/>
        <d v="2024-11-30T00:00:00"/>
        <d v="2025-09-22T00:00:00"/>
        <d v="2025-04-21T00:00:00"/>
        <d v="2024-12-09T00:00:00"/>
        <d v="2025-04-11T00:00:00"/>
        <d v="2025-09-01T00:00:00"/>
        <d v="2026-05-10T00:00:00"/>
        <d v="2026-07-03T00:00:00"/>
        <d v="2024-12-04T00:00:00"/>
        <d v="2025-01-24T00:00:00"/>
        <d v="2025-05-14T00:00:00"/>
        <d v="2026-07-30T00:00:00"/>
        <d v="2025-01-23T00:00:00"/>
        <d v="2024-01-20T00:00:00"/>
        <d v="2024-07-23T00:00:00"/>
        <d v="2026-02-24T00:00:00"/>
        <d v="2025-02-10T00:00:00"/>
        <d v="2026-03-12T00:00:00"/>
        <d v="2025-03-19T00:00:00"/>
        <d v="2025-09-16T00:00:00"/>
        <d v="2024-10-13T00:00:00"/>
        <d v="2025-07-22T00:00:00"/>
        <d v="2025-11-10T00:00:00"/>
        <d v="2024-10-04T00:00:00"/>
        <d v="2024-10-10T00:00:00"/>
        <d v="2024-05-09T00:00:00"/>
        <d v="2024-10-18T00:00:00"/>
        <d v="2025-05-18T00:00:00"/>
        <d v="2025-09-12T00:00:00"/>
        <d v="2025-09-27T00:00:00"/>
        <d v="2024-06-09T00:00:00"/>
        <d v="2025-12-04T00:00:00"/>
        <d v="2024-03-14T00:00:00"/>
        <d v="2025-05-27T00:00:00"/>
        <d v="2026-09-11T00:00:00"/>
        <d v="2025-08-22T00:00:00"/>
        <d v="2025-02-25T00:00:00"/>
        <d v="2026-04-24T00:00:00"/>
        <d v="2024-07-27T00:00:00"/>
        <d v="2024-11-14T00:00:00"/>
        <d v="2025-06-05T00:00:00"/>
        <d v="2026-02-03T00:00:00"/>
        <d v="2026-01-13T00:00:00"/>
        <d v="2025-12-23T00:00:00"/>
        <d v="2024-04-12T00:00:00"/>
        <d v="2024-12-12T00:00:00"/>
        <d v="2026-06-12T00:00:00"/>
        <d v="2025-03-30T00:00:00"/>
        <d v="2024-09-07T00:00:00"/>
        <d v="2026-07-23T00:00:00"/>
        <d v="2024-06-10T00:00:00"/>
        <d v="2025-01-28T00:00:00"/>
        <d v="2024-10-08T00:00:00"/>
        <d v="2025-10-13T00:00:00"/>
        <d v="2026-01-19T00:00:00"/>
        <d v="2025-05-28T00:00:00"/>
        <d v="2026-02-11T00:00:00"/>
        <d v="2025-01-12T00:00:00"/>
        <d v="2026-06-24T00:00:00"/>
        <d v="2024-11-07T00:00:00"/>
        <d v="2026-06-25T00:00:00"/>
        <d v="2025-11-09T00:00:00"/>
        <d v="2024-07-31T00:00:00"/>
        <d v="2026-03-28T00:00:00"/>
        <d v="2025-04-07T00:00:00"/>
        <d v="2025-12-03T00:00:00"/>
        <d v="2025-07-15T00:00:00"/>
        <d v="2026-05-23T00:00:00"/>
        <d v="2024-11-16T00:00:00"/>
        <d v="2025-03-18T00:00:00"/>
        <d v="2024-12-28T00:00:00"/>
        <d v="2025-11-03T00:00:00"/>
        <d v="2026-09-24T00:00:00"/>
        <d v="2024-01-07T00:00:00"/>
        <d v="2024-08-08T00:00:00"/>
        <d v="2024-06-08T00:00:00"/>
        <d v="2024-02-16T00:00:00"/>
        <d v="2024-12-01T00:00:00"/>
        <d v="2025-02-18T00:00:00"/>
        <d v="2026-05-01T00:00:00"/>
        <d v="2026-06-10T00:00:00"/>
        <d v="2024-06-30T00:00:00"/>
        <d v="2024-06-03T00:00:00"/>
        <d v="2026-04-10T00:00:00"/>
        <d v="2024-06-11T00:00:00"/>
        <d v="2025-07-25T00:00:00"/>
        <d v="2026-09-17T00:00:00"/>
        <d v="2024-04-05T00:00:00"/>
        <d v="2024-08-19T00:00:00"/>
        <d v="2026-06-16T00:00:00"/>
        <d v="2024-02-14T00:00:00"/>
        <d v="2026-07-14T00:00:00"/>
        <d v="2026-09-16T00:00:00"/>
        <d v="2024-01-29T00:00:00"/>
        <d v="2025-04-04T00:00:00"/>
        <d v="2026-03-05T00:00:00"/>
        <d v="2026-05-06T00:00:00"/>
        <d v="2025-08-07T00:00:00"/>
        <d v="2024-01-21T00:00:00"/>
        <d v="2024-09-03T00:00:00"/>
        <d v="2026-04-30T00:00:00"/>
        <d v="2026-02-10T00:00:00"/>
        <d v="2026-07-05T00:00:00"/>
        <d v="2024-03-21T00:00:00"/>
        <d v="2026-01-04T00:00:00"/>
        <d v="2025-11-25T00:00:00"/>
        <d v="2025-09-11T00:00:00"/>
        <d v="2024-11-17T00:00:00"/>
        <d v="2024-09-25T00:00:00"/>
        <d v="2025-01-04T00:00:00"/>
        <d v="2025-06-22T00:00:00"/>
        <d v="2024-12-18T00:00:00"/>
        <d v="2024-06-17T00:00:00"/>
        <d v="2025-09-21T00:00:00"/>
        <d v="2026-04-25T00:00:00"/>
        <d v="2025-05-24T00:00:00"/>
        <d v="2025-12-06T00:00:00"/>
        <d v="2026-01-21T00:00:00"/>
        <d v="2025-04-05T00:00:00"/>
        <d v="2026-08-14T00:00:00"/>
        <d v="2024-01-24T00:00:00"/>
        <d v="2024-10-19T00:00:00"/>
        <d v="2024-02-22T00:00:00"/>
        <d v="2024-05-01T00:00:00"/>
        <d v="2025-02-15T00:00:00"/>
        <d v="2026-04-28T00:00:00"/>
        <d v="2025-08-20T00:00:00"/>
        <d v="2024-12-16T00:00:00"/>
        <d v="2026-02-28T00:00:00"/>
        <d v="2025-11-23T00:00:00"/>
        <d v="2024-09-02T00:00:00"/>
        <d v="2024-01-06T00:00:00"/>
        <d v="2026-07-18T00:00:00"/>
        <d v="2026-03-17T00:00:00"/>
        <d v="2025-06-20T00:00:00"/>
        <d v="2025-10-25T00:00:00"/>
        <d v="2026-04-26T00:00:00"/>
        <d v="2024-09-24T00:00:00"/>
        <d v="2025-12-10T00:00:00"/>
        <d v="2025-01-11T00:00:00"/>
        <d v="2024-03-04T00:00:00"/>
        <d v="2025-07-26T00:00:00"/>
        <d v="2026-02-26T00:00:00"/>
        <d v="2024-05-16T00:00:00"/>
        <d v="2024-11-01T00:00:00"/>
        <d v="2025-11-19T00:00:00"/>
        <d v="2025-05-30T00:00:00"/>
        <d v="2025-12-14T00:00:00"/>
        <d v="2026-05-28T00:00:00"/>
        <d v="2025-09-09T00:00:00"/>
        <d v="2026-08-17T00:00:00"/>
        <d v="2024-11-25T00:00:00"/>
        <d v="2026-02-18T00:00:00"/>
        <d v="2025-07-17T00:00:00"/>
        <d v="2024-06-22T00:00:00"/>
        <d v="2026-02-21T00:00:00"/>
        <d v="2025-09-24T00:00:00"/>
        <d v="2025-07-02T00:00:00"/>
        <d v="2026-04-14T00:00:00"/>
        <d v="2025-10-31T00:00:00"/>
        <d v="2024-03-25T00:00:00"/>
        <d v="2025-05-01T00:00:00"/>
        <d v="2026-02-09T00:00:00"/>
        <d v="2026-09-04T00:00:00"/>
        <d v="2026-01-27T00:00:00"/>
        <d v="2024-05-15T00:00:00"/>
        <d v="2026-03-14T00:00:00"/>
        <d v="2025-06-17T00:00:00"/>
        <d v="2024-10-09T00:00:00"/>
        <d v="2026-04-15T00:00:00"/>
        <d v="2026-09-18T00:00:00"/>
        <d v="2026-04-18T00:00:00"/>
        <d v="2024-03-16T00:00:00"/>
        <d v="2025-12-19T00:00:00"/>
        <d v="2024-08-14T00:00:00"/>
        <d v="2025-11-24T00:00:00"/>
        <d v="2025-10-06T00:00:00"/>
        <d v="2024-01-05T00:00:00"/>
        <d v="2024-07-20T00:00:00"/>
        <d v="2026-05-15T00:00:00"/>
        <d v="2025-05-11T00:00:00"/>
        <d v="2025-08-01T00:00:00"/>
        <d v="2026-04-22T00:00:00"/>
        <d v="2024-09-26T00:00:00"/>
        <d v="2025-10-09T00:00:00"/>
        <d v="2024-11-27T00:00:00"/>
        <d v="2025-05-16T00:00:00"/>
        <d v="2025-12-12T00:00:00"/>
        <d v="2026-05-20T00:00:00"/>
        <d v="2024-05-13T00:00:00"/>
        <d v="2025-03-27T00:00:00"/>
        <d v="2024-09-13T00:00:00"/>
        <d v="2025-12-21T00:00:00"/>
        <d v="2026-04-16T00:00:00"/>
        <d v="2024-12-25T00:00:00"/>
        <d v="2026-01-17T00:00:00"/>
        <d v="2026-01-08T00:00:00"/>
        <d v="2026-03-13T00:00:00"/>
        <d v="2025-08-24T00:00:00"/>
        <d v="2025-07-03T00:00:00"/>
        <d v="2025-06-19T00:00:00"/>
        <d v="2025-01-03T00:00:00"/>
        <d v="2024-08-21T00:00:00"/>
        <d v="2026-08-11T00:00:00"/>
        <d v="2025-01-16T00:00:00"/>
        <d v="2026-03-03T00:00:00"/>
        <d v="2024-09-05T00:00:00"/>
        <d v="2024-08-31T00:00:00"/>
        <d v="2025-04-14T00:00:00"/>
        <d v="2024-08-27T00:00:00"/>
        <d v="2026-04-03T00:00:00"/>
        <d v="2024-02-13T00:00:00"/>
        <d v="2025-10-24T00:00:00"/>
        <d v="2024-09-12T00:00:00"/>
        <d v="2025-01-01T00:00:00"/>
        <d v="2024-08-26T00:00:00"/>
        <d v="2026-05-31T00:00:00"/>
        <d v="2025-10-26T00:00:00"/>
        <d v="2026-08-29T00:00:00"/>
        <d v="2024-04-16T00:00:00"/>
        <d v="2025-04-02T00:00:00"/>
        <d v="2026-01-20T00:00:00"/>
        <d v="2024-06-15T00:00:00"/>
        <d v="2024-06-13T00:00:00"/>
        <d v="2024-02-24T00:00:00"/>
        <d v="2024-10-31T00:00:00"/>
        <d v="2025-05-06T00:00:00"/>
        <d v="2024-07-10T00:00:00"/>
        <d v="2024-03-28T00:00:00"/>
        <d v="2025-08-09T00:00:00"/>
        <d v="2024-05-30T00:00:00"/>
        <d v="2024-07-25T00:00:00"/>
        <d v="2025-02-28T00:00:00"/>
        <d v="2025-01-27T00:00:00"/>
        <d v="2024-02-09T00:00:00"/>
        <d v="2026-01-16T00:00:00"/>
        <d v="2026-04-20T00:00:00"/>
        <d v="2024-06-26T00:00:00"/>
        <d v="2025-07-18T00:00:00"/>
        <d v="2026-05-27T00:00:00"/>
        <d v="2025-09-07T00:00:00"/>
        <d v="2025-04-15T00:00:00"/>
        <d v="2025-09-15T00:00:00"/>
        <d v="2025-11-02T00:00:00"/>
        <d v="2025-11-07T00:00:00"/>
        <d v="2025-06-03T00:00:00"/>
        <d v="2024-09-23T00:00:00"/>
        <d v="2026-06-29T00:00:00"/>
        <d v="2025-02-23T00:00:00"/>
        <d v="2026-03-15T00:00:00"/>
        <d v="2025-06-30T00:00:00"/>
        <d v="2026-08-28T00:00:00"/>
        <d v="2024-05-06T00:00:00"/>
        <d v="2024-02-19T00:00:00"/>
        <d v="2024-11-04T00:00:00"/>
        <d v="2026-01-06T00:00:00"/>
        <d v="2024-01-14T00:00:00"/>
        <d v="2026-07-15T00:00:00"/>
        <d v="2024-12-02T00:00:00"/>
        <d v="2025-02-13T00:00:00"/>
        <d v="2026-08-23T00:00:00"/>
        <d v="2024-01-30T00:00:00"/>
        <d v="2024-01-13T00:00:00"/>
        <d v="2024-06-01T00:00:00"/>
        <d v="2026-02-08T00:00:00"/>
        <d v="2024-02-06T00:00:00"/>
        <d v="2024-01-03T00:00:00"/>
        <d v="2024-04-19T00:00:00"/>
        <d v="2026-02-14T00:00:00"/>
        <d v="2026-01-23T00:00:00"/>
        <d v="2026-01-18T00:00:00"/>
        <d v="2024-10-07T00:00:00"/>
        <d v="2025-12-28T00:00:00"/>
        <d v="2024-10-20T00:00:00"/>
        <d v="2026-08-06T00:00:00"/>
        <d v="2026-07-22T00:00:00"/>
        <d v="2025-05-17T00:00:00"/>
        <d v="2025-03-01T00:00:00"/>
        <d v="2024-08-11T00:00:00"/>
        <d v="2026-07-29T00:00:00"/>
        <d v="2025-06-10T00:00:00"/>
        <d v="2024-06-20T00:00:00"/>
        <d v="2025-07-04T00:00:00"/>
        <d v="2024-07-01T00:00:00"/>
        <d v="2025-02-02T00:00:00"/>
        <d v="2024-10-23T00:00:00"/>
        <d v="2025-04-30T00:00:00"/>
        <d v="2026-09-07T00:00:00"/>
        <d v="2024-08-03T00:00:00"/>
        <d v="2026-05-04T00:00:00"/>
        <d v="2026-07-10T00:00:00"/>
        <d v="2025-01-08T00:00:00"/>
        <d v="2025-11-26T00:00:00"/>
        <d v="2024-03-24T00:00:00"/>
        <d v="2026-05-19T00:00:00"/>
        <d v="2025-04-28T00:00:00"/>
        <d v="2025-06-06T00:00:00"/>
        <d v="2024-05-23T00:00:00"/>
        <d v="2024-08-25T00:00:00"/>
        <d v="2025-01-09T00:00:00"/>
        <d v="2025-05-13T00:00:00"/>
        <d v="2024-06-02T00:00:00"/>
        <d v="2025-11-22T00:00:00"/>
        <d v="2025-08-29T00:00:00"/>
        <d v="2026-09-19T00:00:00"/>
        <d v="2026-07-12T00:00:00"/>
        <d v="2026-03-19T00:00:00"/>
        <d v="2025-09-04T00:00:00"/>
        <d v="2024-01-08T00:00:00"/>
        <d v="2026-01-11T00:00:00"/>
        <d v="2024-01-11T00:00:00"/>
        <d v="2025-06-14T00:00:00"/>
        <d v="2024-10-28T00:00:00"/>
        <d v="2026-03-30T00:00:00"/>
        <d v="2024-03-18T00:00:00"/>
        <d v="2025-05-25T00:00:00"/>
        <d v="2026-03-29T00:00:00"/>
        <d v="2025-04-16T00:00:00"/>
        <d v="2025-03-07T00:00:00"/>
        <d v="2024-03-02T00:00:00"/>
        <d v="2026-08-12T00:00:00"/>
        <d v="2025-10-27T00:00:00"/>
        <d v="2025-09-20T00:00:00"/>
        <d v="2024-06-14T00:00:00"/>
        <d v="2025-06-23T00:00:00"/>
        <d v="2025-03-31T00:00:00"/>
        <d v="2024-11-13T00:00:00"/>
        <d v="2024-01-10T00:00:00"/>
        <d v="2025-02-08T00:00:00"/>
        <d v="2025-04-08T00:00:00"/>
        <d v="2024-10-15T00:00:00"/>
        <d v="2026-01-25T00:00:00"/>
        <d v="2026-09-23T00:00:00"/>
        <d v="2024-11-20T00:00:00"/>
        <d v="2025-12-24T00:00:00"/>
        <d v="2025-11-05T00:00:00"/>
        <d v="2024-04-23T00:00:00"/>
        <d v="2026-08-08T00:00:00"/>
        <d v="2026-04-23T00:00:00"/>
        <d v="2025-06-28T00:00:00"/>
        <d v="2025-11-04T00:00:00"/>
        <d v="2026-09-09T00:00:00"/>
        <d v="2024-08-07T00:00:00"/>
        <d v="2026-03-22T00:00:00"/>
        <d v="2026-08-01T00:00:00"/>
        <d v="2024-02-25T00:00:00"/>
        <d v="2026-09-21T00:00:00"/>
        <d v="2025-08-08T00:00:00"/>
        <d v="2024-09-29T00:00:00"/>
        <d v="2024-02-15T00:00:00"/>
        <d v="2026-06-08T00:00:00"/>
        <d v="2024-08-02T00:00:00"/>
        <d v="2025-01-20T00:00:00"/>
        <d v="2025-11-01T00:00:00"/>
        <d v="2026-09-27T00:00:00"/>
        <d v="2024-02-10T00:00:00"/>
        <d v="2025-10-02T00:00:00"/>
        <d v="2024-06-04T00:00:00"/>
        <d v="2025-03-03T00:00:00"/>
        <d v="2025-08-17T00:00:00"/>
        <d v="2026-07-28T00:00:00"/>
        <d v="2026-06-20T00:00:00"/>
        <d v="2025-09-23T00:00:00"/>
        <d v="2025-05-29T00:00:00"/>
        <d v="2025-02-22T00:00:00"/>
        <d v="2026-06-06T00:00:00"/>
        <d v="2025-02-07T00:00:00"/>
        <d v="2025-02-11T00:00:00"/>
        <d v="2025-04-19T00:00:00"/>
        <d v="2024-04-03T00:00:00"/>
        <d v="2025-04-09T00:00:00"/>
        <d v="2024-02-20T00:00:00"/>
        <d v="2024-12-05T00:00:00"/>
        <d v="2026-05-13T00:00:00"/>
        <d v="2024-09-22T00:00:00"/>
        <d v="2024-11-03T00:00:00"/>
        <d v="2024-07-17T00:00:00"/>
        <d v="2026-07-06T00:00:00"/>
        <d v="2025-08-14T00:00:00"/>
        <d v="2025-05-23T00:00:00"/>
        <d v="2026-07-24T00:00:00"/>
        <d v="2025-08-10T00:00:00"/>
        <d v="2024-04-18T00:00:00"/>
        <d v="2025-12-01T00:00:00"/>
        <d v="2024-07-06T00:00:00"/>
        <d v="2026-05-16T00:00:00"/>
        <d v="2024-12-14T00:00:00"/>
        <d v="2025-12-02T00:00:00"/>
        <d v="2026-07-13T00:00:00"/>
        <d v="2024-07-29T00:00:00"/>
        <d v="2025-09-18T00:00:00"/>
        <d v="2025-01-25T00:00:00"/>
        <d v="2024-10-22T00:00:00"/>
        <d v="2024-03-27T00:00:00"/>
        <d v="2024-12-29T00:00:00"/>
        <d v="2025-02-24T00:00:00"/>
        <d v="2024-05-25T00:00:00"/>
        <d v="2025-09-10T00:00:00"/>
        <d v="2026-06-01T00:00:00"/>
        <d v="2026-09-06T00:00:00"/>
        <d v="2024-01-25T00:00:00"/>
        <d v="2025-01-19T00:00:00"/>
        <d v="2024-09-21T00:00:00"/>
        <d v="2024-04-21T00:00:00"/>
        <d v="2026-01-15T00:00:00"/>
        <d v="2026-05-14T00:00:00"/>
        <d v="2026-08-15T00:00:00"/>
        <d v="2024-03-23T00:00:00"/>
        <d v="2026-01-07T00:00:00"/>
        <d v="2024-02-07T00:00:00"/>
        <d v="2026-05-05T00:00:00"/>
        <d v="2024-12-11T00:00:00"/>
        <d v="2025-08-30T00:00:00"/>
        <d v="2024-09-06T00:00:00"/>
        <d v="2024-09-01T00:00:00"/>
        <d v="2025-03-04T00:00:00"/>
        <d v="2026-08-05T00:00:00"/>
        <d v="2025-08-16T00:00:00"/>
        <d v="2025-12-09T00:00:00"/>
        <d v="2025-04-29T00:00:00"/>
        <d v="2026-07-02T00:00:00"/>
        <d v="2026-08-30T00:00:00"/>
        <d v="2025-08-12T00:00:00"/>
        <d v="2024-05-21T00:00:00"/>
        <d v="2025-12-27T00:00:00"/>
        <d v="2024-01-23T00:00:00"/>
        <d v="2026-05-12T00:00:00"/>
        <d v="2026-02-27T00:00:00"/>
        <d v="2024-07-05T00:00:00"/>
        <d v="2025-01-13T00:00:00"/>
        <d v="2026-07-31T00:00:00"/>
        <d v="2025-09-14T00:00:00"/>
        <d v="2026-09-26T00:00:00"/>
        <d v="2024-03-30T00:00:00"/>
        <d v="2026-02-13T00:00:00"/>
        <d v="2024-07-09T00:00:00"/>
        <d v="2025-08-18T00:00:00"/>
        <d v="2026-02-22T00:00:00"/>
        <d v="2024-04-08T00:00:00"/>
        <d v="2024-04-14T00:00:00"/>
        <d v="2026-09-14T00:00:00"/>
        <d v="2025-03-26T00:00:00"/>
        <d v="2025-04-22T00:00:00"/>
        <d v="2025-03-24T00:00:00"/>
        <d v="2026-02-25T00:00:00"/>
        <d v="2026-02-17T00:00:00"/>
        <d v="2026-04-08T00:00:00"/>
        <d v="2024-02-03T00:00:00"/>
        <d v="2024-01-28T00:00:00"/>
        <d v="2024-09-10T00:00:00"/>
        <d v="2025-07-05T00:00:00"/>
        <d v="2024-06-19T00:00:00"/>
        <d v="2024-10-21T00:00:00"/>
        <d v="2024-08-29T00:00:00"/>
        <d v="2025-03-22T00:00:00"/>
        <d v="2025-10-21T00:00:00"/>
        <d v="2025-11-11T00:00:00"/>
        <d v="2026-04-05T00:00:00"/>
        <d v="2026-06-02T00:00:00"/>
        <d v="2026-09-13T00:00:00"/>
        <d v="2026-05-11T00:00:00"/>
        <d v="2025-07-01T00:00:00"/>
        <d v="2025-04-27T00:00:00"/>
        <d v="2024-01-04T00:00:00"/>
        <d v="2025-10-03T00:00:00"/>
        <d v="2025-09-06T00:00:00"/>
        <d v="2025-04-06T00:00:00"/>
        <d v="2025-12-26T00:00:00"/>
        <d v="2026-08-19T00:00:00"/>
        <d v="2024-04-25T00:00:00"/>
        <d v="2026-08-09T00:00:00"/>
        <d v="2025-08-31T00:00:00"/>
        <d v="2026-03-31T00:00:00"/>
        <d v="2024-05-03T00:00:00"/>
        <d v="2025-04-01T00:00:00"/>
        <d v="2025-10-07T00:00:00"/>
        <d v="2024-04-20T00:00:00"/>
        <d v="2024-07-08T00:00:00"/>
        <d v="2024-05-08T00:00:00"/>
        <d v="2026-01-26T00:00:00"/>
        <d v="2024-12-07T00:00:00"/>
        <d v="2026-03-26T00:00:00"/>
        <d v="2024-12-31T00:00:00"/>
        <d v="2024-08-17T00:00:00"/>
        <d v="2026-08-24T00:00:00"/>
        <d v="2026-02-16T00:00:00"/>
        <d v="2026-06-26T00:00:00"/>
        <d v="2026-01-12T00:00:00"/>
        <d v="2025-06-16T00:00:00"/>
        <d v="2024-04-04T00:00:00"/>
        <d v="2025-06-15T00:00:00"/>
        <d v="2024-05-27T00:00:00"/>
        <d v="2024-12-23T00:00:00"/>
        <d v="2025-12-25T00:00:00"/>
        <d v="2024-09-08T00:00:00"/>
        <d v="2025-12-31T00:00:00"/>
        <d v="2024-07-26T00:00:00"/>
        <d v="2025-05-10T00:00:00"/>
        <d v="2025-07-30T00:00:00"/>
        <d v="2026-02-19T00:00:00"/>
        <d v="2026-02-15T00:00:00"/>
        <d v="2024-06-23T00:00:00"/>
        <d v="2026-05-24T00:00:00"/>
        <d v="2024-02-18T00:00:00"/>
        <d v="2025-01-21T00:00:00"/>
        <d v="2024-09-19T00:00:00"/>
        <d v="2025-08-21T00:00:00"/>
        <d v="2026-05-22T00:00:00"/>
        <d v="2024-07-18T00:00:00"/>
        <d v="2024-12-13T00:00:00"/>
        <d v="2024-03-07T00:00:00"/>
        <d v="2024-12-10T00:00:00"/>
        <d v="2025-03-28T00:00:00"/>
        <d v="2024-11-05T00:00:00"/>
        <d v="2024-08-20T00:00:00"/>
        <d v="2026-03-21T00:00:00"/>
        <d v="2026-02-20T00:00:00"/>
        <d v="2025-08-06T00:00:00"/>
        <d v="2025-05-15T00:00:00"/>
        <d v="2024-12-21T00:00:00"/>
        <d v="2024-10-25T00:00:00"/>
        <d v="2025-05-31T00:00:00"/>
        <d v="2024-04-27T00:00:00"/>
        <d v="2024-06-21T00:00:00"/>
        <d v="2024-08-09T00:00:00"/>
        <d v="2026-03-01T00:00:00"/>
        <d v="2024-12-06T00:00:00"/>
        <d v="2025-10-17T00:00:00"/>
        <d v="2026-02-07T00:00:00"/>
        <d v="2025-10-11T00:00:00"/>
        <d v="2025-03-12T00:00:00"/>
        <d v="2025-07-20T00:00:00"/>
        <d v="2025-10-12T00:00:00"/>
        <d v="2025-12-15T00:00:00"/>
        <d v="2024-06-18T00:00:00"/>
        <d v="2026-03-06T00:00:00"/>
        <d v="2025-01-22T00:00:00"/>
        <d v="2025-09-08T00:00:00"/>
        <d v="2025-09-13T00:00:00"/>
        <d v="2026-06-14T00:00:00"/>
        <d v="2025-11-12T00:00:00"/>
        <d v="2025-08-27T00:00:00"/>
        <d v="2025-05-04T00:00:00"/>
        <d v="2026-05-18T00:00:00"/>
        <d v="2025-12-18T00:00:00"/>
        <d v="2026-01-22T00:00:00"/>
        <d v="2025-10-22T00:00:00"/>
        <d v="2025-04-12T00:00:00"/>
        <d v="2024-03-20T00:00:00"/>
        <d v="2024-05-29T00:00:00"/>
        <d v="2024-06-28T00:00:00"/>
        <d v="2025-05-03T00:00:00"/>
        <d v="2024-01-15T00:00:00"/>
        <d v="2024-10-27T00:00:00"/>
        <d v="2024-12-24T00:00:00"/>
        <d v="2024-01-19T00:00:00"/>
        <d v="2025-05-05T00:00:00"/>
        <d v="2024-11-23T00:00:00"/>
        <d v="2024-04-13T00:00:00"/>
        <d v="2024-12-17T00:00:00"/>
        <d v="2026-09-25T00:00:00"/>
        <d v="2024-07-30T00:00:00"/>
        <d v="2024-11-28T00:00:00"/>
        <d v="2024-03-12T00:00:00"/>
        <d v="2024-10-01T00:00:00"/>
        <d v="2025-10-01T00:00:00"/>
        <d v="2026-03-18T00:00:00"/>
        <d v="2025-03-10T00:00:00"/>
        <d v="2025-12-20T00:00:00"/>
        <d v="2024-02-27T00:00:00"/>
        <d v="2025-08-05T00:00:00"/>
        <d v="2026-09-08T00:00:00"/>
        <d v="2025-10-29T00:00:00"/>
        <d v="2024-04-06T00:00:00"/>
        <d v="2024-06-07T00:00:00"/>
        <d v="2025-07-12T00:00:00"/>
        <d v="2024-04-26T00:00:00"/>
        <d v="2026-08-07T00:00:00"/>
        <d v="2024-06-06T00:00:00"/>
        <d v="2025-06-18T00:00:00"/>
        <d v="2026-07-09T00:00:00"/>
        <d v="2024-05-05T00:00:00"/>
        <d v="2024-10-17T00:00:00"/>
      </sharedItems>
    </cacheField>
    <cacheField name="Ship Date" numFmtId="14">
      <sharedItems containsSemiMixedTypes="0" containsNonDate="0" containsDate="1" containsString="0" minDate="2024-01-08T00:00:00" maxDate="2027-02-16T00:00:00" count="742"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4-08-14T00:00:00"/>
        <d v="2024-02-28T00:00:00"/>
        <d v="2025-08-14T00:00:00"/>
        <d v="2025-07-28T00:00:00"/>
        <d v="2024-10-06T00:00:00"/>
        <d v="2024-12-23T00:00:00"/>
        <d v="2024-02-22T00:00:00"/>
        <d v="2024-08-08T00:00:00"/>
        <d v="2025-01-25T00:00:00"/>
        <d v="2024-02-12T00:00:00"/>
        <d v="2025-10-05T00:00:00"/>
        <d v="2024-06-07T00:00:00"/>
        <d v="2025-03-05T00:00:00"/>
        <d v="2025-08-22T00:00:00"/>
        <d v="2025-09-26T00:00:00"/>
        <d v="2025-06-05T00:00:00"/>
        <d v="2025-03-01T00:00:00"/>
        <d v="2025-02-12T00:00:00"/>
        <d v="2025-07-08T00:00:00"/>
        <d v="2025-02-14T00:00:00"/>
        <d v="2025-04-26T00:00:00"/>
        <d v="2024-12-01T00:00:00"/>
        <d v="2024-04-04T00:00:00"/>
        <d v="2025-07-21T00:00:00"/>
        <d v="2025-04-18T00:00:00"/>
        <d v="2025-04-13T00:00:00"/>
        <d v="2024-12-06T00:00:00"/>
        <d v="2024-09-27T00:00:00"/>
        <d v="2024-09-01T00:00:00"/>
        <d v="2025-03-04T00:00:00"/>
        <d v="2024-11-08T00:00:00"/>
        <d v="2024-07-20T00:00:00"/>
        <d v="2025-08-20T00:00:00"/>
        <d v="2025-08-12T00:00:00"/>
        <d v="2025-05-25T00:00:00"/>
        <d v="2024-06-03T00:00:00"/>
        <d v="2024-04-22T00:00:00"/>
        <d v="2024-07-12T00:00:00"/>
        <d v="2024-12-16T00:00:00"/>
        <d v="2024-08-04T00:00:00"/>
        <d v="2025-09-23T00:00:00"/>
        <d v="2025-01-29T00:00:00"/>
        <d v="2024-10-29T00:00:00"/>
        <d v="2024-03-29T00:00:00"/>
        <d v="2024-12-31T00:00:00"/>
        <d v="2024-05-31T00:00:00"/>
        <d v="2025-08-16T00:00:00"/>
        <d v="2024-09-24T00:00:00"/>
        <d v="2024-03-27T00:00:00"/>
        <d v="2025-09-12T00:00:00"/>
        <d v="2025-02-16T00:00:00"/>
        <d v="2024-01-30T00:00:00"/>
        <d v="2024-09-28T00:00:00"/>
        <d v="2024-04-23T00:00:00"/>
        <d v="2024-06-10T00:00:00"/>
        <d v="2024-03-30T00:00:00"/>
        <d v="2024-02-10T00:00:00"/>
        <d v="2024-09-11T00:00:00"/>
        <d v="2024-12-18T00:00:00"/>
        <d v="2025-09-01T00:00:00"/>
        <d v="2024-09-03T00:00:00"/>
        <d v="2024-08-16T00:00:00"/>
        <d v="2025-08-19T00:00:00"/>
        <d v="2025-01-21T00:00:00"/>
        <d v="2024-07-05T00:00:00"/>
        <d v="2024-06-16T00:00:00"/>
        <d v="2025-05-06T00:00:00"/>
        <d v="2025-02-11T00:00:00"/>
        <d v="2025-01-30T00:00:00"/>
        <d v="2024-05-24T00:00:00"/>
        <d v="2025-06-23T00:00:00"/>
        <d v="2024-07-07T00:00:00"/>
        <d v="2025-01-15T00:00:00"/>
        <d v="2025-05-03T00:00:00"/>
        <d v="2025-09-20T00:00:00"/>
        <d v="2025-02-13T00:00:00"/>
        <d v="2024-04-01T00:00:00"/>
        <d v="2024-07-16T00:00:00"/>
        <d v="2025-01-08T00:00:00"/>
        <d v="2024-04-13T00:00:00"/>
        <d v="2024-04-16T00:00:00"/>
        <d v="2025-05-09T00:00:00"/>
        <d v="2024-02-05T00:00:00"/>
        <d v="2024-03-25T00:00:00"/>
        <d v="2025-08-31T00:00:00"/>
        <d v="2024-08-03T00:00:00"/>
        <d v="2024-06-20T00:00:00"/>
        <d v="2025-04-01T00:00:00"/>
        <d v="2025-04-23T00:00:00"/>
        <d v="2024-05-02T00:00:00"/>
        <d v="2025-03-29T00:00:00"/>
        <d v="2025-01-09T00:00:00"/>
        <d v="2025-09-02T00:00:00"/>
        <d v="2024-02-04T00:00:00"/>
        <d v="2024-09-12T00:00:00"/>
        <d v="2025-08-11T00:00:00"/>
        <d v="2024-06-24T00:00:00"/>
        <d v="2024-10-24T00:00:00"/>
        <d v="2024-09-02T00:00:00"/>
        <d v="2025-03-26T00:00:00"/>
        <d v="2024-11-02T00:00:00"/>
        <d v="2024-01-08T00:00:00"/>
        <d v="2024-03-31T00:00:00"/>
        <d v="2025-09-09T00:00:00"/>
        <d v="2024-05-03T00:00:00"/>
        <d v="2024-08-15T00:00:00"/>
        <d v="2025-04-08T00:00:00"/>
        <d v="2025-09-06T00:00:00"/>
        <d v="2024-09-09T00:00:00"/>
        <d v="2024-05-06T00:00:00"/>
        <d v="2025-04-05T00:00:00"/>
        <d v="2025-10-11T00:00:00"/>
        <d v="2025-10-12T00:00:00"/>
        <d v="2024-04-25T00:00:00"/>
        <d v="2024-07-09T00:00:00"/>
        <d v="2025-04-22T00:00:00"/>
        <d v="2024-05-10T00:00:00"/>
        <d v="2024-12-08T00:00:00"/>
        <d v="2025-02-17T00:00:00"/>
        <d v="2024-06-17T00:00:00"/>
        <d v="2024-06-14T00:00:00"/>
        <d v="2025-01-06T00:00:00"/>
        <d v="2024-08-21T00:00:00"/>
        <d v="2025-06-04T00:00:00"/>
        <d v="2024-06-11T00:00:00"/>
        <d v="2025-04-07T00:00:00"/>
        <d v="2024-01-25T00:00:00"/>
        <d v="2025-04-12T00:00:00"/>
        <d v="2025-06-22T00:00:00"/>
        <d v="2024-04-05T00:00:00"/>
        <d v="2024-06-01T00:00:00"/>
        <d v="2025-04-30T00:00:00"/>
        <d v="2024-12-24T00:00:00"/>
        <d v="2025-02-27T00:00:00"/>
        <d v="2024-09-15T00:00:00"/>
        <d v="2024-07-28T00:00:00"/>
        <d v="2025-05-11T00:00:00"/>
        <d v="2024-11-12T00:00:00"/>
        <d v="2025-09-07T00:00:00"/>
        <d v="2025-07-31T00:00:00"/>
        <d v="2024-12-03T00:00:00"/>
        <d v="2025-01-05T00:00:00"/>
        <d v="2024-06-28T00:00:00"/>
        <d v="2024-02-21T00:00:00"/>
        <d v="2024-02-02T00:00:00"/>
        <d v="2025-01-24T00:00:00"/>
        <d v="2025-07-27T00:00:00"/>
        <d v="2024-01-15T00:00:00"/>
        <d v="2025-08-26T00:00:00"/>
        <d v="2024-09-22T00:00:00"/>
        <d v="2025-08-25T00:00:00"/>
        <d v="2025-06-19T00:00:00"/>
        <d v="2024-08-13T00:00:00"/>
        <d v="2024-08-02T00:00:00"/>
        <d v="2024-07-24T00:00:00"/>
        <d v="2024-12-20T00:00:00"/>
        <d v="2024-03-09T00:00:00"/>
        <d v="2025-07-18T00:00:00"/>
        <d v="2024-12-14T00:00:00"/>
        <d v="2025-03-30T00:00:00"/>
        <d v="2024-11-11T00:00:00"/>
        <d v="2024-08-26T00:00:00"/>
        <d v="2025-08-21T00:00:00"/>
        <d v="2025-10-13T00:00:00"/>
        <d v="2025-08-10T00:00:00"/>
        <d v="2025-05-16T00:00:00"/>
        <d v="2025-01-17T00:00:00"/>
        <d v="2024-12-27T00:00:00"/>
        <d v="2025-02-03T00:00:00"/>
        <d v="2024-10-31T00:00:00"/>
        <d v="2025-06-07T00:00:00"/>
        <d v="2024-05-27T00:00:00"/>
        <d v="2024-06-22T00:00:00"/>
        <d v="2025-01-03T00:00:00"/>
        <d v="2024-09-06T00:00:00"/>
        <d v="2025-09-21T00:00:00"/>
        <d v="2025-03-18T00:00:00"/>
        <d v="2025-04-10T00:00:00"/>
        <d v="2025-09-22T00:00:00"/>
        <d v="2025-07-26T00:00:00"/>
        <d v="2024-12-09T00:00:00"/>
        <d v="2025-05-22T00:00:00"/>
        <d v="2024-01-14T00:00:00"/>
        <d v="2024-06-25T00:00:00"/>
        <d v="2024-04-10T00:00:00"/>
        <d v="2025-01-22T00:00:00"/>
        <d v="2025-01-27T00:00:00"/>
        <d v="2024-01-10T00:00:00"/>
        <d v="2025-09-17T00:00:00"/>
        <d v="2025-09-15T00:00:00"/>
        <d v="2024-11-15T00:00:00"/>
        <d v="2025-08-29T00:00:00"/>
        <d v="2025-05-10T00:00:00"/>
        <d v="2024-12-15T00:00:00"/>
        <d v="2025-04-19T00:00:00"/>
        <d v="2025-10-10T00:00:00"/>
        <d v="2024-03-26T00:00:00"/>
        <d v="2024-01-11T00:00:00"/>
        <d v="2024-11-04T00:00:00"/>
        <d v="2025-07-10T00:00:00"/>
        <d v="2024-03-23T00:00:00"/>
        <d v="2024-06-05T00:00:00"/>
        <d v="2024-07-03T00:00:00"/>
        <d v="2024-10-09T00:00:00"/>
        <d v="2025-05-08T00:00:00"/>
        <d v="2024-10-23T00:00:00"/>
        <d v="2024-01-20T00:00:00"/>
        <d v="2024-10-30T00:00:00"/>
        <d v="2024-12-30T00:00:00"/>
        <d v="2025-02-25T00:00:00"/>
        <d v="2025-03-16T00:00:00"/>
        <d v="2024-01-09T00:00:00"/>
        <d v="2024-06-19T00:00:00"/>
        <d v="2024-01-24T00:00:00"/>
        <d v="2024-11-24T00:00:00"/>
        <d v="2024-04-17T00:00:00"/>
        <d v="2024-05-19T00:00:00"/>
        <d v="2024-08-01T00:00:00"/>
        <d v="2024-09-25T00:00:00"/>
        <d v="2024-02-16T00:00:00"/>
        <d v="2024-11-29T00:00:00"/>
        <d v="2024-04-24T00:00:00"/>
        <d v="2024-06-12T00:00:00"/>
        <d v="2024-03-14T00:00:00"/>
        <d v="2025-09-10T00:00:00"/>
        <d v="2024-10-03T00:00:00"/>
        <d v="2025-10-09T00:00:00"/>
        <d v="2024-01-27T00:00:00"/>
        <d v="2025-05-20T00:00:00"/>
        <d v="2025-09-13T00:00:00"/>
        <d v="2025-10-08T00:00:00"/>
        <d v="2025-08-18T00:00:00"/>
        <d v="2025-03-14T00:00:00"/>
        <d v="2025-05-29T00:00:00"/>
        <d v="2024-03-04T00:00:00"/>
        <d v="2025-03-03T00:00:00"/>
        <d v="2025-09-18T00:00:00"/>
        <d v="2024-04-18T00:00:00"/>
        <d v="2025-01-14T00:00:00"/>
        <d v="2025-02-18T00:00:00"/>
        <d v="2025-07-14T00:00:00"/>
        <d v="2025-05-01T00:00:00"/>
        <d v="2025-02-19T00:00:00"/>
        <d v="2024-01-17T00:00:00"/>
        <d v="2025-09-11T00:00:00"/>
        <d v="2024-04-28T00:00:00"/>
        <d v="2025-10-14T00:00:00"/>
        <d v="2025-01-26T00:00:00"/>
        <d v="2025-06-06T00:00:00"/>
        <d v="2024-06-13T00:00:00"/>
        <d v="2024-06-15T00:00:00"/>
        <d v="2025-06-24T00:00:00"/>
        <d v="2025-03-23T00:00:00"/>
        <d v="2024-04-29T00:00:00"/>
        <d v="2024-10-22T00:00:00"/>
      </sharedItems>
    </cacheField>
    <cacheField name="Customer ID" numFmtId="0">
      <sharedItems count="248">
        <s v="CUST-0174"/>
        <s v="CUST-0167"/>
        <s v="CUST-0056"/>
        <s v="CUST-0138"/>
        <s v="CUST-0170"/>
        <s v="CUST-0094"/>
        <s v="CUST-0042"/>
        <s v="CUST-0017"/>
        <s v="CUST-0191"/>
        <s v="CUST-0194"/>
        <s v="CUST-0120"/>
        <s v="CUST-0117"/>
        <s v="CUST-0164"/>
        <s v="CUST-0238"/>
        <s v="CUST-0137"/>
        <s v="CUST-0009"/>
        <s v="CUST-0147"/>
        <s v="CUST-0115"/>
        <s v="CUST-0139"/>
        <s v="CUST-0100"/>
        <s v="CUST-0015"/>
        <s v="CUST-0136"/>
        <s v="CUST-0146"/>
        <s v="CUST-0062"/>
        <s v="CUST-0026"/>
        <s v="CUST-0113"/>
        <s v="CUST-0225"/>
        <s v="CUST-0176"/>
        <s v="CUST-0198"/>
        <s v="CUST-0227"/>
        <s v="CUST-0239"/>
        <s v="CUST-0237"/>
        <s v="CUST-0208"/>
        <s v="CUST-0211"/>
        <s v="CUST-0187"/>
        <s v="CUST-0134"/>
        <s v="CUST-0185"/>
        <s v="CUST-0241"/>
        <s v="CUST-0111"/>
        <s v="CUST-0022"/>
        <s v="CUST-0012"/>
        <s v="CUST-0168"/>
        <s v="CUST-0206"/>
        <s v="CUST-0041"/>
        <s v="CUST-0074"/>
        <s v="CUST-0181"/>
        <s v="CUST-0189"/>
        <s v="CUST-0035"/>
        <s v="CUST-0244"/>
        <s v="CUST-0246"/>
        <s v="CUST-0145"/>
        <s v="CUST-0078"/>
        <s v="CUST-0004"/>
        <s v="CUST-0248"/>
        <s v="CUST-0116"/>
        <s v="CUST-0055"/>
        <s v="CUST-0057"/>
        <s v="CUST-0141"/>
        <s v="CUST-0046"/>
        <s v="CUST-0221"/>
        <s v="CUST-0077"/>
        <s v="CUST-0058"/>
        <s v="CUST-0177"/>
        <s v="CUST-0155"/>
        <s v="CUST-0083"/>
        <s v="CUST-0065"/>
        <s v="CUST-0160"/>
        <s v="CUST-0008"/>
        <s v="CUST-0031"/>
        <s v="CUST-0038"/>
        <s v="CUST-0130"/>
        <s v="CUST-0086"/>
        <s v="CUST-0106"/>
        <s v="CUST-0249"/>
        <s v="CUST-0098"/>
        <s v="CUST-0112"/>
        <s v="CUST-0076"/>
        <s v="CUST-0003"/>
        <s v="CUST-0059"/>
        <s v="CUST-0080"/>
        <s v="CUST-0202"/>
        <s v="CUST-0087"/>
        <s v="CUST-0028"/>
        <s v="CUST-0105"/>
        <s v="CUST-0172"/>
        <s v="CUST-0095"/>
        <s v="CUST-0049"/>
        <s v="CUST-0220"/>
        <s v="CUST-0061"/>
        <s v="CUST-0212"/>
        <s v="CUST-0018"/>
        <s v="CUST-0144"/>
        <s v="CUST-0027"/>
        <s v="CUST-0180"/>
        <s v="CUST-0163"/>
        <s v="CUST-0084"/>
        <s v="CUST-0125"/>
        <s v="CUST-0197"/>
        <s v="CUST-0151"/>
        <s v="CUST-0051"/>
        <s v="CUST-0091"/>
        <s v="CUST-0219"/>
        <s v="CUST-0129"/>
        <s v="CUST-0014"/>
        <s v="CUST-0165"/>
        <s v="CUST-0047"/>
        <s v="CUST-0214"/>
        <s v="CUST-0213"/>
        <s v="CUST-0060"/>
        <s v="CUST-0200"/>
        <s v="CUST-0124"/>
        <s v="CUST-0235"/>
        <s v="CUST-0204"/>
        <s v="CUST-0110"/>
        <s v="CUST-0140"/>
        <s v="CUST-0005"/>
        <s v="CUST-0199"/>
        <s v="CUST-0209"/>
        <s v="CUST-0032"/>
        <s v="CUST-0133"/>
        <s v="CUST-0234"/>
        <s v="CUST-0126"/>
        <s v="CUST-0203"/>
        <s v="CUST-0156"/>
        <s v="CUST-0082"/>
        <s v="CUST-0108"/>
        <s v="CUST-0013"/>
        <s v="CUST-0196"/>
        <s v="CUST-0122"/>
        <s v="CUST-0158"/>
        <s v="CUST-0201"/>
        <s v="CUST-0236"/>
        <s v="CUST-0097"/>
        <s v="CUST-0072"/>
        <s v="CUST-0240"/>
        <s v="CUST-0245"/>
        <s v="CUST-0036"/>
        <s v="CUST-0184"/>
        <s v="CUST-0215"/>
        <s v="CUST-0029"/>
        <s v="CUST-0132"/>
        <s v="CUST-0121"/>
        <s v="CUST-0233"/>
        <s v="CUST-0033"/>
        <s v="CUST-0089"/>
        <s v="CUST-0037"/>
        <s v="CUST-0242"/>
        <s v="CUST-0053"/>
        <s v="CUST-0222"/>
        <s v="CUST-0217"/>
        <s v="CUST-0063"/>
        <s v="CUST-0081"/>
        <s v="CUST-0092"/>
        <s v="CUST-0114"/>
        <s v="CUST-0127"/>
        <s v="CUST-0052"/>
        <s v="CUST-0210"/>
        <s v="CUST-0182"/>
        <s v="CUST-0043"/>
        <s v="CUST-0131"/>
        <s v="CUST-0224"/>
        <s v="CUST-0101"/>
        <s v="CUST-0048"/>
        <s v="CUST-0159"/>
        <s v="CUST-0107"/>
        <s v="CUST-0023"/>
        <s v="CUST-0153"/>
        <s v="CUST-0045"/>
        <s v="CUST-0102"/>
        <s v="CUST-0021"/>
        <s v="CUST-0148"/>
        <s v="CUST-0229"/>
        <s v="CUST-0075"/>
        <s v="CUST-0020"/>
        <s v="CUST-0064"/>
        <s v="CUST-0099"/>
        <s v="CUST-0230"/>
        <s v="CUST-0069"/>
        <s v="CUST-0001"/>
        <s v="CUST-0226"/>
        <s v="CUST-0006"/>
        <s v="CUST-0231"/>
        <s v="CUST-0150"/>
        <s v="CUST-0044"/>
        <s v="CUST-0054"/>
        <s v="CUST-0228"/>
        <s v="CUST-0128"/>
        <s v="CUST-0068"/>
        <s v="CUST-0050"/>
        <s v="CUST-0085"/>
        <s v="CUST-0178"/>
        <s v="CUST-0161"/>
        <s v="CUST-0010"/>
        <s v="CUST-0247"/>
        <s v="CUST-0088"/>
        <s v="CUST-0179"/>
        <s v="CUST-0123"/>
        <s v="CUST-0002"/>
        <s v="CUST-0143"/>
        <s v="CUST-0109"/>
        <s v="CUST-0190"/>
        <s v="CUST-0067"/>
        <s v="CUST-0166"/>
        <s v="CUST-0007"/>
        <s v="CUST-0073"/>
        <s v="CUST-0193"/>
        <s v="CUST-0093"/>
        <s v="CUST-0079"/>
        <s v="CUST-0223"/>
        <s v="CUST-0135"/>
        <s v="CUST-0011"/>
        <s v="CUST-0171"/>
        <s v="CUST-0157"/>
        <s v="CUST-0071"/>
        <s v="CUST-0034"/>
        <s v="CUST-0024"/>
        <s v="CUST-0188"/>
        <s v="CUST-0066"/>
        <s v="CUST-0016"/>
        <s v="CUST-0039"/>
        <s v="CUST-0070"/>
        <s v="CUST-0104"/>
        <s v="CUST-0218"/>
        <s v="CUST-0119"/>
        <s v="CUST-0096"/>
        <s v="CUST-0173"/>
        <s v="CUST-0152"/>
        <s v="CUST-0040"/>
        <s v="CUST-0250"/>
        <s v="CUST-0243"/>
        <s v="CUST-0175"/>
        <s v="CUST-0142"/>
        <s v="CUST-0216"/>
        <s v="CUST-0207"/>
        <s v="CUST-0030"/>
        <s v="CUST-0103"/>
        <s v="CUST-0205"/>
        <s v="CUST-0149"/>
        <s v="CUST-0195"/>
        <s v="CUST-0118"/>
        <s v="CUST-0154"/>
        <s v="CUST-0162"/>
        <s v="CUST-0169"/>
        <s v="CUST-0025"/>
        <s v="CUST-0183"/>
        <s v="CUST-0192"/>
        <s v="CUST-0019"/>
        <s v="CUST-0186"/>
      </sharedItems>
    </cacheField>
    <cacheField name="Customer Name" numFmtId="0">
      <sharedItems/>
    </cacheField>
    <cacheField name="Segment" numFmtId="0">
      <sharedItems count="3">
        <s v="Home Office"/>
        <s v="Consumer"/>
        <s v="Corporate"/>
      </sharedItems>
    </cacheField>
    <cacheField name="City" numFmtId="0">
      <sharedItems count="15">
        <s v="Ahmedabad"/>
        <s v="Bhavnagar"/>
        <s v="Hyderabad"/>
        <s v="Kolkata"/>
        <s v="Chennai"/>
        <s v="Mumbai"/>
        <s v="Jaipur"/>
        <s v="Pune"/>
        <s v="Surat"/>
        <s v="Indore"/>
        <s v="Vadodara"/>
        <s v="Delhi"/>
        <s v="Bengaluru"/>
        <s v="Rajkot"/>
        <s v="Lucknow"/>
      </sharedItems>
    </cacheField>
    <cacheField name="State" numFmtId="0">
      <sharedItems count="10">
        <s v="Gujarat"/>
        <s v="Telangana"/>
        <s v="West Bengal"/>
        <s v="Tamil Nadu"/>
        <s v="Maharashtra"/>
        <s v="Rajasthan"/>
        <s v="Madhya Pradesh"/>
        <s v="Delhi"/>
        <s v="Karnataka"/>
        <s v="Uttar Pradesh"/>
      </sharedItems>
    </cacheField>
    <cacheField name="Region" numFmtId="0">
      <sharedItems count="5">
        <s v="West"/>
        <s v="South"/>
        <s v="East"/>
        <s v="North"/>
        <s v="Central"/>
      </sharedItems>
    </cacheField>
    <cacheField name="Category" numFmtId="0">
      <sharedItems count="4">
        <s v="Furniture"/>
        <s v="Office Supplies"/>
        <s v="Electronics"/>
        <s v="Accessories"/>
      </sharedItems>
    </cacheField>
    <cacheField name="Product Name" numFmtId="0">
      <sharedItems count="20">
        <s v="Study Table"/>
        <s v="Pens Set"/>
        <s v="Keyboard"/>
        <s v="Drawer Unit"/>
        <s v="USB Drive"/>
        <s v="Monitor"/>
        <s v="Power Bank"/>
        <s v="Cable Organizer"/>
        <s v="Bookshelf"/>
        <s v="File Folder"/>
        <s v="Wireless Mouse"/>
        <s v="Office Chair"/>
        <s v="Stapler"/>
        <s v="Phone Stand"/>
        <s v="Headphones"/>
        <s v="Printer Paper"/>
        <s v="Laptop Bag"/>
        <s v="Webcam"/>
        <s v="Notebook Pack"/>
        <s v="Desk Lamp"/>
      </sharedItems>
    </cacheField>
    <cacheField name="Sales" numFmtId="164">
      <sharedItems containsSemiMixedTypes="0" containsString="0" containsNumber="1" minValue="72" maxValue="68000" count="448">
        <n v="26000"/>
        <n v="102"/>
        <n v="6317.5"/>
        <n v="15500"/>
        <n v="9920"/>
        <n v="2475"/>
        <n v="21675"/>
        <n v="902.5"/>
        <n v="4560"/>
        <n v="16575"/>
        <n v="396"/>
        <n v="5320"/>
        <n v="144"/>
        <n v="45900"/>
        <n v="5200"/>
        <n v="21700"/>
        <n v="1760"/>
        <n v="650"/>
        <n v="216"/>
        <n v="4322.5"/>
        <n v="16800"/>
        <n v="1100"/>
        <n v="150"/>
        <n v="1330"/>
        <n v="57800"/>
        <n v="6650"/>
        <n v="8960"/>
        <n v="4420"/>
        <n v="15960"/>
        <n v="34000"/>
        <n v="2750"/>
        <n v="220"/>
        <n v="332.5"/>
        <n v="8627.5"/>
        <n v="1792"/>
        <n v="1260"/>
        <n v="6960"/>
        <n v="7140"/>
        <n v="256"/>
        <n v="14880"/>
        <n v="9300"/>
        <n v="209"/>
        <n v="576"/>
        <n v="1280"/>
        <n v="1080"/>
        <n v="4400"/>
        <n v="1309"/>
        <n v="1575"/>
        <n v="432"/>
        <n v="3960"/>
        <n v="17640"/>
        <n v="1440"/>
        <n v="550"/>
        <n v="10260"/>
        <n v="4640"/>
        <n v="324"/>
        <n v="4750"/>
        <n v="3230"/>
        <n v="2450"/>
        <n v="11200"/>
        <n v="31920"/>
        <n v="2635"/>
        <n v="12800"/>
        <n v="1188"/>
        <n v="684"/>
        <n v="5700"/>
        <n v="2422.5"/>
        <n v="567"/>
        <n v="3610"/>
        <n v="1672"/>
        <n v="11160"/>
        <n v="13950"/>
        <n v="990"/>
        <n v="1450"/>
        <n v="8360"/>
        <n v="675"/>
        <n v="1600"/>
        <n v="2048"/>
        <n v="9642.5"/>
        <n v="2380"/>
        <n v="840"/>
        <n v="2800"/>
        <n v="2970"/>
        <n v="5280"/>
        <n v="3990"/>
        <n v="360"/>
        <n v="12400"/>
        <n v="5652.5"/>
        <n v="64600"/>
        <n v="10400"/>
        <n v="19600"/>
        <n v="2432"/>
        <n v="1320"/>
        <n v="17360"/>
        <n v="1152"/>
        <n v="2565"/>
        <n v="3657.5"/>
        <n v="18600"/>
        <n v="3900"/>
        <n v="816"/>
        <n v="352"/>
        <n v="38250"/>
        <n v="2090"/>
        <n v="1200"/>
        <n v="6720"/>
        <n v="5525"/>
        <n v="4675"/>
        <n v="8700"/>
        <n v="42500"/>
        <n v="630"/>
        <n v="5415"/>
        <n v="2925"/>
        <n v="10150"/>
        <n v="2470"/>
        <n v="4800"/>
        <n v="495"/>
        <n v="3420"/>
        <n v="29400"/>
        <n v="39000"/>
        <n v="10240"/>
        <n v="7600"/>
        <n v="4480"/>
        <n v="25500"/>
        <n v="4987.5"/>
        <n v="7980"/>
        <n v="665"/>
        <n v="2465"/>
        <n v="600"/>
        <n v="22320"/>
        <n v="256.5"/>
        <n v="4275"/>
        <n v="4350"/>
        <n v="3250"/>
        <n v="4200"/>
        <n v="27200"/>
        <n v="51000"/>
        <n v="7315"/>
        <n v="6162.5"/>
        <n v="2240"/>
        <n v="1140"/>
        <n v="427.5"/>
        <n v="15200"/>
        <n v="2805"/>
        <n v="1900"/>
        <n v="1400"/>
        <n v="1912.5"/>
        <n v="440"/>
        <n v="714"/>
        <n v="270"/>
        <n v="2600"/>
        <n v="22400"/>
        <n v="11520"/>
        <n v="1785"/>
        <n v="17550"/>
        <n v="1190"/>
        <n v="1567.5"/>
        <n v="9690"/>
        <n v="1560"/>
        <n v="2082.5"/>
        <n v="24800"/>
        <n v="810"/>
        <n v="382.5"/>
        <n v="120"/>
        <n v="90"/>
        <n v="1026"/>
        <n v="23520"/>
        <n v="10830"/>
        <n v="960"/>
        <n v="204"/>
        <n v="68000"/>
        <n v="27930"/>
        <n v="8500"/>
        <n v="11970"/>
        <n v="10710"/>
        <n v="1540"/>
        <n v="855"/>
        <n v="6930"/>
        <n v="9120"/>
        <n v="1728"/>
        <n v="17920"/>
        <n v="297.5"/>
        <n v="192"/>
        <n v="700"/>
        <n v="5940"/>
        <n v="4095"/>
        <n v="5500"/>
        <n v="18900"/>
        <n v="8400"/>
        <n v="4950"/>
        <n v="997.5"/>
        <n v="6270"/>
        <n v="1632"/>
        <n v="836"/>
        <n v="72"/>
        <n v="3840"/>
        <n v="2080"/>
        <n v="1520"/>
        <n v="229.5"/>
        <n v="544"/>
        <n v="3825"/>
        <n v="512"/>
        <n v="4080"/>
        <n v="18525"/>
        <n v="1584"/>
        <n v="304"/>
        <n v="374"/>
        <n v="792"/>
        <n v="480"/>
        <n v="13175"/>
        <n v="4725"/>
        <n v="1008"/>
        <n v="300"/>
        <n v="1050"/>
        <n v="4930"/>
        <n v="3200"/>
        <n v="1463"/>
        <n v="6500"/>
        <n v="3135"/>
        <n v="8120"/>
        <n v="5890"/>
        <n v="912"/>
        <n v="2100"/>
        <n v="33600"/>
        <n v="1160"/>
        <n v="20400"/>
        <n v="15120"/>
        <n v="180"/>
        <n v="1134"/>
        <n v="1300"/>
        <n v="504"/>
        <n v="918"/>
        <n v="240"/>
        <n v="1425"/>
        <n v="228"/>
        <n v="10640"/>
        <n v="1377.5"/>
        <n v="9280"/>
        <n v="672"/>
        <n v="2280"/>
        <n v="3040"/>
        <n v="748"/>
        <n v="1235"/>
        <n v="720"/>
        <n v="608"/>
        <n v="11305"/>
        <n v="1045"/>
        <n v="1368"/>
        <n v="1024"/>
        <n v="8800"/>
        <n v="1680"/>
        <n v="21420"/>
        <n v="2137.5"/>
        <n v="2337.5"/>
        <n v="36125"/>
        <n v="7560"/>
        <n v="712.5"/>
        <n v="1500"/>
        <n v="880"/>
        <n v="3740"/>
        <n v="1657.5"/>
        <n v="7920"/>
        <n v="2762.5"/>
        <n v="12160"/>
        <n v="3520"/>
        <n v="1496"/>
        <n v="2250"/>
        <n v="408"/>
        <n v="17000"/>
        <n v="900"/>
        <n v="513"/>
        <n v="6600"/>
        <n v="3300"/>
        <n v="32300"/>
        <n v="13600"/>
        <n v="36400"/>
        <n v="807.5"/>
        <n v="11400"/>
        <n v="8160"/>
        <n v="342"/>
        <n v="50575"/>
        <n v="2480"/>
        <n v="22950"/>
        <n v="4960"/>
        <n v="2900"/>
        <n v="450"/>
        <n v="187"/>
        <n v="5580"/>
        <n v="2128"/>
        <n v="2700"/>
        <n v="1805"/>
        <n v="198"/>
        <n v="2340"/>
        <n v="6400"/>
        <n v="3562.5"/>
        <n v="1350"/>
        <n v="1824"/>
        <n v="648"/>
        <n v="1170"/>
        <n v="3705"/>
        <n v="6080"/>
        <n v="3000"/>
        <n v="540"/>
        <n v="627"/>
        <n v="3120"/>
        <n v="486"/>
        <n v="1950"/>
        <n v="8000"/>
        <n v="5610"/>
        <n v="306"/>
        <n v="5250"/>
        <n v="1232.5"/>
        <n v="4132.5"/>
        <n v="6200"/>
        <n v="768"/>
        <n v="20160"/>
        <n v="510"/>
        <n v="560"/>
        <n v="637.5"/>
        <n v="3750"/>
        <n v="5130"/>
        <n v="2400"/>
        <n v="15300"/>
        <n v="2025"/>
        <n v="2200"/>
        <n v="13000"/>
        <n v="1650"/>
        <n v="44200"/>
        <n v="6000"/>
        <n v="171"/>
        <n v="6460"/>
        <n v="108"/>
        <n v="11600"/>
        <n v="570"/>
        <n v="7395"/>
        <n v="3850"/>
        <n v="11700"/>
        <n v="7905"/>
        <n v="12600"/>
        <n v="9520"/>
        <n v="3570"/>
        <n v="1275"/>
        <n v="2945"/>
        <n v="9025"/>
        <n v="561"/>
        <n v="7250"/>
        <n v="13300"/>
        <n v="28900"/>
        <n v="2720"/>
        <n v="320"/>
        <n v="10080"/>
        <n v="1224"/>
        <n v="40800"/>
        <n v="3600"/>
        <n v="640"/>
        <n v="2660"/>
        <n v="24990"/>
        <n v="765"/>
        <n v="12635"/>
        <n v="1852.5"/>
        <n v="19950"/>
        <n v="585"/>
        <n v="2210"/>
        <n v="2016"/>
        <n v="1755"/>
        <n v="10440"/>
        <n v="4550"/>
        <n v="46800"/>
        <n v="61200"/>
        <n v="40950"/>
        <n v="3800"/>
        <n v="2707.5"/>
        <n v="1056"/>
        <n v="4037.5"/>
        <n v="750"/>
        <n v="5600"/>
        <n v="1750"/>
        <n v="892.5"/>
        <n v="3697.5"/>
        <n v="405"/>
        <n v="76.5"/>
        <n v="598.5"/>
        <n v="7040"/>
        <n v="19840"/>
        <n v="7480"/>
        <n v="4180"/>
        <n v="1920"/>
        <n v="945"/>
        <n v="3360"/>
        <n v="5510"/>
        <n v="5225"/>
        <n v="864"/>
        <n v="21280"/>
        <n v="520"/>
        <n v="4940"/>
        <n v="11050"/>
        <n v="48450"/>
        <n v="1105"/>
        <n v="612"/>
        <n v="52000"/>
        <n v="6800"/>
        <n v="9860"/>
        <n v="2755"/>
        <n v="15600"/>
        <n v="26880"/>
        <n v="5760"/>
        <n v="1197"/>
        <n v="456"/>
        <n v="6840"/>
        <n v="7680"/>
        <n v="2304"/>
        <n v="19500"/>
        <n v="3915"/>
        <n v="41600"/>
        <n v="459"/>
        <n v="135"/>
        <n v="8640"/>
        <n v="798"/>
        <n v="3080"/>
        <n v="16660"/>
        <n v="1232"/>
        <n v="35100"/>
        <n v="25200"/>
        <n v="9135"/>
        <n v="3087.5"/>
        <n v="45500"/>
        <n v="59500"/>
        <n v="1020"/>
        <n v="2640"/>
        <n v="272"/>
        <n v="1360"/>
        <n v="32500"/>
        <n v="1662.5"/>
        <n v="1122"/>
        <n v="12350"/>
        <n v="2560"/>
        <n v="660"/>
        <n v="3375"/>
        <n v="4320"/>
        <n v="1615"/>
        <n v="5120"/>
        <n v="20800"/>
        <n v="4845"/>
        <n v="176"/>
        <n v="15680"/>
        <n v="1088"/>
        <n v="5400"/>
        <n v="4760"/>
        <n v="5220"/>
      </sharedItems>
    </cacheField>
    <cacheField name="Quantity" numFmtId="0">
      <sharedItems containsSemiMixedTypes="0" containsString="0" containsNumber="1" containsInteger="1" minValue="1" maxValue="8" count="8">
        <n v="4"/>
        <n v="1"/>
        <n v="7"/>
        <n v="5"/>
        <n v="3"/>
        <n v="2"/>
        <n v="6"/>
        <n v="8"/>
      </sharedItems>
    </cacheField>
    <cacheField name="Discount" numFmtId="9">
      <sharedItems containsSemiMixedTypes="0" containsString="0" containsNumber="1" minValue="0" maxValue="0.2"/>
    </cacheField>
    <cacheField name="Profit" numFmtId="165">
      <sharedItems containsSemiMixedTypes="0" containsString="0" containsNumber="1" minValue="6.85" maxValue="24990.5" count="998">
        <n v="4901.45"/>
        <n v="31.19"/>
        <n v="1896.85"/>
        <n v="2949.18"/>
        <n v="3292.6"/>
        <n v="494.31"/>
        <n v="3639.82"/>
        <n v="242.05"/>
        <n v="1533.05"/>
        <n v="3798.76"/>
        <n v="105.25"/>
        <n v="1380.33"/>
        <n v="39.229999999999997"/>
        <n v="16521.060000000001"/>
        <n v="653.76"/>
        <n v="3005.07"/>
        <n v="555.36"/>
        <n v="235.61"/>
        <n v="23.06"/>
        <n v="1134.0899999999999"/>
        <n v="5553.17"/>
        <n v="231.49"/>
        <n v="42.22"/>
        <n v="420.14"/>
        <n v="6846.95"/>
        <n v="898.98"/>
        <n v="1467.56"/>
        <n v="432.73"/>
        <n v="4762.5200000000004"/>
        <n v="10984.3"/>
        <n v="2337.23"/>
        <n v="1042.46"/>
        <n v="79.3"/>
        <n v="92.33"/>
        <n v="1403.14"/>
        <n v="224.62"/>
        <n v="345.35"/>
        <n v="1514.18"/>
        <n v="1745.83"/>
        <n v="60.58"/>
        <n v="1927.2"/>
        <n v="2517.36"/>
        <n v="62.26"/>
        <n v="176.19"/>
        <n v="437.36"/>
        <n v="325.69"/>
        <n v="1149.81"/>
        <n v="316.20999999999998"/>
        <n v="543.15"/>
        <n v="79.739999999999995"/>
        <n v="1044.3900000000001"/>
        <n v="3970.11"/>
        <n v="399.75"/>
        <n v="117.09"/>
        <n v="3002.62"/>
        <n v="1541.22"/>
        <n v="61.86"/>
        <n v="1090.32"/>
        <n v="6756.81"/>
        <n v="610.91999999999996"/>
        <n v="463.57"/>
        <n v="3443.76"/>
        <n v="10381.07"/>
        <n v="292.49"/>
        <n v="4554.32"/>
        <n v="125.78"/>
        <n v="233.53"/>
        <n v="5001.1400000000003"/>
        <n v="3554.25"/>
        <n v="1791.83"/>
        <n v="268.24"/>
        <n v="73.02"/>
        <n v="724.85"/>
        <n v="608.63"/>
        <n v="3740.37"/>
        <n v="4640.72"/>
        <n v="172.28"/>
        <n v="373.62"/>
        <n v="2226.5100000000002"/>
        <n v="230.92"/>
        <n v="392.33"/>
        <n v="458.7"/>
        <n v="1144.0999999999999"/>
        <n v="3343.81"/>
        <n v="1249.6199999999999"/>
        <n v="551.14"/>
        <n v="132.25"/>
        <n v="972.09"/>
        <n v="411.52"/>
        <n v="668.3"/>
        <n v="882.74"/>
        <n v="660.36"/>
        <n v="79.75"/>
        <n v="201.57"/>
        <n v="1238.42"/>
        <n v="1493.22"/>
        <n v="11034.15"/>
        <n v="1892.29"/>
        <n v="6424.75"/>
        <n v="433.86"/>
        <n v="230.24"/>
        <n v="1831.9"/>
        <n v="312.69"/>
        <n v="633.69000000000005"/>
        <n v="1331.31"/>
        <n v="5142.6000000000004"/>
        <n v="479.34"/>
        <n v="291.12"/>
        <n v="150.81"/>
        <n v="117.38"/>
        <n v="7563.23"/>
        <n v="447.98"/>
        <n v="231.22"/>
        <n v="326.89"/>
        <n v="739.36"/>
        <n v="601"/>
        <n v="1291.53"/>
        <n v="1580.99"/>
        <n v="14156.4"/>
        <n v="216.16"/>
        <n v="1578.33"/>
        <n v="564.22"/>
        <n v="3109.51"/>
        <n v="312.99"/>
        <n v="1349.5"/>
        <n v="62.12"/>
        <n v="1229.75"/>
        <n v="9312.09"/>
        <n v="14045.51"/>
        <n v="8890.0400000000009"/>
        <n v="1123.53"/>
        <n v="1662.35"/>
        <n v="561.32000000000005"/>
        <n v="449.76"/>
        <n v="8047.46"/>
        <n v="977.48"/>
        <n v="2803.45"/>
        <n v="151.07"/>
        <n v="377.16"/>
        <n v="387.18"/>
        <n v="212.82"/>
        <n v="87.73"/>
        <n v="3681.59"/>
        <n v="92.07"/>
        <n v="554.13"/>
        <n v="116.07"/>
        <n v="1609.68"/>
        <n v="529.46"/>
        <n v="1137.55"/>
        <n v="8504.6200000000008"/>
        <n v="6737.87"/>
        <n v="2242.42"/>
        <n v="18792.11"/>
        <n v="1745.25"/>
        <n v="1565.04"/>
        <n v="590.69000000000005"/>
        <n v="150.68"/>
        <n v="147.84"/>
        <n v="2903.63"/>
        <n v="418.55"/>
        <n v="337.41"/>
        <n v="1709.3"/>
        <n v="43.43"/>
        <n v="156.4"/>
        <n v="1371.05"/>
        <n v="158.55000000000001"/>
        <n v="244.03"/>
        <n v="55.96"/>
        <n v="86.19"/>
        <n v="503.75"/>
        <n v="56.36"/>
        <n v="767.49"/>
        <n v="3825.5"/>
        <n v="3593.71"/>
        <n v="377.48"/>
        <n v="410.43"/>
        <n v="1861.14"/>
        <n v="316.24"/>
        <n v="287.39999999999998"/>
        <n v="447.28"/>
        <n v="1098.5899999999999"/>
        <n v="410.92"/>
        <n v="5167.67"/>
        <n v="151.38"/>
        <n v="7820.58"/>
        <n v="323.58"/>
        <n v="324.88"/>
        <n v="97.47"/>
        <n v="3251.09"/>
        <n v="222.19"/>
        <n v="1957.86"/>
        <n v="67.510000000000005"/>
        <n v="32.700000000000003"/>
        <n v="211.53"/>
        <n v="24.42"/>
        <n v="897.07"/>
        <n v="220.5"/>
        <n v="230.72"/>
        <n v="7648.7"/>
        <n v="2394.08"/>
        <n v="755.13"/>
        <n v="251.24"/>
        <n v="49.23"/>
        <n v="79.569999999999993"/>
        <n v="17823.32"/>
        <n v="4475"/>
        <n v="1050.6400000000001"/>
        <n v="1662.62"/>
        <n v="2734.31"/>
        <n v="486.1"/>
        <n v="71.81"/>
        <n v="214.49"/>
        <n v="5608.67"/>
        <n v="152.65"/>
        <n v="411.83"/>
        <n v="1525.33"/>
        <n v="546.22"/>
        <n v="1062.56"/>
        <n v="339.43"/>
        <n v="2776.99"/>
        <n v="610.17999999999995"/>
        <n v="1677.14"/>
        <n v="3282.22"/>
        <n v="103.74"/>
        <n v="59.66"/>
        <n v="386.6"/>
        <n v="170.56"/>
        <n v="1459.22"/>
        <n v="1093.0999999999999"/>
        <n v="382.82"/>
        <n v="200.86"/>
        <n v="1283.54"/>
        <n v="382.97"/>
        <n v="4487.67"/>
        <n v="1070.25"/>
        <n v="1132.57"/>
        <n v="4179.53"/>
        <n v="1307.6500000000001"/>
        <n v="293.47000000000003"/>
        <n v="796.3"/>
        <n v="4292.3"/>
        <n v="181.49"/>
        <n v="229.67"/>
        <n v="16.559999999999999"/>
        <n v="1041.6500000000001"/>
        <n v="295.55"/>
        <n v="368.53"/>
        <n v="344"/>
        <n v="515.72"/>
        <n v="386.25"/>
        <n v="1302.79"/>
        <n v="72.489999999999995"/>
        <n v="243.63"/>
        <n v="180.09"/>
        <n v="980.94"/>
        <n v="161.37"/>
        <n v="1051.56"/>
        <n v="2845.14"/>
        <n v="296.17"/>
        <n v="95.47"/>
        <n v="122.6"/>
        <n v="267.99"/>
        <n v="357.97"/>
        <n v="111.25"/>
        <n v="1334.27"/>
        <n v="93.62"/>
        <n v="1631.85"/>
        <n v="495.19"/>
        <n v="615.87"/>
        <n v="672.81"/>
        <n v="228.07"/>
        <n v="272.73"/>
        <n v="67.69"/>
        <n v="897.33"/>
        <n v="254.17"/>
        <n v="428.95"/>
        <n v="1755.53"/>
        <n v="984.52"/>
        <n v="800.35"/>
        <n v="337.14"/>
        <n v="866.73"/>
        <n v="1099.6500000000001"/>
        <n v="829.12"/>
        <n v="1638.68"/>
        <n v="7217.27"/>
        <n v="1103.17"/>
        <n v="156.35"/>
        <n v="239.23"/>
        <n v="570.72"/>
        <n v="330.53"/>
        <n v="9545.1200000000008"/>
        <n v="529.67999999999995"/>
        <n v="292.52"/>
        <n v="1750.78"/>
        <n v="2790.92"/>
        <n v="2764.11"/>
        <n v="63.46"/>
        <n v="199.87"/>
        <n v="2030.82"/>
        <n v="249.99"/>
        <n v="224.91"/>
        <n v="188.96"/>
        <n v="124.64"/>
        <n v="194.85"/>
        <n v="628.66"/>
        <n v="663.57"/>
        <n v="275.91000000000003"/>
        <n v="50.21"/>
        <n v="1815.43"/>
        <n v="72.59"/>
        <n v="19974.939999999999"/>
        <n v="955.42"/>
        <n v="419.01"/>
        <n v="5005.72"/>
        <n v="49.14"/>
        <n v="1868.62"/>
        <n v="69.72"/>
        <n v="2452.88"/>
        <n v="419.6"/>
        <n v="3173.22"/>
        <n v="138.38999999999999"/>
        <n v="1609.65"/>
        <n v="625.01"/>
        <n v="633.91999999999996"/>
        <n v="1787.96"/>
        <n v="255.55"/>
        <n v="8019.63"/>
        <n v="178.29"/>
        <n v="58.01"/>
        <n v="4352.32"/>
        <n v="839.32"/>
        <n v="1177.51"/>
        <n v="1328.25"/>
        <n v="1083.06"/>
        <n v="157.13"/>
        <n v="188.15"/>
        <n v="311.47000000000003"/>
        <n v="222.14"/>
        <n v="116.89"/>
        <n v="126.17"/>
        <n v="3740.81"/>
        <n v="120.72"/>
        <n v="2626.75"/>
        <n v="417.31"/>
        <n v="216.06"/>
        <n v="89.04"/>
        <n v="5018.38"/>
        <n v="1361.69"/>
        <n v="868.59"/>
        <n v="509.22"/>
        <n v="500.75"/>
        <n v="1268.04"/>
        <n v="6596.29"/>
        <n v="2354.33"/>
        <n v="242.61"/>
        <n v="285.55"/>
        <n v="456.95"/>
        <n v="2662.31"/>
        <n v="7226.27"/>
        <n v="2368.94"/>
        <n v="1262.17"/>
        <n v="9053.7900000000009"/>
        <n v="179.4"/>
        <n v="238.01"/>
        <n v="286.73"/>
        <n v="1071.69"/>
        <n v="677.38"/>
        <n v="179.07"/>
        <n v="111.14"/>
        <n v="226.75"/>
        <n v="397.12"/>
        <n v="2239.9699999999998"/>
        <n v="583.70000000000005"/>
        <n v="2178.3000000000002"/>
        <n v="4796.66"/>
        <n v="66.73"/>
        <n v="692.66"/>
        <n v="231.01"/>
        <n v="359.99"/>
        <n v="613.54"/>
        <n v="70.08"/>
        <n v="4982.37"/>
        <n v="4776.55"/>
        <n v="165.66"/>
        <n v="155.71"/>
        <n v="354.63"/>
        <n v="984.9"/>
        <n v="144.75"/>
        <n v="111.48"/>
        <n v="6432.64"/>
        <n v="992.09"/>
        <n v="45.34"/>
        <n v="2838.67"/>
        <n v="211.2"/>
        <n v="387.56"/>
        <n v="859.98"/>
        <n v="8608.4500000000007"/>
        <n v="2689.29"/>
        <n v="1022.08"/>
        <n v="200.5"/>
        <n v="41.6"/>
        <n v="4681.79"/>
        <n v="191.84"/>
        <n v="2342.2800000000002"/>
        <n v="1518.17"/>
        <n v="102.57"/>
        <n v="2080.1"/>
        <n v="62.17"/>
        <n v="15282.87"/>
        <n v="332.03"/>
        <n v="713.97"/>
        <n v="34.49"/>
        <n v="1540.44"/>
        <n v="4729.84"/>
        <n v="4288.01"/>
        <n v="7388.58"/>
        <n v="1438.95"/>
        <n v="28.8"/>
        <n v="8587.16"/>
        <n v="763.3"/>
        <n v="86.27"/>
        <n v="43.94"/>
        <n v="42.38"/>
        <n v="530.5"/>
        <n v="1842.46"/>
        <n v="814.59"/>
        <n v="733.71"/>
        <n v="597.91999999999996"/>
        <n v="3667.72"/>
        <n v="1037.83"/>
        <n v="381.51"/>
        <n v="87.54"/>
        <n v="1241.79"/>
        <n v="306.45999999999998"/>
        <n v="349.08"/>
        <n v="497.03"/>
        <n v="2912.51"/>
        <n v="66.28"/>
        <n v="331.41"/>
        <n v="269.89999999999998"/>
        <n v="192.24"/>
        <n v="1572.54"/>
        <n v="544.36"/>
        <n v="6485.48"/>
        <n v="500.61"/>
        <n v="1388.02"/>
        <n v="618.51"/>
        <n v="1100.74"/>
        <n v="806.35"/>
        <n v="231.4"/>
        <n v="8488.26"/>
        <n v="360.19"/>
        <n v="130.16"/>
        <n v="3141.12"/>
        <n v="757.94"/>
        <n v="260.22000000000003"/>
        <n v="868.11"/>
        <n v="547.59"/>
        <n v="89.44"/>
        <n v="379.48"/>
        <n v="325.26"/>
        <n v="2944.56"/>
        <n v="2139.59"/>
        <n v="997.72"/>
        <n v="714.93"/>
        <n v="1499.62"/>
        <n v="250.54"/>
        <n v="80.81"/>
        <n v="1044.76"/>
        <n v="2527.02"/>
        <n v="329.57"/>
        <n v="107.9"/>
        <n v="967.14"/>
        <n v="602.39"/>
        <n v="5769.91"/>
        <n v="140.03"/>
        <n v="40.08"/>
        <n v="755.47"/>
        <n v="298.14"/>
        <n v="2277.98"/>
        <n v="921.14"/>
        <n v="436.81"/>
        <n v="59.64"/>
        <n v="1767.31"/>
        <n v="966.28"/>
        <n v="53.76"/>
        <n v="397.33"/>
        <n v="1610.32"/>
        <n v="370.68"/>
        <n v="71.25"/>
        <n v="807.74"/>
        <n v="999.55"/>
        <n v="1061.6199999999999"/>
        <n v="802.08"/>
        <n v="147.61000000000001"/>
        <n v="1273.1400000000001"/>
        <n v="877.26"/>
        <n v="98.52"/>
        <n v="2840.28"/>
        <n v="118.28"/>
        <n v="1331.78"/>
        <n v="4275.45"/>
        <n v="492.44"/>
        <n v="3456.6"/>
        <n v="2523.06"/>
        <n v="140.35"/>
        <n v="173.33"/>
        <n v="80"/>
        <n v="5056.22"/>
        <n v="665.37"/>
        <n v="72.459999999999994"/>
        <n v="1216.96"/>
        <n v="421.08"/>
        <n v="701.28"/>
        <n v="3766.95"/>
        <n v="8019.09"/>
        <n v="584.11"/>
        <n v="390.57"/>
        <n v="184.44"/>
        <n v="560.75"/>
        <n v="147.94"/>
        <n v="1693.73"/>
        <n v="23.94"/>
        <n v="1280.4100000000001"/>
        <n v="229.11"/>
        <n v="338.67"/>
        <n v="2302.7600000000002"/>
        <n v="448.65"/>
        <n v="206.79"/>
        <n v="7421.71"/>
        <n v="93.29"/>
        <n v="2390.52"/>
        <n v="1769.69"/>
        <n v="1272.78"/>
        <n v="790.12"/>
        <n v="1842.28"/>
        <n v="32.340000000000003"/>
        <n v="1801.68"/>
        <n v="481.09"/>
        <n v="28.54"/>
        <n v="4097.04"/>
        <n v="133.44"/>
        <n v="310.63"/>
        <n v="1790.71"/>
        <n v="757.62"/>
        <n v="2543.2800000000002"/>
        <n v="2192.85"/>
        <n v="7199.77"/>
        <n v="2614.48"/>
        <n v="2448.0100000000002"/>
        <n v="1444.53"/>
        <n v="1091.6500000000001"/>
        <n v="2168.8200000000002"/>
        <n v="581.92999999999995"/>
        <n v="2247.52"/>
        <n v="42.02"/>
        <n v="2758.23"/>
        <n v="317.82"/>
        <n v="25.37"/>
        <n v="2958.37"/>
        <n v="42.63"/>
        <n v="827.71"/>
        <n v="160.81"/>
        <n v="687.34"/>
        <n v="2968.75"/>
        <n v="193.03"/>
        <n v="1594.22"/>
        <n v="280.87"/>
        <n v="434.21"/>
        <n v="115.03"/>
        <n v="148.33000000000001"/>
        <n v="1125.27"/>
        <n v="2179.84"/>
        <n v="73.67"/>
        <n v="411.94"/>
        <n v="5537.2"/>
        <n v="151.80000000000001"/>
        <n v="2586.4"/>
        <n v="29.79"/>
        <n v="112.77"/>
        <n v="1850.24"/>
        <n v="32.450000000000003"/>
        <n v="9521.69"/>
        <n v="54.47"/>
        <n v="5756.06"/>
        <n v="283.35000000000002"/>
        <n v="517.38"/>
        <n v="9553.93"/>
        <n v="45.1"/>
        <n v="145.59"/>
        <n v="661.74"/>
        <n v="608.76"/>
        <n v="594.87"/>
        <n v="473.68"/>
        <n v="1521.64"/>
        <n v="4488.6000000000004"/>
        <n v="21.12"/>
        <n v="112.23"/>
        <n v="3020.38"/>
        <n v="400.64"/>
        <n v="377.86"/>
        <n v="261.31"/>
        <n v="123.25"/>
        <n v="2875.5"/>
        <n v="98.27"/>
        <n v="2895.89"/>
        <n v="67.25"/>
        <n v="1576.94"/>
        <n v="808.84"/>
        <n v="671.92"/>
        <n v="978.93"/>
        <n v="4390.76"/>
        <n v="1839.83"/>
        <n v="267.82"/>
        <n v="944.31"/>
        <n v="375.14"/>
        <n v="215.78"/>
        <n v="556.59"/>
        <n v="104.26"/>
        <n v="1775.3"/>
        <n v="167.59"/>
        <n v="177.26"/>
        <n v="2462.4699999999998"/>
        <n v="882.92"/>
        <n v="132.22999999999999"/>
        <n v="3470.41"/>
        <n v="458.58"/>
        <n v="153.13999999999999"/>
        <n v="4666.49"/>
        <n v="4011.76"/>
        <n v="899.25"/>
        <n v="790.83"/>
        <n v="4118.59"/>
        <n v="545.48"/>
        <n v="83.55"/>
        <n v="1668.92"/>
        <n v="700.95"/>
        <n v="4684.28"/>
        <n v="1594.29"/>
        <n v="52.98"/>
        <n v="9789.7900000000009"/>
        <n v="713.61"/>
        <n v="98.33"/>
        <n v="437.28"/>
        <n v="256.61"/>
        <n v="30.04"/>
        <n v="300.92"/>
        <n v="623.53"/>
        <n v="198.04"/>
        <n v="84.65"/>
        <n v="1243.03"/>
        <n v="457.77"/>
        <n v="201.26"/>
        <n v="2349.0300000000002"/>
        <n v="3184.06"/>
        <n v="1022.58"/>
        <n v="1218.1600000000001"/>
        <n v="1275.17"/>
        <n v="15445.55"/>
        <n v="1399.47"/>
        <n v="634.14"/>
        <n v="371.6"/>
        <n v="1651.53"/>
        <n v="3906.96"/>
        <n v="153.53"/>
        <n v="539.41999999999996"/>
        <n v="4722.16"/>
        <n v="19000.63"/>
        <n v="12271.53"/>
        <n v="149.9"/>
        <n v="57.1"/>
        <n v="4469.43"/>
        <n v="1201.3599999999999"/>
        <n v="912.5"/>
        <n v="328.22"/>
        <n v="578.98"/>
        <n v="336.07"/>
        <n v="211.34"/>
        <n v="109.12"/>
        <n v="520.99"/>
        <n v="1039.58"/>
        <n v="178.34"/>
        <n v="175.94"/>
        <n v="297.58999999999997"/>
        <n v="159.93"/>
        <n v="1898.21"/>
        <n v="352.2"/>
        <n v="266.98"/>
        <n v="397.46"/>
        <n v="1209.04"/>
        <n v="101.7"/>
        <n v="64.38"/>
        <n v="327.06"/>
        <n v="2443.48"/>
        <n v="542.52"/>
        <n v="187.16"/>
        <n v="219.5"/>
        <n v="3637.85"/>
        <n v="1609.58"/>
        <n v="134.79"/>
        <n v="353.19"/>
        <n v="12.1"/>
        <n v="269.11"/>
        <n v="1692.21"/>
        <n v="4027.39"/>
        <n v="785.44"/>
        <n v="371.4"/>
        <n v="1080.0999999999999"/>
        <n v="3977.88"/>
        <n v="8680.86"/>
        <n v="3595.67"/>
        <n v="134.47"/>
        <n v="1145.54"/>
        <n v="913.09"/>
        <n v="4622.99"/>
        <n v="8817.52"/>
        <n v="1594.28"/>
        <n v="14.06"/>
        <n v="264.45"/>
        <n v="306.49"/>
        <n v="2043.37"/>
        <n v="104.89"/>
        <n v="848"/>
        <n v="246.77"/>
        <n v="231.06"/>
        <n v="65.98"/>
        <n v="1301.96"/>
        <n v="26.3"/>
        <n v="685.33"/>
        <n v="565.66999999999996"/>
        <n v="1086.5899999999999"/>
        <n v="668.21"/>
        <n v="2611.02"/>
        <n v="243.35"/>
        <n v="105.13"/>
        <n v="6.85"/>
        <n v="2771.65"/>
        <n v="2007.59"/>
        <n v="160.13999999999999"/>
        <n v="6242.24"/>
        <n v="353.64"/>
        <n v="302.63"/>
        <n v="1401.63"/>
        <n v="186.14"/>
        <n v="4759.82"/>
        <n v="831.64"/>
        <n v="120.74"/>
        <n v="117.82"/>
        <n v="1653.45"/>
        <n v="1035.9000000000001"/>
        <n v="165.48"/>
        <n v="180.25"/>
        <n v="1014.66"/>
        <n v="31.33"/>
        <n v="1258.6099999999999"/>
        <n v="1313.22"/>
        <n v="806.1"/>
        <n v="1799.6"/>
        <n v="325.48"/>
        <n v="81.849999999999994"/>
        <n v="1244.94"/>
        <n v="85.59"/>
        <n v="897.44"/>
        <n v="210.63"/>
        <n v="6566.13"/>
        <n v="209.7"/>
        <n v="121.81"/>
        <n v="637.63"/>
        <n v="2154.0700000000002"/>
        <n v="142.28"/>
        <n v="143.88999999999999"/>
        <n v="147.15"/>
        <n v="654.34"/>
        <n v="620.58000000000004"/>
        <n v="1483.83"/>
        <n v="14934.23"/>
        <n v="14783.83"/>
        <n v="299.89999999999998"/>
        <n v="440.61"/>
        <n v="617.91"/>
        <n v="168.24"/>
        <n v="557.53"/>
        <n v="2166.56"/>
        <n v="88.44"/>
        <n v="222.86"/>
        <n v="3899.85"/>
        <n v="246.5"/>
        <n v="416.08"/>
        <n v="1379.98"/>
        <n v="160.43"/>
        <n v="1398.92"/>
        <n v="331.08"/>
        <n v="60.93"/>
        <n v="9926.92"/>
        <n v="273.33999999999997"/>
        <n v="1722.13"/>
        <n v="149.34"/>
        <n v="2623.65"/>
        <n v="1737.82"/>
        <n v="422.68"/>
        <n v="928.33"/>
        <n v="2459.29"/>
        <n v="280.70999999999998"/>
        <n v="104.49"/>
        <n v="279.24"/>
        <n v="3577.25"/>
        <n v="364.87"/>
        <n v="2006.99"/>
        <n v="2577.0700000000002"/>
        <n v="381.8"/>
        <n v="653.53"/>
        <n v="118.62"/>
        <n v="218.92"/>
        <n v="5461.69"/>
        <n v="607.96"/>
        <n v="82.37"/>
        <n v="731.73"/>
        <n v="1885.68"/>
        <n v="1890.59"/>
        <n v="564.59"/>
        <n v="4332.57"/>
        <n v="1064.48"/>
        <n v="2838.3"/>
        <n v="236.16"/>
        <n v="465.65"/>
        <n v="77.959999999999994"/>
        <n v="920.08"/>
        <n v="670.65"/>
        <n v="148.6"/>
        <n v="524.27"/>
        <n v="129.34"/>
        <n v="449.84"/>
        <n v="1570.02"/>
        <n v="2685.52"/>
        <n v="14494.64"/>
        <n v="98.59"/>
        <n v="7013.65"/>
        <n v="383.26"/>
        <n v="34.270000000000003"/>
        <n v="1451.01"/>
        <n v="397.86"/>
        <n v="2053.87"/>
        <n v="137.22999999999999"/>
        <n v="880.37"/>
        <n v="638.33000000000004"/>
        <n v="608.6"/>
        <n v="4621.91"/>
        <n v="252.44"/>
        <n v="338.84"/>
        <n v="137.06"/>
        <n v="540.61"/>
        <n v="365.38"/>
        <n v="335.11"/>
        <n v="1081.27"/>
        <n v="1462.73"/>
        <n v="7168.42"/>
        <n v="3223.2"/>
        <n v="990.36"/>
        <n v="22.55"/>
        <n v="1474.36"/>
        <n v="850.35"/>
        <n v="909.07"/>
        <n v="495.69"/>
        <n v="170.78"/>
        <n v="171.54"/>
        <n v="2799.58"/>
        <n v="1515.31"/>
        <n v="59.23"/>
        <n v="85.48"/>
        <n v="4145.5200000000004"/>
        <n v="554.62"/>
        <n v="158.71"/>
        <n v="723.02"/>
        <n v="786.35"/>
        <n v="99.67"/>
        <n v="761.1"/>
        <n v="262.83999999999997"/>
        <n v="2747.6"/>
        <n v="283.63"/>
        <n v="968.01"/>
        <n v="374.42"/>
        <n v="5703.04"/>
        <n v="860.86"/>
        <n v="10785.29"/>
        <n v="302.83999999999997"/>
        <n v="48.93"/>
        <n v="17514.84"/>
        <n v="90.22"/>
        <n v="6013.27"/>
        <n v="1631.47"/>
        <n v="3196.81"/>
        <n v="8407.51"/>
        <n v="162.22"/>
        <n v="16.8"/>
        <n v="182.96"/>
        <n v="400.96"/>
        <n v="35.17"/>
        <n v="671.95"/>
        <n v="8330.32"/>
        <n v="1451.75"/>
        <n v="509.18"/>
        <n v="752.31"/>
        <n v="3541.9"/>
        <n v="247.63"/>
        <n v="813.42"/>
        <n v="121.73"/>
        <n v="1430.16"/>
        <n v="46.89"/>
        <n v="328.15"/>
        <n v="66.16"/>
        <n v="935.74"/>
        <n v="1704.98"/>
        <n v="81.31"/>
        <n v="1254.1500000000001"/>
        <n v="3923.4"/>
        <n v="511.65"/>
        <n v="364.1"/>
        <n v="468.98"/>
        <n v="92.94"/>
        <n v="1664.23"/>
        <n v="53.96"/>
        <n v="444.09"/>
        <n v="6921.61"/>
        <n v="538.33000000000004"/>
        <n v="459.55"/>
        <n v="2104.2199999999998"/>
        <n v="1747.48"/>
        <n v="100.36"/>
        <n v="218.85"/>
        <n v="399.31"/>
        <n v="183.55"/>
        <n v="412.27"/>
        <n v="309.77999999999997"/>
        <n v="462.71"/>
        <n v="301.52999999999997"/>
        <n v="348.21"/>
        <n v="3646.75"/>
        <n v="200.48"/>
        <n v="1406.16"/>
        <n v="226.31"/>
        <n v="271.86"/>
        <n v="4801.04"/>
        <n v="416.86"/>
        <n v="1825.56"/>
        <n v="225.59"/>
        <n v="162.22999999999999"/>
        <n v="1867.08"/>
        <n v="1543.69"/>
        <n v="257.10000000000002"/>
        <n v="1406.27"/>
        <n v="2399.86"/>
        <n v="292.13"/>
        <n v="24990.5"/>
        <n v="461.41"/>
        <n v="241.03"/>
        <n v="546.9"/>
        <n v="634.58000000000004"/>
        <n v="1297.8599999999999"/>
        <n v="294.88"/>
        <n v="661.24"/>
        <n v="1164.8900000000001"/>
        <n v="166.94"/>
        <n v="485.18"/>
        <n v="417.42"/>
        <n v="4421.8599999999997"/>
        <n v="213.81"/>
        <n v="367.43"/>
        <n v="603.14"/>
        <n v="155.38"/>
        <n v="845.2"/>
        <n v="912.28"/>
        <n v="96.95"/>
        <n v="4160.47"/>
        <n v="1022.87"/>
        <n v="982.7"/>
        <n v="274.43"/>
        <n v="48.33"/>
        <n v="1530.36"/>
        <n v="4503.2299999999996"/>
        <n v="709.46"/>
        <n v="8077.61"/>
        <n v="304"/>
        <n v="211.77"/>
        <n v="11126.01"/>
        <n v="151.21"/>
        <n v="93.83"/>
        <n v="918.69"/>
        <n v="207.26"/>
        <n v="913.96"/>
        <n v="283.83999999999997"/>
        <n v="4960.45"/>
        <n v="1251.23"/>
        <n v="192.88"/>
        <n v="1227.6400000000001"/>
        <n v="9065.56"/>
        <n v="659.88"/>
        <n v="1135.1300000000001"/>
        <n v="138.19999999999999"/>
      </sharedItems>
    </cacheField>
    <cacheField name="Payment Method" numFmtId="0">
      <sharedItems count="5">
        <s v="Cash"/>
        <s v="UPI"/>
        <s v="Credit Card"/>
        <s v="Net Banking"/>
        <s v="Debit Card"/>
      </sharedItems>
    </cacheField>
  </cacheFields>
  <extLst>
    <ext xmlns:x14="http://schemas.microsoft.com/office/spreadsheetml/2009/9/main" uri="{725AE2AE-9491-48be-B2B4-4EB974FC3084}">
      <x14:pivotCacheDefinition pivotCacheId="65800488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s v="Kiara Shah"/>
    <x v="0"/>
    <x v="0"/>
    <x v="0"/>
    <x v="0"/>
    <x v="0"/>
    <x v="0"/>
    <x v="0"/>
    <x v="0"/>
    <n v="0"/>
    <x v="0"/>
    <x v="0"/>
  </r>
  <r>
    <x v="1"/>
    <x v="1"/>
    <x v="1"/>
    <x v="1"/>
    <s v="Kiara Panjwani"/>
    <x v="1"/>
    <x v="1"/>
    <x v="0"/>
    <x v="0"/>
    <x v="1"/>
    <x v="1"/>
    <x v="1"/>
    <x v="1"/>
    <n v="0.15"/>
    <x v="1"/>
    <x v="0"/>
  </r>
  <r>
    <x v="2"/>
    <x v="2"/>
    <x v="2"/>
    <x v="2"/>
    <s v="Aditya Shah"/>
    <x v="1"/>
    <x v="2"/>
    <x v="1"/>
    <x v="1"/>
    <x v="2"/>
    <x v="2"/>
    <x v="2"/>
    <x v="2"/>
    <n v="0.05"/>
    <x v="2"/>
    <x v="0"/>
  </r>
  <r>
    <x v="3"/>
    <x v="3"/>
    <x v="3"/>
    <x v="3"/>
    <s v="Anaya Sheikh"/>
    <x v="2"/>
    <x v="3"/>
    <x v="2"/>
    <x v="2"/>
    <x v="0"/>
    <x v="3"/>
    <x v="3"/>
    <x v="3"/>
    <n v="0"/>
    <x v="3"/>
    <x v="1"/>
  </r>
  <r>
    <x v="4"/>
    <x v="4"/>
    <x v="4"/>
    <x v="4"/>
    <s v="Myra Iyer"/>
    <x v="2"/>
    <x v="3"/>
    <x v="2"/>
    <x v="2"/>
    <x v="0"/>
    <x v="3"/>
    <x v="4"/>
    <x v="0"/>
    <n v="0.2"/>
    <x v="4"/>
    <x v="1"/>
  </r>
  <r>
    <x v="5"/>
    <x v="5"/>
    <x v="5"/>
    <x v="5"/>
    <s v="Isha Trivedi"/>
    <x v="2"/>
    <x v="3"/>
    <x v="2"/>
    <x v="2"/>
    <x v="2"/>
    <x v="4"/>
    <x v="5"/>
    <x v="3"/>
    <n v="0.1"/>
    <x v="5"/>
    <x v="2"/>
  </r>
  <r>
    <x v="6"/>
    <x v="6"/>
    <x v="6"/>
    <x v="6"/>
    <s v="Rohan Panjwani"/>
    <x v="2"/>
    <x v="4"/>
    <x v="3"/>
    <x v="1"/>
    <x v="2"/>
    <x v="5"/>
    <x v="6"/>
    <x v="4"/>
    <n v="0.15"/>
    <x v="6"/>
    <x v="3"/>
  </r>
  <r>
    <x v="7"/>
    <x v="7"/>
    <x v="7"/>
    <x v="7"/>
    <s v="Reyansh Sheikh"/>
    <x v="0"/>
    <x v="5"/>
    <x v="4"/>
    <x v="0"/>
    <x v="2"/>
    <x v="2"/>
    <x v="7"/>
    <x v="1"/>
    <n v="0.05"/>
    <x v="7"/>
    <x v="4"/>
  </r>
  <r>
    <x v="8"/>
    <x v="8"/>
    <x v="8"/>
    <x v="8"/>
    <s v="Kiara Soni"/>
    <x v="2"/>
    <x v="6"/>
    <x v="5"/>
    <x v="3"/>
    <x v="3"/>
    <x v="6"/>
    <x v="8"/>
    <x v="4"/>
    <n v="0.05"/>
    <x v="8"/>
    <x v="3"/>
  </r>
  <r>
    <x v="9"/>
    <x v="9"/>
    <x v="9"/>
    <x v="9"/>
    <s v="Diya Rao"/>
    <x v="1"/>
    <x v="7"/>
    <x v="4"/>
    <x v="0"/>
    <x v="0"/>
    <x v="0"/>
    <x v="9"/>
    <x v="4"/>
    <n v="0.15"/>
    <x v="9"/>
    <x v="2"/>
  </r>
  <r>
    <x v="10"/>
    <x v="10"/>
    <x v="10"/>
    <x v="10"/>
    <s v="Dev Joshi"/>
    <x v="0"/>
    <x v="2"/>
    <x v="1"/>
    <x v="1"/>
    <x v="3"/>
    <x v="7"/>
    <x v="10"/>
    <x v="5"/>
    <n v="0.1"/>
    <x v="10"/>
    <x v="1"/>
  </r>
  <r>
    <x v="11"/>
    <x v="11"/>
    <x v="11"/>
    <x v="11"/>
    <s v="Aarav Verma"/>
    <x v="0"/>
    <x v="1"/>
    <x v="0"/>
    <x v="0"/>
    <x v="0"/>
    <x v="8"/>
    <x v="11"/>
    <x v="5"/>
    <n v="0.05"/>
    <x v="11"/>
    <x v="4"/>
  </r>
  <r>
    <x v="12"/>
    <x v="12"/>
    <x v="12"/>
    <x v="12"/>
    <s v="Dev Dave"/>
    <x v="1"/>
    <x v="2"/>
    <x v="1"/>
    <x v="1"/>
    <x v="1"/>
    <x v="9"/>
    <x v="12"/>
    <x v="5"/>
    <n v="0.2"/>
    <x v="12"/>
    <x v="2"/>
  </r>
  <r>
    <x v="13"/>
    <x v="13"/>
    <x v="13"/>
    <x v="13"/>
    <s v="Zoya Sheikh"/>
    <x v="2"/>
    <x v="8"/>
    <x v="0"/>
    <x v="0"/>
    <x v="2"/>
    <x v="5"/>
    <x v="13"/>
    <x v="6"/>
    <n v="0.1"/>
    <x v="13"/>
    <x v="2"/>
  </r>
  <r>
    <x v="14"/>
    <x v="14"/>
    <x v="14"/>
    <x v="14"/>
    <s v="Vivaan Mehta"/>
    <x v="0"/>
    <x v="9"/>
    <x v="6"/>
    <x v="4"/>
    <x v="2"/>
    <x v="10"/>
    <x v="14"/>
    <x v="7"/>
    <n v="0"/>
    <x v="14"/>
    <x v="0"/>
  </r>
  <r>
    <x v="15"/>
    <x v="15"/>
    <x v="15"/>
    <x v="9"/>
    <s v="Reyansh Verma"/>
    <x v="2"/>
    <x v="8"/>
    <x v="0"/>
    <x v="0"/>
    <x v="0"/>
    <x v="3"/>
    <x v="15"/>
    <x v="2"/>
    <n v="0"/>
    <x v="15"/>
    <x v="0"/>
  </r>
  <r>
    <x v="16"/>
    <x v="16"/>
    <x v="16"/>
    <x v="7"/>
    <s v="Aditya Patel"/>
    <x v="0"/>
    <x v="5"/>
    <x v="4"/>
    <x v="0"/>
    <x v="3"/>
    <x v="7"/>
    <x v="16"/>
    <x v="7"/>
    <n v="0"/>
    <x v="16"/>
    <x v="3"/>
  </r>
  <r>
    <x v="17"/>
    <x v="17"/>
    <x v="17"/>
    <x v="15"/>
    <s v="Aditya Shah"/>
    <x v="0"/>
    <x v="10"/>
    <x v="0"/>
    <x v="0"/>
    <x v="2"/>
    <x v="10"/>
    <x v="17"/>
    <x v="1"/>
    <n v="0"/>
    <x v="17"/>
    <x v="2"/>
  </r>
  <r>
    <x v="18"/>
    <x v="18"/>
    <x v="18"/>
    <x v="16"/>
    <s v="Yusuf Khan"/>
    <x v="1"/>
    <x v="6"/>
    <x v="5"/>
    <x v="3"/>
    <x v="1"/>
    <x v="9"/>
    <x v="18"/>
    <x v="4"/>
    <n v="0.2"/>
    <x v="18"/>
    <x v="0"/>
  </r>
  <r>
    <x v="19"/>
    <x v="19"/>
    <x v="19"/>
    <x v="10"/>
    <s v="Diya Kapoor"/>
    <x v="0"/>
    <x v="10"/>
    <x v="0"/>
    <x v="0"/>
    <x v="2"/>
    <x v="10"/>
    <x v="19"/>
    <x v="2"/>
    <n v="0.05"/>
    <x v="19"/>
    <x v="1"/>
  </r>
  <r>
    <x v="20"/>
    <x v="20"/>
    <x v="20"/>
    <x v="17"/>
    <s v="Vivaan Panjwani"/>
    <x v="1"/>
    <x v="4"/>
    <x v="3"/>
    <x v="1"/>
    <x v="0"/>
    <x v="11"/>
    <x v="20"/>
    <x v="0"/>
    <n v="0"/>
    <x v="20"/>
    <x v="4"/>
  </r>
  <r>
    <x v="21"/>
    <x v="21"/>
    <x v="21"/>
    <x v="18"/>
    <s v="Aarav Shah"/>
    <x v="1"/>
    <x v="3"/>
    <x v="2"/>
    <x v="2"/>
    <x v="2"/>
    <x v="4"/>
    <x v="21"/>
    <x v="5"/>
    <n v="0"/>
    <x v="21"/>
    <x v="2"/>
  </r>
  <r>
    <x v="22"/>
    <x v="22"/>
    <x v="22"/>
    <x v="19"/>
    <s v="Arjun Sheikh"/>
    <x v="2"/>
    <x v="6"/>
    <x v="5"/>
    <x v="3"/>
    <x v="1"/>
    <x v="12"/>
    <x v="22"/>
    <x v="1"/>
    <n v="0"/>
    <x v="22"/>
    <x v="4"/>
  </r>
  <r>
    <x v="23"/>
    <x v="23"/>
    <x v="23"/>
    <x v="20"/>
    <s v="Yusuf Verma"/>
    <x v="0"/>
    <x v="4"/>
    <x v="3"/>
    <x v="1"/>
    <x v="3"/>
    <x v="13"/>
    <x v="23"/>
    <x v="0"/>
    <n v="0.05"/>
    <x v="23"/>
    <x v="1"/>
  </r>
  <r>
    <x v="24"/>
    <x v="24"/>
    <x v="24"/>
    <x v="21"/>
    <s v="Isha Patel"/>
    <x v="0"/>
    <x v="0"/>
    <x v="0"/>
    <x v="0"/>
    <x v="2"/>
    <x v="5"/>
    <x v="24"/>
    <x v="7"/>
    <n v="0.15"/>
    <x v="24"/>
    <x v="1"/>
  </r>
  <r>
    <x v="25"/>
    <x v="25"/>
    <x v="25"/>
    <x v="22"/>
    <s v="Myra Dave"/>
    <x v="0"/>
    <x v="1"/>
    <x v="0"/>
    <x v="0"/>
    <x v="2"/>
    <x v="2"/>
    <x v="25"/>
    <x v="2"/>
    <n v="0"/>
    <x v="25"/>
    <x v="1"/>
  </r>
  <r>
    <x v="26"/>
    <x v="26"/>
    <x v="26"/>
    <x v="23"/>
    <s v="Arjun Panjwani"/>
    <x v="1"/>
    <x v="7"/>
    <x v="4"/>
    <x v="0"/>
    <x v="0"/>
    <x v="8"/>
    <x v="26"/>
    <x v="0"/>
    <n v="0.2"/>
    <x v="26"/>
    <x v="4"/>
  </r>
  <r>
    <x v="27"/>
    <x v="27"/>
    <x v="27"/>
    <x v="24"/>
    <s v="Kabir Soni"/>
    <x v="1"/>
    <x v="9"/>
    <x v="6"/>
    <x v="4"/>
    <x v="2"/>
    <x v="10"/>
    <x v="27"/>
    <x v="7"/>
    <n v="0.15"/>
    <x v="27"/>
    <x v="3"/>
  </r>
  <r>
    <x v="28"/>
    <x v="28"/>
    <x v="28"/>
    <x v="25"/>
    <s v="Kiara Verma"/>
    <x v="2"/>
    <x v="9"/>
    <x v="6"/>
    <x v="4"/>
    <x v="0"/>
    <x v="11"/>
    <x v="28"/>
    <x v="0"/>
    <n v="0.05"/>
    <x v="28"/>
    <x v="3"/>
  </r>
  <r>
    <x v="29"/>
    <x v="19"/>
    <x v="29"/>
    <x v="26"/>
    <s v="Vivaan Joshi"/>
    <x v="1"/>
    <x v="11"/>
    <x v="7"/>
    <x v="3"/>
    <x v="2"/>
    <x v="5"/>
    <x v="29"/>
    <x v="3"/>
    <n v="0.2"/>
    <x v="29"/>
    <x v="1"/>
  </r>
  <r>
    <x v="30"/>
    <x v="29"/>
    <x v="30"/>
    <x v="27"/>
    <s v="Arjun Soni"/>
    <x v="2"/>
    <x v="8"/>
    <x v="0"/>
    <x v="0"/>
    <x v="0"/>
    <x v="8"/>
    <x v="26"/>
    <x v="0"/>
    <n v="0.2"/>
    <x v="30"/>
    <x v="4"/>
  </r>
  <r>
    <x v="31"/>
    <x v="30"/>
    <x v="31"/>
    <x v="28"/>
    <s v="Vivaan Kapoor"/>
    <x v="2"/>
    <x v="0"/>
    <x v="0"/>
    <x v="0"/>
    <x v="2"/>
    <x v="4"/>
    <x v="30"/>
    <x v="3"/>
    <n v="0"/>
    <x v="31"/>
    <x v="2"/>
  </r>
  <r>
    <x v="32"/>
    <x v="31"/>
    <x v="32"/>
    <x v="29"/>
    <s v="Vivaan Soni"/>
    <x v="1"/>
    <x v="11"/>
    <x v="7"/>
    <x v="3"/>
    <x v="3"/>
    <x v="7"/>
    <x v="31"/>
    <x v="1"/>
    <n v="0"/>
    <x v="32"/>
    <x v="4"/>
  </r>
  <r>
    <x v="33"/>
    <x v="32"/>
    <x v="33"/>
    <x v="30"/>
    <s v="Diya Sheikh"/>
    <x v="2"/>
    <x v="8"/>
    <x v="0"/>
    <x v="0"/>
    <x v="3"/>
    <x v="13"/>
    <x v="32"/>
    <x v="1"/>
    <n v="0.05"/>
    <x v="33"/>
    <x v="2"/>
  </r>
  <r>
    <x v="34"/>
    <x v="33"/>
    <x v="34"/>
    <x v="31"/>
    <s v="Myra Rao"/>
    <x v="1"/>
    <x v="12"/>
    <x v="8"/>
    <x v="1"/>
    <x v="2"/>
    <x v="14"/>
    <x v="33"/>
    <x v="2"/>
    <n v="0.15"/>
    <x v="34"/>
    <x v="2"/>
  </r>
  <r>
    <x v="35"/>
    <x v="34"/>
    <x v="35"/>
    <x v="32"/>
    <s v="Myra Joshi"/>
    <x v="1"/>
    <x v="0"/>
    <x v="0"/>
    <x v="0"/>
    <x v="1"/>
    <x v="15"/>
    <x v="34"/>
    <x v="2"/>
    <n v="0.2"/>
    <x v="35"/>
    <x v="1"/>
  </r>
  <r>
    <x v="36"/>
    <x v="35"/>
    <x v="36"/>
    <x v="33"/>
    <s v="Myra Desai"/>
    <x v="1"/>
    <x v="0"/>
    <x v="0"/>
    <x v="0"/>
    <x v="3"/>
    <x v="13"/>
    <x v="35"/>
    <x v="0"/>
    <n v="0.1"/>
    <x v="36"/>
    <x v="2"/>
  </r>
  <r>
    <x v="37"/>
    <x v="36"/>
    <x v="37"/>
    <x v="0"/>
    <s v="Kiara Trivedi"/>
    <x v="1"/>
    <x v="13"/>
    <x v="0"/>
    <x v="0"/>
    <x v="2"/>
    <x v="14"/>
    <x v="36"/>
    <x v="6"/>
    <n v="0.2"/>
    <x v="37"/>
    <x v="1"/>
  </r>
  <r>
    <x v="38"/>
    <x v="37"/>
    <x v="38"/>
    <x v="34"/>
    <s v="Aditya Panjwani"/>
    <x v="0"/>
    <x v="8"/>
    <x v="0"/>
    <x v="0"/>
    <x v="0"/>
    <x v="11"/>
    <x v="37"/>
    <x v="5"/>
    <n v="0.15"/>
    <x v="38"/>
    <x v="3"/>
  </r>
  <r>
    <x v="39"/>
    <x v="38"/>
    <x v="39"/>
    <x v="35"/>
    <s v="Kiara Kapoor"/>
    <x v="0"/>
    <x v="9"/>
    <x v="6"/>
    <x v="4"/>
    <x v="1"/>
    <x v="15"/>
    <x v="38"/>
    <x v="1"/>
    <n v="0.2"/>
    <x v="39"/>
    <x v="2"/>
  </r>
  <r>
    <x v="40"/>
    <x v="39"/>
    <x v="40"/>
    <x v="36"/>
    <s v="Sara Soni"/>
    <x v="2"/>
    <x v="1"/>
    <x v="0"/>
    <x v="0"/>
    <x v="0"/>
    <x v="3"/>
    <x v="39"/>
    <x v="6"/>
    <n v="0.2"/>
    <x v="40"/>
    <x v="0"/>
  </r>
  <r>
    <x v="41"/>
    <x v="40"/>
    <x v="41"/>
    <x v="37"/>
    <s v="Krish Kapoor"/>
    <x v="0"/>
    <x v="4"/>
    <x v="3"/>
    <x v="1"/>
    <x v="0"/>
    <x v="3"/>
    <x v="40"/>
    <x v="4"/>
    <n v="0"/>
    <x v="41"/>
    <x v="2"/>
  </r>
  <r>
    <x v="42"/>
    <x v="41"/>
    <x v="42"/>
    <x v="38"/>
    <s v="Yusuf Dave"/>
    <x v="0"/>
    <x v="13"/>
    <x v="0"/>
    <x v="0"/>
    <x v="3"/>
    <x v="7"/>
    <x v="41"/>
    <x v="1"/>
    <n v="0.05"/>
    <x v="42"/>
    <x v="4"/>
  </r>
  <r>
    <x v="43"/>
    <x v="42"/>
    <x v="43"/>
    <x v="39"/>
    <s v="Sara Soni"/>
    <x v="0"/>
    <x v="6"/>
    <x v="5"/>
    <x v="3"/>
    <x v="1"/>
    <x v="9"/>
    <x v="42"/>
    <x v="7"/>
    <n v="0.2"/>
    <x v="43"/>
    <x v="3"/>
  </r>
  <r>
    <x v="44"/>
    <x v="43"/>
    <x v="44"/>
    <x v="40"/>
    <s v="Myra Khan"/>
    <x v="0"/>
    <x v="3"/>
    <x v="2"/>
    <x v="2"/>
    <x v="1"/>
    <x v="15"/>
    <x v="43"/>
    <x v="0"/>
    <n v="0"/>
    <x v="44"/>
    <x v="1"/>
  </r>
  <r>
    <x v="45"/>
    <x v="44"/>
    <x v="45"/>
    <x v="41"/>
    <s v="Aarav Sheikh"/>
    <x v="1"/>
    <x v="9"/>
    <x v="6"/>
    <x v="4"/>
    <x v="1"/>
    <x v="12"/>
    <x v="44"/>
    <x v="7"/>
    <n v="0.1"/>
    <x v="45"/>
    <x v="0"/>
  </r>
  <r>
    <x v="46"/>
    <x v="7"/>
    <x v="46"/>
    <x v="42"/>
    <s v="Rohan Kapoor"/>
    <x v="0"/>
    <x v="2"/>
    <x v="1"/>
    <x v="1"/>
    <x v="3"/>
    <x v="16"/>
    <x v="45"/>
    <x v="0"/>
    <n v="0"/>
    <x v="46"/>
    <x v="3"/>
  </r>
  <r>
    <x v="47"/>
    <x v="45"/>
    <x v="47"/>
    <x v="43"/>
    <s v="Fatima Khan"/>
    <x v="2"/>
    <x v="2"/>
    <x v="1"/>
    <x v="1"/>
    <x v="3"/>
    <x v="7"/>
    <x v="46"/>
    <x v="2"/>
    <n v="0.15"/>
    <x v="47"/>
    <x v="2"/>
  </r>
  <r>
    <x v="48"/>
    <x v="46"/>
    <x v="48"/>
    <x v="44"/>
    <s v="Myra Joshi"/>
    <x v="2"/>
    <x v="13"/>
    <x v="0"/>
    <x v="0"/>
    <x v="3"/>
    <x v="13"/>
    <x v="47"/>
    <x v="3"/>
    <n v="0.1"/>
    <x v="48"/>
    <x v="4"/>
  </r>
  <r>
    <x v="49"/>
    <x v="47"/>
    <x v="49"/>
    <x v="45"/>
    <s v="Reyansh Shah"/>
    <x v="2"/>
    <x v="1"/>
    <x v="0"/>
    <x v="0"/>
    <x v="1"/>
    <x v="1"/>
    <x v="48"/>
    <x v="0"/>
    <n v="0.1"/>
    <x v="49"/>
    <x v="0"/>
  </r>
  <r>
    <x v="50"/>
    <x v="48"/>
    <x v="50"/>
    <x v="28"/>
    <s v="Yusuf Verma"/>
    <x v="1"/>
    <x v="6"/>
    <x v="5"/>
    <x v="3"/>
    <x v="3"/>
    <x v="16"/>
    <x v="49"/>
    <x v="0"/>
    <n v="0.1"/>
    <x v="50"/>
    <x v="3"/>
  </r>
  <r>
    <x v="51"/>
    <x v="49"/>
    <x v="51"/>
    <x v="46"/>
    <s v="Kiara Iyer"/>
    <x v="0"/>
    <x v="0"/>
    <x v="0"/>
    <x v="0"/>
    <x v="0"/>
    <x v="8"/>
    <x v="50"/>
    <x v="2"/>
    <n v="0.1"/>
    <x v="51"/>
    <x v="2"/>
  </r>
  <r>
    <x v="52"/>
    <x v="50"/>
    <x v="52"/>
    <x v="0"/>
    <s v="Krish Verma"/>
    <x v="1"/>
    <x v="13"/>
    <x v="0"/>
    <x v="0"/>
    <x v="3"/>
    <x v="6"/>
    <x v="51"/>
    <x v="1"/>
    <n v="0.1"/>
    <x v="52"/>
    <x v="0"/>
  </r>
  <r>
    <x v="53"/>
    <x v="51"/>
    <x v="53"/>
    <x v="47"/>
    <s v="Rohan Mehta"/>
    <x v="1"/>
    <x v="14"/>
    <x v="9"/>
    <x v="3"/>
    <x v="2"/>
    <x v="4"/>
    <x v="52"/>
    <x v="1"/>
    <n v="0"/>
    <x v="53"/>
    <x v="4"/>
  </r>
  <r>
    <x v="54"/>
    <x v="52"/>
    <x v="54"/>
    <x v="48"/>
    <s v="Aanya Joshi"/>
    <x v="1"/>
    <x v="10"/>
    <x v="0"/>
    <x v="0"/>
    <x v="3"/>
    <x v="17"/>
    <x v="53"/>
    <x v="6"/>
    <n v="0.1"/>
    <x v="54"/>
    <x v="0"/>
  </r>
  <r>
    <x v="55"/>
    <x v="53"/>
    <x v="55"/>
    <x v="49"/>
    <s v="Diya Iyer"/>
    <x v="1"/>
    <x v="11"/>
    <x v="7"/>
    <x v="3"/>
    <x v="2"/>
    <x v="14"/>
    <x v="54"/>
    <x v="0"/>
    <n v="0.2"/>
    <x v="55"/>
    <x v="2"/>
  </r>
  <r>
    <x v="56"/>
    <x v="54"/>
    <x v="56"/>
    <x v="50"/>
    <s v="Reyansh Khan"/>
    <x v="0"/>
    <x v="0"/>
    <x v="0"/>
    <x v="0"/>
    <x v="1"/>
    <x v="1"/>
    <x v="55"/>
    <x v="4"/>
    <n v="0.1"/>
    <x v="56"/>
    <x v="4"/>
  </r>
  <r>
    <x v="57"/>
    <x v="55"/>
    <x v="57"/>
    <x v="13"/>
    <s v="Sara Dave"/>
    <x v="0"/>
    <x v="8"/>
    <x v="0"/>
    <x v="0"/>
    <x v="2"/>
    <x v="2"/>
    <x v="56"/>
    <x v="3"/>
    <n v="0"/>
    <x v="57"/>
    <x v="0"/>
  </r>
  <r>
    <x v="58"/>
    <x v="56"/>
    <x v="58"/>
    <x v="51"/>
    <s v="Meera Iyer"/>
    <x v="1"/>
    <x v="10"/>
    <x v="0"/>
    <x v="0"/>
    <x v="2"/>
    <x v="5"/>
    <x v="29"/>
    <x v="0"/>
    <n v="0"/>
    <x v="58"/>
    <x v="3"/>
  </r>
  <r>
    <x v="59"/>
    <x v="57"/>
    <x v="59"/>
    <x v="52"/>
    <s v="Aanya Rao"/>
    <x v="2"/>
    <x v="5"/>
    <x v="4"/>
    <x v="0"/>
    <x v="3"/>
    <x v="17"/>
    <x v="57"/>
    <x v="5"/>
    <n v="0.15"/>
    <x v="59"/>
    <x v="1"/>
  </r>
  <r>
    <x v="60"/>
    <x v="58"/>
    <x v="60"/>
    <x v="53"/>
    <s v="Arjun Dave"/>
    <x v="0"/>
    <x v="12"/>
    <x v="8"/>
    <x v="1"/>
    <x v="3"/>
    <x v="13"/>
    <x v="58"/>
    <x v="2"/>
    <n v="0"/>
    <x v="60"/>
    <x v="0"/>
  </r>
  <r>
    <x v="61"/>
    <x v="42"/>
    <x v="61"/>
    <x v="54"/>
    <s v="Myra Iyer"/>
    <x v="2"/>
    <x v="3"/>
    <x v="2"/>
    <x v="2"/>
    <x v="0"/>
    <x v="8"/>
    <x v="59"/>
    <x v="0"/>
    <n v="0"/>
    <x v="61"/>
    <x v="3"/>
  </r>
  <r>
    <x v="62"/>
    <x v="59"/>
    <x v="62"/>
    <x v="55"/>
    <s v="Zoya Iyer"/>
    <x v="2"/>
    <x v="7"/>
    <x v="4"/>
    <x v="0"/>
    <x v="0"/>
    <x v="11"/>
    <x v="60"/>
    <x v="7"/>
    <n v="0.05"/>
    <x v="62"/>
    <x v="4"/>
  </r>
  <r>
    <x v="63"/>
    <x v="60"/>
    <x v="63"/>
    <x v="39"/>
    <s v="Myra Verma"/>
    <x v="2"/>
    <x v="4"/>
    <x v="3"/>
    <x v="1"/>
    <x v="0"/>
    <x v="3"/>
    <x v="61"/>
    <x v="1"/>
    <n v="0.15"/>
    <x v="63"/>
    <x v="0"/>
  </r>
  <r>
    <x v="64"/>
    <x v="61"/>
    <x v="64"/>
    <x v="56"/>
    <s v="Krish Verma"/>
    <x v="1"/>
    <x v="10"/>
    <x v="0"/>
    <x v="0"/>
    <x v="3"/>
    <x v="6"/>
    <x v="62"/>
    <x v="7"/>
    <n v="0"/>
    <x v="64"/>
    <x v="4"/>
  </r>
  <r>
    <x v="65"/>
    <x v="62"/>
    <x v="65"/>
    <x v="57"/>
    <s v="Aditya Trivedi"/>
    <x v="0"/>
    <x v="5"/>
    <x v="4"/>
    <x v="0"/>
    <x v="3"/>
    <x v="7"/>
    <x v="63"/>
    <x v="6"/>
    <n v="0.1"/>
    <x v="65"/>
    <x v="0"/>
  </r>
  <r>
    <x v="66"/>
    <x v="63"/>
    <x v="66"/>
    <x v="3"/>
    <s v="Isha Desai"/>
    <x v="1"/>
    <x v="13"/>
    <x v="0"/>
    <x v="0"/>
    <x v="1"/>
    <x v="18"/>
    <x v="64"/>
    <x v="0"/>
    <n v="0.05"/>
    <x v="66"/>
    <x v="0"/>
  </r>
  <r>
    <x v="67"/>
    <x v="64"/>
    <x v="67"/>
    <x v="58"/>
    <s v="Sara Patel"/>
    <x v="0"/>
    <x v="14"/>
    <x v="9"/>
    <x v="3"/>
    <x v="0"/>
    <x v="11"/>
    <x v="28"/>
    <x v="0"/>
    <n v="0.05"/>
    <x v="67"/>
    <x v="3"/>
  </r>
  <r>
    <x v="68"/>
    <x v="65"/>
    <x v="68"/>
    <x v="12"/>
    <s v="Fatima Shah"/>
    <x v="1"/>
    <x v="0"/>
    <x v="0"/>
    <x v="0"/>
    <x v="2"/>
    <x v="5"/>
    <x v="29"/>
    <x v="3"/>
    <n v="0.2"/>
    <x v="68"/>
    <x v="3"/>
  </r>
  <r>
    <x v="69"/>
    <x v="66"/>
    <x v="69"/>
    <x v="59"/>
    <s v="Fatima Shah"/>
    <x v="1"/>
    <x v="6"/>
    <x v="5"/>
    <x v="3"/>
    <x v="3"/>
    <x v="17"/>
    <x v="65"/>
    <x v="4"/>
    <n v="0"/>
    <x v="69"/>
    <x v="0"/>
  </r>
  <r>
    <x v="70"/>
    <x v="67"/>
    <x v="70"/>
    <x v="39"/>
    <s v="Myra Shah"/>
    <x v="0"/>
    <x v="14"/>
    <x v="9"/>
    <x v="3"/>
    <x v="2"/>
    <x v="2"/>
    <x v="66"/>
    <x v="4"/>
    <n v="0.15"/>
    <x v="70"/>
    <x v="0"/>
  </r>
  <r>
    <x v="71"/>
    <x v="68"/>
    <x v="71"/>
    <x v="60"/>
    <s v="Yusuf Panjwani"/>
    <x v="2"/>
    <x v="2"/>
    <x v="1"/>
    <x v="1"/>
    <x v="1"/>
    <x v="9"/>
    <x v="67"/>
    <x v="2"/>
    <n v="0.1"/>
    <x v="71"/>
    <x v="3"/>
  </r>
  <r>
    <x v="72"/>
    <x v="69"/>
    <x v="72"/>
    <x v="43"/>
    <s v="Myra Mehta"/>
    <x v="0"/>
    <x v="14"/>
    <x v="9"/>
    <x v="3"/>
    <x v="2"/>
    <x v="2"/>
    <x v="68"/>
    <x v="0"/>
    <n v="0.05"/>
    <x v="72"/>
    <x v="1"/>
  </r>
  <r>
    <x v="73"/>
    <x v="70"/>
    <x v="73"/>
    <x v="44"/>
    <s v="Sara Verma"/>
    <x v="2"/>
    <x v="7"/>
    <x v="4"/>
    <x v="0"/>
    <x v="3"/>
    <x v="7"/>
    <x v="69"/>
    <x v="7"/>
    <n v="0.05"/>
    <x v="73"/>
    <x v="1"/>
  </r>
  <r>
    <x v="74"/>
    <x v="71"/>
    <x v="74"/>
    <x v="61"/>
    <s v="Vivaan Sheikh"/>
    <x v="2"/>
    <x v="9"/>
    <x v="6"/>
    <x v="4"/>
    <x v="0"/>
    <x v="3"/>
    <x v="70"/>
    <x v="0"/>
    <n v="0.1"/>
    <x v="74"/>
    <x v="2"/>
  </r>
  <r>
    <x v="75"/>
    <x v="72"/>
    <x v="75"/>
    <x v="62"/>
    <s v="Sara Verma"/>
    <x v="2"/>
    <x v="8"/>
    <x v="0"/>
    <x v="0"/>
    <x v="0"/>
    <x v="3"/>
    <x v="71"/>
    <x v="3"/>
    <n v="0.1"/>
    <x v="75"/>
    <x v="4"/>
  </r>
  <r>
    <x v="76"/>
    <x v="73"/>
    <x v="76"/>
    <x v="63"/>
    <s v="Arjun Patel"/>
    <x v="1"/>
    <x v="6"/>
    <x v="5"/>
    <x v="3"/>
    <x v="3"/>
    <x v="16"/>
    <x v="72"/>
    <x v="1"/>
    <n v="0.1"/>
    <x v="76"/>
    <x v="2"/>
  </r>
  <r>
    <x v="77"/>
    <x v="74"/>
    <x v="77"/>
    <x v="1"/>
    <s v="Rohan Sheikh"/>
    <x v="2"/>
    <x v="3"/>
    <x v="2"/>
    <x v="2"/>
    <x v="2"/>
    <x v="14"/>
    <x v="73"/>
    <x v="1"/>
    <n v="0"/>
    <x v="77"/>
    <x v="2"/>
  </r>
  <r>
    <x v="78"/>
    <x v="75"/>
    <x v="78"/>
    <x v="64"/>
    <s v="Anaya Rao"/>
    <x v="1"/>
    <x v="12"/>
    <x v="8"/>
    <x v="1"/>
    <x v="3"/>
    <x v="16"/>
    <x v="74"/>
    <x v="7"/>
    <n v="0.05"/>
    <x v="78"/>
    <x v="4"/>
  </r>
  <r>
    <x v="79"/>
    <x v="76"/>
    <x v="79"/>
    <x v="65"/>
    <s v="Aditya Shah"/>
    <x v="2"/>
    <x v="6"/>
    <x v="5"/>
    <x v="3"/>
    <x v="0"/>
    <x v="19"/>
    <x v="75"/>
    <x v="1"/>
    <n v="0.1"/>
    <x v="79"/>
    <x v="3"/>
  </r>
  <r>
    <x v="80"/>
    <x v="77"/>
    <x v="80"/>
    <x v="66"/>
    <s v="Fatima Kapoor"/>
    <x v="2"/>
    <x v="12"/>
    <x v="8"/>
    <x v="1"/>
    <x v="3"/>
    <x v="6"/>
    <x v="76"/>
    <x v="1"/>
    <n v="0"/>
    <x v="80"/>
    <x v="1"/>
  </r>
  <r>
    <x v="81"/>
    <x v="78"/>
    <x v="81"/>
    <x v="67"/>
    <s v="Meera Iyer"/>
    <x v="1"/>
    <x v="11"/>
    <x v="7"/>
    <x v="3"/>
    <x v="1"/>
    <x v="15"/>
    <x v="77"/>
    <x v="7"/>
    <n v="0.2"/>
    <x v="81"/>
    <x v="2"/>
  </r>
  <r>
    <x v="82"/>
    <x v="79"/>
    <x v="82"/>
    <x v="68"/>
    <s v="Vivaan Khan"/>
    <x v="0"/>
    <x v="0"/>
    <x v="0"/>
    <x v="0"/>
    <x v="3"/>
    <x v="16"/>
    <x v="45"/>
    <x v="0"/>
    <n v="0"/>
    <x v="82"/>
    <x v="4"/>
  </r>
  <r>
    <x v="83"/>
    <x v="80"/>
    <x v="83"/>
    <x v="69"/>
    <s v="Krish Desai"/>
    <x v="0"/>
    <x v="13"/>
    <x v="0"/>
    <x v="0"/>
    <x v="3"/>
    <x v="6"/>
    <x v="62"/>
    <x v="7"/>
    <n v="0"/>
    <x v="83"/>
    <x v="3"/>
  </r>
  <r>
    <x v="84"/>
    <x v="81"/>
    <x v="84"/>
    <x v="70"/>
    <s v="Arjun Rao"/>
    <x v="1"/>
    <x v="3"/>
    <x v="2"/>
    <x v="2"/>
    <x v="2"/>
    <x v="14"/>
    <x v="78"/>
    <x v="2"/>
    <n v="0.05"/>
    <x v="84"/>
    <x v="4"/>
  </r>
  <r>
    <x v="85"/>
    <x v="82"/>
    <x v="85"/>
    <x v="71"/>
    <s v="Kiara Iyer"/>
    <x v="0"/>
    <x v="3"/>
    <x v="2"/>
    <x v="2"/>
    <x v="3"/>
    <x v="13"/>
    <x v="79"/>
    <x v="7"/>
    <n v="0.15"/>
    <x v="85"/>
    <x v="0"/>
  </r>
  <r>
    <x v="86"/>
    <x v="44"/>
    <x v="86"/>
    <x v="72"/>
    <s v="Diya Trivedi"/>
    <x v="0"/>
    <x v="3"/>
    <x v="2"/>
    <x v="2"/>
    <x v="1"/>
    <x v="1"/>
    <x v="80"/>
    <x v="2"/>
    <n v="0"/>
    <x v="86"/>
    <x v="0"/>
  </r>
  <r>
    <x v="87"/>
    <x v="83"/>
    <x v="87"/>
    <x v="53"/>
    <s v="Yusuf Trivedi"/>
    <x v="1"/>
    <x v="7"/>
    <x v="4"/>
    <x v="0"/>
    <x v="3"/>
    <x v="13"/>
    <x v="81"/>
    <x v="7"/>
    <n v="0"/>
    <x v="87"/>
    <x v="0"/>
  </r>
  <r>
    <x v="88"/>
    <x v="84"/>
    <x v="88"/>
    <x v="73"/>
    <s v="Vivaan Shah"/>
    <x v="2"/>
    <x v="9"/>
    <x v="6"/>
    <x v="4"/>
    <x v="3"/>
    <x v="16"/>
    <x v="82"/>
    <x v="4"/>
    <n v="0.1"/>
    <x v="88"/>
    <x v="4"/>
  </r>
  <r>
    <x v="89"/>
    <x v="85"/>
    <x v="89"/>
    <x v="74"/>
    <s v="Aditya Kapoor"/>
    <x v="0"/>
    <x v="4"/>
    <x v="3"/>
    <x v="1"/>
    <x v="3"/>
    <x v="16"/>
    <x v="83"/>
    <x v="6"/>
    <n v="0.2"/>
    <x v="89"/>
    <x v="0"/>
  </r>
  <r>
    <x v="90"/>
    <x v="86"/>
    <x v="90"/>
    <x v="75"/>
    <s v="Anaya Iyer"/>
    <x v="0"/>
    <x v="0"/>
    <x v="0"/>
    <x v="0"/>
    <x v="2"/>
    <x v="2"/>
    <x v="56"/>
    <x v="3"/>
    <n v="0"/>
    <x v="90"/>
    <x v="1"/>
  </r>
  <r>
    <x v="91"/>
    <x v="87"/>
    <x v="91"/>
    <x v="76"/>
    <s v="Zoya Trivedi"/>
    <x v="2"/>
    <x v="4"/>
    <x v="3"/>
    <x v="1"/>
    <x v="0"/>
    <x v="11"/>
    <x v="84"/>
    <x v="1"/>
    <n v="0.05"/>
    <x v="91"/>
    <x v="2"/>
  </r>
  <r>
    <x v="92"/>
    <x v="88"/>
    <x v="92"/>
    <x v="74"/>
    <s v="Meera Kapoor"/>
    <x v="1"/>
    <x v="7"/>
    <x v="4"/>
    <x v="0"/>
    <x v="1"/>
    <x v="1"/>
    <x v="85"/>
    <x v="4"/>
    <n v="0"/>
    <x v="92"/>
    <x v="0"/>
  </r>
  <r>
    <x v="93"/>
    <x v="89"/>
    <x v="93"/>
    <x v="77"/>
    <s v="Rohan Sheikh"/>
    <x v="2"/>
    <x v="8"/>
    <x v="0"/>
    <x v="0"/>
    <x v="1"/>
    <x v="12"/>
    <x v="75"/>
    <x v="3"/>
    <n v="0.1"/>
    <x v="93"/>
    <x v="3"/>
  </r>
  <r>
    <x v="94"/>
    <x v="90"/>
    <x v="94"/>
    <x v="62"/>
    <s v="Arjun Khan"/>
    <x v="2"/>
    <x v="6"/>
    <x v="5"/>
    <x v="3"/>
    <x v="0"/>
    <x v="3"/>
    <x v="86"/>
    <x v="3"/>
    <n v="0.2"/>
    <x v="94"/>
    <x v="2"/>
  </r>
  <r>
    <x v="95"/>
    <x v="91"/>
    <x v="95"/>
    <x v="76"/>
    <s v="Sara Patel"/>
    <x v="0"/>
    <x v="6"/>
    <x v="5"/>
    <x v="3"/>
    <x v="2"/>
    <x v="2"/>
    <x v="87"/>
    <x v="2"/>
    <n v="0.15"/>
    <x v="95"/>
    <x v="0"/>
  </r>
  <r>
    <x v="96"/>
    <x v="92"/>
    <x v="96"/>
    <x v="78"/>
    <s v="Meera Iyer"/>
    <x v="2"/>
    <x v="14"/>
    <x v="9"/>
    <x v="3"/>
    <x v="2"/>
    <x v="5"/>
    <x v="88"/>
    <x v="7"/>
    <n v="0.05"/>
    <x v="96"/>
    <x v="2"/>
  </r>
  <r>
    <x v="97"/>
    <x v="93"/>
    <x v="97"/>
    <x v="79"/>
    <s v="Rohan Patel"/>
    <x v="0"/>
    <x v="14"/>
    <x v="9"/>
    <x v="3"/>
    <x v="0"/>
    <x v="0"/>
    <x v="89"/>
    <x v="5"/>
    <n v="0.2"/>
    <x v="97"/>
    <x v="4"/>
  </r>
  <r>
    <x v="98"/>
    <x v="94"/>
    <x v="98"/>
    <x v="80"/>
    <s v="Kiara Sheikh"/>
    <x v="2"/>
    <x v="1"/>
    <x v="0"/>
    <x v="0"/>
    <x v="0"/>
    <x v="8"/>
    <x v="90"/>
    <x v="2"/>
    <n v="0"/>
    <x v="98"/>
    <x v="3"/>
  </r>
  <r>
    <x v="99"/>
    <x v="95"/>
    <x v="99"/>
    <x v="81"/>
    <s v="Anaya Khan"/>
    <x v="1"/>
    <x v="3"/>
    <x v="2"/>
    <x v="2"/>
    <x v="1"/>
    <x v="15"/>
    <x v="91"/>
    <x v="7"/>
    <n v="0.05"/>
    <x v="99"/>
    <x v="2"/>
  </r>
  <r>
    <x v="100"/>
    <x v="96"/>
    <x v="100"/>
    <x v="52"/>
    <s v="Arjun Soni"/>
    <x v="1"/>
    <x v="3"/>
    <x v="2"/>
    <x v="2"/>
    <x v="3"/>
    <x v="7"/>
    <x v="92"/>
    <x v="6"/>
    <n v="0"/>
    <x v="100"/>
    <x v="0"/>
  </r>
  <r>
    <x v="101"/>
    <x v="97"/>
    <x v="101"/>
    <x v="82"/>
    <s v="Myra Khan"/>
    <x v="1"/>
    <x v="4"/>
    <x v="3"/>
    <x v="1"/>
    <x v="0"/>
    <x v="3"/>
    <x v="93"/>
    <x v="2"/>
    <n v="0.2"/>
    <x v="101"/>
    <x v="3"/>
  </r>
  <r>
    <x v="102"/>
    <x v="98"/>
    <x v="102"/>
    <x v="83"/>
    <s v="Anaya Mehta"/>
    <x v="1"/>
    <x v="5"/>
    <x v="4"/>
    <x v="0"/>
    <x v="1"/>
    <x v="18"/>
    <x v="94"/>
    <x v="7"/>
    <n v="0.2"/>
    <x v="102"/>
    <x v="1"/>
  </r>
  <r>
    <x v="103"/>
    <x v="99"/>
    <x v="103"/>
    <x v="84"/>
    <s v="Kiara Panjwani"/>
    <x v="0"/>
    <x v="1"/>
    <x v="0"/>
    <x v="0"/>
    <x v="2"/>
    <x v="2"/>
    <x v="95"/>
    <x v="4"/>
    <n v="0.1"/>
    <x v="103"/>
    <x v="2"/>
  </r>
  <r>
    <x v="104"/>
    <x v="100"/>
    <x v="104"/>
    <x v="85"/>
    <s v="Reyansh Khan"/>
    <x v="2"/>
    <x v="12"/>
    <x v="8"/>
    <x v="1"/>
    <x v="2"/>
    <x v="4"/>
    <x v="96"/>
    <x v="2"/>
    <n v="0.05"/>
    <x v="104"/>
    <x v="2"/>
  </r>
  <r>
    <x v="105"/>
    <x v="5"/>
    <x v="105"/>
    <x v="86"/>
    <s v="Anaya Rao"/>
    <x v="2"/>
    <x v="1"/>
    <x v="0"/>
    <x v="0"/>
    <x v="0"/>
    <x v="3"/>
    <x v="97"/>
    <x v="6"/>
    <n v="0"/>
    <x v="105"/>
    <x v="1"/>
  </r>
  <r>
    <x v="106"/>
    <x v="101"/>
    <x v="106"/>
    <x v="80"/>
    <s v="Yusuf Desai"/>
    <x v="1"/>
    <x v="12"/>
    <x v="8"/>
    <x v="1"/>
    <x v="2"/>
    <x v="10"/>
    <x v="98"/>
    <x v="6"/>
    <n v="0"/>
    <x v="106"/>
    <x v="3"/>
  </r>
  <r>
    <x v="107"/>
    <x v="102"/>
    <x v="107"/>
    <x v="87"/>
    <s v="Vivaan Mehta"/>
    <x v="0"/>
    <x v="10"/>
    <x v="0"/>
    <x v="0"/>
    <x v="1"/>
    <x v="15"/>
    <x v="99"/>
    <x v="4"/>
    <n v="0.15"/>
    <x v="107"/>
    <x v="4"/>
  </r>
  <r>
    <x v="108"/>
    <x v="103"/>
    <x v="108"/>
    <x v="88"/>
    <s v="Yusuf Trivedi"/>
    <x v="1"/>
    <x v="1"/>
    <x v="0"/>
    <x v="0"/>
    <x v="2"/>
    <x v="2"/>
    <x v="7"/>
    <x v="1"/>
    <n v="0.05"/>
    <x v="108"/>
    <x v="2"/>
  </r>
  <r>
    <x v="109"/>
    <x v="28"/>
    <x v="109"/>
    <x v="17"/>
    <s v="Zoya Soni"/>
    <x v="0"/>
    <x v="8"/>
    <x v="0"/>
    <x v="0"/>
    <x v="3"/>
    <x v="7"/>
    <x v="100"/>
    <x v="5"/>
    <n v="0.2"/>
    <x v="109"/>
    <x v="1"/>
  </r>
  <r>
    <x v="110"/>
    <x v="104"/>
    <x v="110"/>
    <x v="67"/>
    <s v="Diya Khan"/>
    <x v="2"/>
    <x v="10"/>
    <x v="0"/>
    <x v="0"/>
    <x v="2"/>
    <x v="5"/>
    <x v="101"/>
    <x v="3"/>
    <n v="0.1"/>
    <x v="110"/>
    <x v="0"/>
  </r>
  <r>
    <x v="111"/>
    <x v="105"/>
    <x v="111"/>
    <x v="7"/>
    <s v="Vivaan Joshi"/>
    <x v="0"/>
    <x v="6"/>
    <x v="5"/>
    <x v="3"/>
    <x v="3"/>
    <x v="16"/>
    <x v="102"/>
    <x v="5"/>
    <n v="0.05"/>
    <x v="111"/>
    <x v="3"/>
  </r>
  <r>
    <x v="112"/>
    <x v="106"/>
    <x v="112"/>
    <x v="38"/>
    <s v="Anaya Iyer"/>
    <x v="0"/>
    <x v="5"/>
    <x v="4"/>
    <x v="0"/>
    <x v="3"/>
    <x v="7"/>
    <x v="72"/>
    <x v="3"/>
    <n v="0.1"/>
    <x v="112"/>
    <x v="1"/>
  </r>
  <r>
    <x v="113"/>
    <x v="107"/>
    <x v="113"/>
    <x v="89"/>
    <s v="Rohan Panjwani"/>
    <x v="2"/>
    <x v="12"/>
    <x v="8"/>
    <x v="1"/>
    <x v="1"/>
    <x v="12"/>
    <x v="103"/>
    <x v="7"/>
    <n v="0"/>
    <x v="113"/>
    <x v="1"/>
  </r>
  <r>
    <x v="114"/>
    <x v="108"/>
    <x v="114"/>
    <x v="90"/>
    <s v="Kabir Rao"/>
    <x v="1"/>
    <x v="5"/>
    <x v="4"/>
    <x v="0"/>
    <x v="0"/>
    <x v="8"/>
    <x v="104"/>
    <x v="4"/>
    <n v="0.2"/>
    <x v="114"/>
    <x v="1"/>
  </r>
  <r>
    <x v="115"/>
    <x v="109"/>
    <x v="115"/>
    <x v="91"/>
    <s v="Aditya Kapoor"/>
    <x v="1"/>
    <x v="4"/>
    <x v="3"/>
    <x v="1"/>
    <x v="0"/>
    <x v="0"/>
    <x v="105"/>
    <x v="1"/>
    <n v="0.15"/>
    <x v="115"/>
    <x v="0"/>
  </r>
  <r>
    <x v="116"/>
    <x v="110"/>
    <x v="116"/>
    <x v="92"/>
    <s v="Yusuf Soni"/>
    <x v="1"/>
    <x v="12"/>
    <x v="8"/>
    <x v="1"/>
    <x v="3"/>
    <x v="16"/>
    <x v="106"/>
    <x v="3"/>
    <n v="0.15"/>
    <x v="116"/>
    <x v="2"/>
  </r>
  <r>
    <x v="117"/>
    <x v="111"/>
    <x v="117"/>
    <x v="16"/>
    <s v="Myra Iyer"/>
    <x v="2"/>
    <x v="10"/>
    <x v="0"/>
    <x v="0"/>
    <x v="2"/>
    <x v="14"/>
    <x v="107"/>
    <x v="6"/>
    <n v="0"/>
    <x v="117"/>
    <x v="3"/>
  </r>
  <r>
    <x v="118"/>
    <x v="112"/>
    <x v="118"/>
    <x v="93"/>
    <s v="Sara Sheikh"/>
    <x v="2"/>
    <x v="3"/>
    <x v="2"/>
    <x v="2"/>
    <x v="2"/>
    <x v="5"/>
    <x v="108"/>
    <x v="3"/>
    <n v="0"/>
    <x v="118"/>
    <x v="4"/>
  </r>
  <r>
    <x v="119"/>
    <x v="113"/>
    <x v="119"/>
    <x v="94"/>
    <s v="Aarav Shah"/>
    <x v="0"/>
    <x v="3"/>
    <x v="2"/>
    <x v="2"/>
    <x v="1"/>
    <x v="9"/>
    <x v="109"/>
    <x v="2"/>
    <n v="0"/>
    <x v="119"/>
    <x v="3"/>
  </r>
  <r>
    <x v="120"/>
    <x v="114"/>
    <x v="120"/>
    <x v="95"/>
    <s v="Yusuf Dave"/>
    <x v="1"/>
    <x v="7"/>
    <x v="4"/>
    <x v="0"/>
    <x v="3"/>
    <x v="17"/>
    <x v="110"/>
    <x v="4"/>
    <n v="0.05"/>
    <x v="120"/>
    <x v="1"/>
  </r>
  <r>
    <x v="121"/>
    <x v="115"/>
    <x v="121"/>
    <x v="96"/>
    <s v="Meera Khan"/>
    <x v="2"/>
    <x v="2"/>
    <x v="1"/>
    <x v="1"/>
    <x v="2"/>
    <x v="10"/>
    <x v="111"/>
    <x v="3"/>
    <n v="0.1"/>
    <x v="121"/>
    <x v="4"/>
  </r>
  <r>
    <x v="122"/>
    <x v="114"/>
    <x v="122"/>
    <x v="0"/>
    <s v="Yusuf Khan"/>
    <x v="0"/>
    <x v="11"/>
    <x v="7"/>
    <x v="3"/>
    <x v="2"/>
    <x v="14"/>
    <x v="112"/>
    <x v="2"/>
    <n v="0"/>
    <x v="122"/>
    <x v="4"/>
  </r>
  <r>
    <x v="123"/>
    <x v="116"/>
    <x v="123"/>
    <x v="97"/>
    <s v="Vivaan Iyer"/>
    <x v="2"/>
    <x v="7"/>
    <x v="4"/>
    <x v="0"/>
    <x v="2"/>
    <x v="10"/>
    <x v="113"/>
    <x v="0"/>
    <n v="0.05"/>
    <x v="123"/>
    <x v="4"/>
  </r>
  <r>
    <x v="124"/>
    <x v="117"/>
    <x v="124"/>
    <x v="45"/>
    <s v="Myra Soni"/>
    <x v="0"/>
    <x v="0"/>
    <x v="0"/>
    <x v="0"/>
    <x v="3"/>
    <x v="6"/>
    <x v="114"/>
    <x v="4"/>
    <n v="0"/>
    <x v="124"/>
    <x v="4"/>
  </r>
  <r>
    <x v="125"/>
    <x v="72"/>
    <x v="125"/>
    <x v="59"/>
    <s v="Aditya Dave"/>
    <x v="2"/>
    <x v="3"/>
    <x v="2"/>
    <x v="2"/>
    <x v="2"/>
    <x v="4"/>
    <x v="115"/>
    <x v="1"/>
    <n v="0.1"/>
    <x v="125"/>
    <x v="3"/>
  </r>
  <r>
    <x v="126"/>
    <x v="118"/>
    <x v="126"/>
    <x v="95"/>
    <s v="Isha Iyer"/>
    <x v="0"/>
    <x v="12"/>
    <x v="8"/>
    <x v="1"/>
    <x v="3"/>
    <x v="17"/>
    <x v="116"/>
    <x v="5"/>
    <n v="0.1"/>
    <x v="126"/>
    <x v="0"/>
  </r>
  <r>
    <x v="127"/>
    <x v="119"/>
    <x v="127"/>
    <x v="98"/>
    <s v="Krish Soni"/>
    <x v="1"/>
    <x v="9"/>
    <x v="6"/>
    <x v="4"/>
    <x v="0"/>
    <x v="11"/>
    <x v="117"/>
    <x v="2"/>
    <n v="0"/>
    <x v="127"/>
    <x v="0"/>
  </r>
  <r>
    <x v="128"/>
    <x v="120"/>
    <x v="128"/>
    <x v="94"/>
    <s v="Anaya Soni"/>
    <x v="0"/>
    <x v="4"/>
    <x v="3"/>
    <x v="1"/>
    <x v="0"/>
    <x v="0"/>
    <x v="118"/>
    <x v="6"/>
    <n v="0"/>
    <x v="128"/>
    <x v="2"/>
  </r>
  <r>
    <x v="129"/>
    <x v="30"/>
    <x v="129"/>
    <x v="99"/>
    <s v="Isha Dave"/>
    <x v="1"/>
    <x v="5"/>
    <x v="4"/>
    <x v="0"/>
    <x v="0"/>
    <x v="0"/>
    <x v="0"/>
    <x v="0"/>
    <n v="0"/>
    <x v="129"/>
    <x v="1"/>
  </r>
  <r>
    <x v="130"/>
    <x v="121"/>
    <x v="130"/>
    <x v="50"/>
    <s v="Meera Trivedi"/>
    <x v="0"/>
    <x v="12"/>
    <x v="8"/>
    <x v="1"/>
    <x v="3"/>
    <x v="6"/>
    <x v="119"/>
    <x v="7"/>
    <n v="0.2"/>
    <x v="130"/>
    <x v="4"/>
  </r>
  <r>
    <x v="131"/>
    <x v="122"/>
    <x v="131"/>
    <x v="100"/>
    <s v="Dev Shah"/>
    <x v="2"/>
    <x v="1"/>
    <x v="0"/>
    <x v="0"/>
    <x v="3"/>
    <x v="6"/>
    <x v="120"/>
    <x v="3"/>
    <n v="0.05"/>
    <x v="131"/>
    <x v="0"/>
  </r>
  <r>
    <x v="132"/>
    <x v="104"/>
    <x v="132"/>
    <x v="101"/>
    <s v="Kabir Dave"/>
    <x v="0"/>
    <x v="0"/>
    <x v="0"/>
    <x v="0"/>
    <x v="0"/>
    <x v="8"/>
    <x v="121"/>
    <x v="5"/>
    <n v="0.2"/>
    <x v="132"/>
    <x v="3"/>
  </r>
  <r>
    <x v="133"/>
    <x v="91"/>
    <x v="133"/>
    <x v="102"/>
    <s v="Vivaan Patel"/>
    <x v="2"/>
    <x v="14"/>
    <x v="9"/>
    <x v="3"/>
    <x v="2"/>
    <x v="4"/>
    <x v="102"/>
    <x v="0"/>
    <n v="0.05"/>
    <x v="133"/>
    <x v="1"/>
  </r>
  <r>
    <x v="134"/>
    <x v="123"/>
    <x v="134"/>
    <x v="25"/>
    <s v="Rohan Soni"/>
    <x v="0"/>
    <x v="5"/>
    <x v="4"/>
    <x v="0"/>
    <x v="2"/>
    <x v="5"/>
    <x v="122"/>
    <x v="4"/>
    <n v="0"/>
    <x v="134"/>
    <x v="3"/>
  </r>
  <r>
    <x v="135"/>
    <x v="124"/>
    <x v="135"/>
    <x v="103"/>
    <s v="Aditya Shah"/>
    <x v="2"/>
    <x v="5"/>
    <x v="4"/>
    <x v="0"/>
    <x v="0"/>
    <x v="19"/>
    <x v="123"/>
    <x v="2"/>
    <n v="0.05"/>
    <x v="135"/>
    <x v="1"/>
  </r>
  <r>
    <x v="136"/>
    <x v="125"/>
    <x v="136"/>
    <x v="4"/>
    <s v="Vivaan Sheikh"/>
    <x v="2"/>
    <x v="7"/>
    <x v="4"/>
    <x v="0"/>
    <x v="0"/>
    <x v="8"/>
    <x v="124"/>
    <x v="4"/>
    <n v="0.05"/>
    <x v="136"/>
    <x v="4"/>
  </r>
  <r>
    <x v="137"/>
    <x v="126"/>
    <x v="137"/>
    <x v="104"/>
    <s v="Aditya Rao"/>
    <x v="1"/>
    <x v="4"/>
    <x v="3"/>
    <x v="1"/>
    <x v="3"/>
    <x v="13"/>
    <x v="125"/>
    <x v="5"/>
    <n v="0.05"/>
    <x v="137"/>
    <x v="3"/>
  </r>
  <r>
    <x v="138"/>
    <x v="127"/>
    <x v="138"/>
    <x v="105"/>
    <s v="Reyansh Trivedi"/>
    <x v="2"/>
    <x v="12"/>
    <x v="8"/>
    <x v="1"/>
    <x v="3"/>
    <x v="7"/>
    <x v="92"/>
    <x v="6"/>
    <n v="0"/>
    <x v="138"/>
    <x v="2"/>
  </r>
  <r>
    <x v="139"/>
    <x v="128"/>
    <x v="139"/>
    <x v="106"/>
    <s v="Dev Patel"/>
    <x v="0"/>
    <x v="8"/>
    <x v="0"/>
    <x v="0"/>
    <x v="2"/>
    <x v="14"/>
    <x v="126"/>
    <x v="5"/>
    <n v="0.15"/>
    <x v="139"/>
    <x v="4"/>
  </r>
  <r>
    <x v="140"/>
    <x v="129"/>
    <x v="140"/>
    <x v="107"/>
    <s v="Meera Iyer"/>
    <x v="1"/>
    <x v="14"/>
    <x v="9"/>
    <x v="3"/>
    <x v="1"/>
    <x v="9"/>
    <x v="109"/>
    <x v="2"/>
    <n v="0"/>
    <x v="140"/>
    <x v="0"/>
  </r>
  <r>
    <x v="141"/>
    <x v="130"/>
    <x v="141"/>
    <x v="108"/>
    <s v="Kiara Desai"/>
    <x v="2"/>
    <x v="5"/>
    <x v="4"/>
    <x v="0"/>
    <x v="1"/>
    <x v="12"/>
    <x v="127"/>
    <x v="3"/>
    <n v="0.2"/>
    <x v="141"/>
    <x v="0"/>
  </r>
  <r>
    <x v="142"/>
    <x v="131"/>
    <x v="142"/>
    <x v="109"/>
    <s v="Krish Soni"/>
    <x v="0"/>
    <x v="10"/>
    <x v="0"/>
    <x v="0"/>
    <x v="0"/>
    <x v="3"/>
    <x v="128"/>
    <x v="7"/>
    <n v="0.1"/>
    <x v="142"/>
    <x v="0"/>
  </r>
  <r>
    <x v="143"/>
    <x v="132"/>
    <x v="143"/>
    <x v="110"/>
    <s v="Zoya Soni"/>
    <x v="1"/>
    <x v="3"/>
    <x v="2"/>
    <x v="2"/>
    <x v="1"/>
    <x v="9"/>
    <x v="129"/>
    <x v="4"/>
    <n v="0.05"/>
    <x v="143"/>
    <x v="3"/>
  </r>
  <r>
    <x v="144"/>
    <x v="25"/>
    <x v="144"/>
    <x v="69"/>
    <s v="Aanya Shah"/>
    <x v="1"/>
    <x v="13"/>
    <x v="0"/>
    <x v="0"/>
    <x v="2"/>
    <x v="2"/>
    <x v="130"/>
    <x v="3"/>
    <n v="0.1"/>
    <x v="144"/>
    <x v="0"/>
  </r>
  <r>
    <x v="145"/>
    <x v="98"/>
    <x v="145"/>
    <x v="88"/>
    <s v="Krish Shah"/>
    <x v="2"/>
    <x v="9"/>
    <x v="6"/>
    <x v="4"/>
    <x v="2"/>
    <x v="4"/>
    <x v="115"/>
    <x v="1"/>
    <n v="0.1"/>
    <x v="145"/>
    <x v="2"/>
  </r>
  <r>
    <x v="146"/>
    <x v="133"/>
    <x v="146"/>
    <x v="111"/>
    <s v="Fatima Verma"/>
    <x v="1"/>
    <x v="9"/>
    <x v="6"/>
    <x v="4"/>
    <x v="2"/>
    <x v="14"/>
    <x v="131"/>
    <x v="4"/>
    <n v="0"/>
    <x v="146"/>
    <x v="0"/>
  </r>
  <r>
    <x v="147"/>
    <x v="134"/>
    <x v="147"/>
    <x v="57"/>
    <s v="Meera Soni"/>
    <x v="2"/>
    <x v="0"/>
    <x v="0"/>
    <x v="0"/>
    <x v="2"/>
    <x v="10"/>
    <x v="132"/>
    <x v="3"/>
    <n v="0"/>
    <x v="147"/>
    <x v="1"/>
  </r>
  <r>
    <x v="148"/>
    <x v="135"/>
    <x v="148"/>
    <x v="112"/>
    <s v="Meera Khan"/>
    <x v="1"/>
    <x v="10"/>
    <x v="0"/>
    <x v="0"/>
    <x v="0"/>
    <x v="11"/>
    <x v="133"/>
    <x v="1"/>
    <n v="0"/>
    <x v="148"/>
    <x v="1"/>
  </r>
  <r>
    <x v="149"/>
    <x v="136"/>
    <x v="149"/>
    <x v="113"/>
    <s v="Aarav Dave"/>
    <x v="2"/>
    <x v="14"/>
    <x v="9"/>
    <x v="3"/>
    <x v="2"/>
    <x v="5"/>
    <x v="134"/>
    <x v="0"/>
    <n v="0.2"/>
    <x v="149"/>
    <x v="2"/>
  </r>
  <r>
    <x v="150"/>
    <x v="137"/>
    <x v="150"/>
    <x v="114"/>
    <s v="Dev Iyer"/>
    <x v="0"/>
    <x v="8"/>
    <x v="0"/>
    <x v="0"/>
    <x v="2"/>
    <x v="5"/>
    <x v="135"/>
    <x v="6"/>
    <n v="0"/>
    <x v="150"/>
    <x v="3"/>
  </r>
  <r>
    <x v="151"/>
    <x v="138"/>
    <x v="151"/>
    <x v="115"/>
    <s v="Zoya Iyer"/>
    <x v="1"/>
    <x v="3"/>
    <x v="2"/>
    <x v="2"/>
    <x v="3"/>
    <x v="16"/>
    <x v="136"/>
    <x v="2"/>
    <n v="0.05"/>
    <x v="151"/>
    <x v="4"/>
  </r>
  <r>
    <x v="152"/>
    <x v="139"/>
    <x v="152"/>
    <x v="114"/>
    <s v="Aditya Rao"/>
    <x v="0"/>
    <x v="12"/>
    <x v="8"/>
    <x v="1"/>
    <x v="2"/>
    <x v="5"/>
    <x v="135"/>
    <x v="6"/>
    <n v="0"/>
    <x v="152"/>
    <x v="2"/>
  </r>
  <r>
    <x v="153"/>
    <x v="140"/>
    <x v="153"/>
    <x v="116"/>
    <s v="Rohan Patel"/>
    <x v="2"/>
    <x v="12"/>
    <x v="8"/>
    <x v="1"/>
    <x v="3"/>
    <x v="6"/>
    <x v="114"/>
    <x v="4"/>
    <n v="0"/>
    <x v="153"/>
    <x v="2"/>
  </r>
  <r>
    <x v="154"/>
    <x v="130"/>
    <x v="154"/>
    <x v="117"/>
    <s v="Kiara Khan"/>
    <x v="2"/>
    <x v="10"/>
    <x v="0"/>
    <x v="0"/>
    <x v="2"/>
    <x v="14"/>
    <x v="137"/>
    <x v="3"/>
    <n v="0.15"/>
    <x v="154"/>
    <x v="1"/>
  </r>
  <r>
    <x v="155"/>
    <x v="141"/>
    <x v="155"/>
    <x v="118"/>
    <s v="Zoya Panjwani"/>
    <x v="2"/>
    <x v="10"/>
    <x v="0"/>
    <x v="0"/>
    <x v="0"/>
    <x v="8"/>
    <x v="138"/>
    <x v="1"/>
    <n v="0.2"/>
    <x v="155"/>
    <x v="0"/>
  </r>
  <r>
    <x v="156"/>
    <x v="142"/>
    <x v="156"/>
    <x v="119"/>
    <s v="Arjun Iyer"/>
    <x v="1"/>
    <x v="5"/>
    <x v="4"/>
    <x v="0"/>
    <x v="1"/>
    <x v="12"/>
    <x v="139"/>
    <x v="7"/>
    <n v="0.05"/>
    <x v="156"/>
    <x v="0"/>
  </r>
  <r>
    <x v="157"/>
    <x v="143"/>
    <x v="157"/>
    <x v="95"/>
    <s v="Sara Joshi"/>
    <x v="2"/>
    <x v="14"/>
    <x v="9"/>
    <x v="3"/>
    <x v="1"/>
    <x v="9"/>
    <x v="140"/>
    <x v="3"/>
    <n v="0.05"/>
    <x v="157"/>
    <x v="3"/>
  </r>
  <r>
    <x v="158"/>
    <x v="144"/>
    <x v="158"/>
    <x v="120"/>
    <s v="Zoya Dave"/>
    <x v="2"/>
    <x v="8"/>
    <x v="0"/>
    <x v="0"/>
    <x v="3"/>
    <x v="17"/>
    <x v="141"/>
    <x v="7"/>
    <n v="0"/>
    <x v="158"/>
    <x v="4"/>
  </r>
  <r>
    <x v="159"/>
    <x v="0"/>
    <x v="159"/>
    <x v="0"/>
    <s v="Isha Patel"/>
    <x v="1"/>
    <x v="0"/>
    <x v="0"/>
    <x v="0"/>
    <x v="2"/>
    <x v="4"/>
    <x v="142"/>
    <x v="6"/>
    <n v="0.15"/>
    <x v="159"/>
    <x v="3"/>
  </r>
  <r>
    <x v="160"/>
    <x v="145"/>
    <x v="160"/>
    <x v="5"/>
    <s v="Zoya Panjwani"/>
    <x v="0"/>
    <x v="6"/>
    <x v="5"/>
    <x v="3"/>
    <x v="2"/>
    <x v="2"/>
    <x v="143"/>
    <x v="5"/>
    <n v="0"/>
    <x v="160"/>
    <x v="1"/>
  </r>
  <r>
    <x v="161"/>
    <x v="146"/>
    <x v="161"/>
    <x v="16"/>
    <s v="Vivaan Soni"/>
    <x v="2"/>
    <x v="12"/>
    <x v="8"/>
    <x v="1"/>
    <x v="3"/>
    <x v="17"/>
    <x v="53"/>
    <x v="6"/>
    <n v="0.1"/>
    <x v="161"/>
    <x v="0"/>
  </r>
  <r>
    <x v="162"/>
    <x v="147"/>
    <x v="162"/>
    <x v="119"/>
    <s v="Krish Sheikh"/>
    <x v="0"/>
    <x v="13"/>
    <x v="0"/>
    <x v="0"/>
    <x v="1"/>
    <x v="18"/>
    <x v="12"/>
    <x v="1"/>
    <n v="0.2"/>
    <x v="162"/>
    <x v="1"/>
  </r>
  <r>
    <x v="163"/>
    <x v="148"/>
    <x v="163"/>
    <x v="121"/>
    <s v="Reyansh Shah"/>
    <x v="1"/>
    <x v="13"/>
    <x v="0"/>
    <x v="0"/>
    <x v="3"/>
    <x v="13"/>
    <x v="144"/>
    <x v="3"/>
    <n v="0.2"/>
    <x v="163"/>
    <x v="1"/>
  </r>
  <r>
    <x v="164"/>
    <x v="104"/>
    <x v="164"/>
    <x v="7"/>
    <s v="Kiara Soni"/>
    <x v="2"/>
    <x v="9"/>
    <x v="6"/>
    <x v="4"/>
    <x v="3"/>
    <x v="16"/>
    <x v="83"/>
    <x v="6"/>
    <n v="0.2"/>
    <x v="164"/>
    <x v="4"/>
  </r>
  <r>
    <x v="165"/>
    <x v="25"/>
    <x v="165"/>
    <x v="122"/>
    <s v="Vivaan Desai"/>
    <x v="2"/>
    <x v="4"/>
    <x v="3"/>
    <x v="1"/>
    <x v="1"/>
    <x v="15"/>
    <x v="43"/>
    <x v="0"/>
    <n v="0"/>
    <x v="165"/>
    <x v="1"/>
  </r>
  <r>
    <x v="166"/>
    <x v="149"/>
    <x v="166"/>
    <x v="7"/>
    <s v="Sara Panjwani"/>
    <x v="0"/>
    <x v="14"/>
    <x v="9"/>
    <x v="3"/>
    <x v="0"/>
    <x v="19"/>
    <x v="145"/>
    <x v="4"/>
    <n v="0.15"/>
    <x v="166"/>
    <x v="0"/>
  </r>
  <r>
    <x v="167"/>
    <x v="150"/>
    <x v="167"/>
    <x v="104"/>
    <s v="Kabir Khan"/>
    <x v="2"/>
    <x v="2"/>
    <x v="1"/>
    <x v="1"/>
    <x v="3"/>
    <x v="7"/>
    <x v="146"/>
    <x v="5"/>
    <n v="0"/>
    <x v="167"/>
    <x v="3"/>
  </r>
  <r>
    <x v="168"/>
    <x v="151"/>
    <x v="168"/>
    <x v="20"/>
    <s v="Anaya Soni"/>
    <x v="1"/>
    <x v="9"/>
    <x v="6"/>
    <x v="4"/>
    <x v="1"/>
    <x v="1"/>
    <x v="147"/>
    <x v="2"/>
    <n v="0.15"/>
    <x v="168"/>
    <x v="4"/>
  </r>
  <r>
    <x v="169"/>
    <x v="152"/>
    <x v="169"/>
    <x v="94"/>
    <s v="Kiara Joshi"/>
    <x v="1"/>
    <x v="5"/>
    <x v="4"/>
    <x v="0"/>
    <x v="1"/>
    <x v="15"/>
    <x v="76"/>
    <x v="3"/>
    <n v="0"/>
    <x v="169"/>
    <x v="4"/>
  </r>
  <r>
    <x v="170"/>
    <x v="153"/>
    <x v="170"/>
    <x v="36"/>
    <s v="Meera Trivedi"/>
    <x v="0"/>
    <x v="1"/>
    <x v="0"/>
    <x v="0"/>
    <x v="1"/>
    <x v="9"/>
    <x v="148"/>
    <x v="4"/>
    <n v="0"/>
    <x v="170"/>
    <x v="1"/>
  </r>
  <r>
    <x v="171"/>
    <x v="154"/>
    <x v="171"/>
    <x v="16"/>
    <s v="Aanya Dave"/>
    <x v="0"/>
    <x v="0"/>
    <x v="0"/>
    <x v="0"/>
    <x v="2"/>
    <x v="10"/>
    <x v="149"/>
    <x v="3"/>
    <n v="0.2"/>
    <x v="171"/>
    <x v="1"/>
  </r>
  <r>
    <x v="172"/>
    <x v="155"/>
    <x v="172"/>
    <x v="27"/>
    <s v="Krish Joshi"/>
    <x v="2"/>
    <x v="11"/>
    <x v="7"/>
    <x v="3"/>
    <x v="0"/>
    <x v="8"/>
    <x v="150"/>
    <x v="7"/>
    <n v="0"/>
    <x v="172"/>
    <x v="1"/>
  </r>
  <r>
    <x v="173"/>
    <x v="156"/>
    <x v="173"/>
    <x v="123"/>
    <s v="Vivaan Trivedi"/>
    <x v="0"/>
    <x v="8"/>
    <x v="0"/>
    <x v="0"/>
    <x v="3"/>
    <x v="6"/>
    <x v="151"/>
    <x v="7"/>
    <n v="0.1"/>
    <x v="173"/>
    <x v="4"/>
  </r>
  <r>
    <x v="174"/>
    <x v="157"/>
    <x v="174"/>
    <x v="124"/>
    <s v="Myra Khan"/>
    <x v="1"/>
    <x v="5"/>
    <x v="4"/>
    <x v="0"/>
    <x v="3"/>
    <x v="13"/>
    <x v="152"/>
    <x v="6"/>
    <n v="0.15"/>
    <x v="174"/>
    <x v="4"/>
  </r>
  <r>
    <x v="175"/>
    <x v="158"/>
    <x v="175"/>
    <x v="125"/>
    <s v="Myra Rao"/>
    <x v="1"/>
    <x v="8"/>
    <x v="0"/>
    <x v="0"/>
    <x v="2"/>
    <x v="10"/>
    <x v="111"/>
    <x v="3"/>
    <n v="0.1"/>
    <x v="175"/>
    <x v="4"/>
  </r>
  <r>
    <x v="176"/>
    <x v="159"/>
    <x v="176"/>
    <x v="10"/>
    <s v="Fatima Sheikh"/>
    <x v="2"/>
    <x v="4"/>
    <x v="3"/>
    <x v="1"/>
    <x v="0"/>
    <x v="0"/>
    <x v="153"/>
    <x v="4"/>
    <n v="0.1"/>
    <x v="176"/>
    <x v="0"/>
  </r>
  <r>
    <x v="177"/>
    <x v="160"/>
    <x v="177"/>
    <x v="126"/>
    <s v="Sara Khan"/>
    <x v="0"/>
    <x v="7"/>
    <x v="4"/>
    <x v="0"/>
    <x v="3"/>
    <x v="13"/>
    <x v="154"/>
    <x v="0"/>
    <n v="0.15"/>
    <x v="177"/>
    <x v="0"/>
  </r>
  <r>
    <x v="178"/>
    <x v="161"/>
    <x v="178"/>
    <x v="127"/>
    <s v="Krish Trivedi"/>
    <x v="1"/>
    <x v="0"/>
    <x v="0"/>
    <x v="0"/>
    <x v="2"/>
    <x v="4"/>
    <x v="155"/>
    <x v="4"/>
    <n v="0.05"/>
    <x v="178"/>
    <x v="0"/>
  </r>
  <r>
    <x v="179"/>
    <x v="162"/>
    <x v="179"/>
    <x v="54"/>
    <s v="Kiara Joshi"/>
    <x v="0"/>
    <x v="11"/>
    <x v="7"/>
    <x v="3"/>
    <x v="1"/>
    <x v="15"/>
    <x v="76"/>
    <x v="3"/>
    <n v="0"/>
    <x v="179"/>
    <x v="3"/>
  </r>
  <r>
    <x v="180"/>
    <x v="163"/>
    <x v="180"/>
    <x v="9"/>
    <s v="Vivaan Desai"/>
    <x v="0"/>
    <x v="1"/>
    <x v="0"/>
    <x v="0"/>
    <x v="3"/>
    <x v="17"/>
    <x v="156"/>
    <x v="6"/>
    <n v="0.15"/>
    <x v="180"/>
    <x v="3"/>
  </r>
  <r>
    <x v="181"/>
    <x v="164"/>
    <x v="181"/>
    <x v="128"/>
    <s v="Dev Khan"/>
    <x v="1"/>
    <x v="0"/>
    <x v="0"/>
    <x v="0"/>
    <x v="2"/>
    <x v="10"/>
    <x v="157"/>
    <x v="4"/>
    <n v="0.2"/>
    <x v="181"/>
    <x v="3"/>
  </r>
  <r>
    <x v="182"/>
    <x v="47"/>
    <x v="182"/>
    <x v="129"/>
    <s v="Sara Dave"/>
    <x v="2"/>
    <x v="8"/>
    <x v="0"/>
    <x v="0"/>
    <x v="0"/>
    <x v="3"/>
    <x v="97"/>
    <x v="6"/>
    <n v="0"/>
    <x v="182"/>
    <x v="3"/>
  </r>
  <r>
    <x v="183"/>
    <x v="165"/>
    <x v="183"/>
    <x v="85"/>
    <s v="Aditya Kapoor"/>
    <x v="1"/>
    <x v="11"/>
    <x v="7"/>
    <x v="3"/>
    <x v="3"/>
    <x v="7"/>
    <x v="72"/>
    <x v="3"/>
    <n v="0.1"/>
    <x v="183"/>
    <x v="0"/>
  </r>
  <r>
    <x v="184"/>
    <x v="166"/>
    <x v="184"/>
    <x v="130"/>
    <s v="Yusuf Dave"/>
    <x v="1"/>
    <x v="2"/>
    <x v="1"/>
    <x v="1"/>
    <x v="2"/>
    <x v="5"/>
    <x v="88"/>
    <x v="7"/>
    <n v="0.05"/>
    <x v="184"/>
    <x v="1"/>
  </r>
  <r>
    <x v="185"/>
    <x v="166"/>
    <x v="185"/>
    <x v="93"/>
    <s v="Anaya Desai"/>
    <x v="1"/>
    <x v="8"/>
    <x v="0"/>
    <x v="0"/>
    <x v="3"/>
    <x v="13"/>
    <x v="144"/>
    <x v="0"/>
    <n v="0"/>
    <x v="185"/>
    <x v="0"/>
  </r>
  <r>
    <x v="186"/>
    <x v="147"/>
    <x v="186"/>
    <x v="131"/>
    <s v="Fatima Rao"/>
    <x v="0"/>
    <x v="8"/>
    <x v="0"/>
    <x v="0"/>
    <x v="3"/>
    <x v="13"/>
    <x v="158"/>
    <x v="2"/>
    <n v="0.15"/>
    <x v="186"/>
    <x v="1"/>
  </r>
  <r>
    <x v="187"/>
    <x v="83"/>
    <x v="187"/>
    <x v="132"/>
    <s v="Aditya Mehta"/>
    <x v="2"/>
    <x v="11"/>
    <x v="7"/>
    <x v="3"/>
    <x v="1"/>
    <x v="9"/>
    <x v="48"/>
    <x v="6"/>
    <n v="0.2"/>
    <x v="187"/>
    <x v="3"/>
  </r>
  <r>
    <x v="188"/>
    <x v="167"/>
    <x v="188"/>
    <x v="133"/>
    <s v="Kiara Joshi"/>
    <x v="1"/>
    <x v="5"/>
    <x v="4"/>
    <x v="0"/>
    <x v="0"/>
    <x v="3"/>
    <x v="159"/>
    <x v="7"/>
    <n v="0"/>
    <x v="188"/>
    <x v="4"/>
  </r>
  <r>
    <x v="189"/>
    <x v="168"/>
    <x v="189"/>
    <x v="134"/>
    <s v="Arjun Joshi"/>
    <x v="1"/>
    <x v="4"/>
    <x v="3"/>
    <x v="1"/>
    <x v="1"/>
    <x v="12"/>
    <x v="160"/>
    <x v="6"/>
    <n v="0.1"/>
    <x v="189"/>
    <x v="3"/>
  </r>
  <r>
    <x v="190"/>
    <x v="169"/>
    <x v="190"/>
    <x v="135"/>
    <s v="Kabir Trivedi"/>
    <x v="2"/>
    <x v="7"/>
    <x v="4"/>
    <x v="0"/>
    <x v="3"/>
    <x v="17"/>
    <x v="110"/>
    <x v="4"/>
    <n v="0.05"/>
    <x v="190"/>
    <x v="4"/>
  </r>
  <r>
    <x v="191"/>
    <x v="24"/>
    <x v="191"/>
    <x v="136"/>
    <s v="Anaya Dave"/>
    <x v="0"/>
    <x v="10"/>
    <x v="0"/>
    <x v="0"/>
    <x v="1"/>
    <x v="9"/>
    <x v="161"/>
    <x v="3"/>
    <n v="0.15"/>
    <x v="191"/>
    <x v="3"/>
  </r>
  <r>
    <x v="192"/>
    <x v="170"/>
    <x v="192"/>
    <x v="137"/>
    <s v="Fatima Shah"/>
    <x v="0"/>
    <x v="0"/>
    <x v="0"/>
    <x v="0"/>
    <x v="1"/>
    <x v="1"/>
    <x v="162"/>
    <x v="1"/>
    <n v="0"/>
    <x v="192"/>
    <x v="2"/>
  </r>
  <r>
    <x v="193"/>
    <x v="171"/>
    <x v="193"/>
    <x v="9"/>
    <s v="Sara Trivedi"/>
    <x v="2"/>
    <x v="9"/>
    <x v="6"/>
    <x v="4"/>
    <x v="1"/>
    <x v="12"/>
    <x v="44"/>
    <x v="7"/>
    <n v="0.1"/>
    <x v="193"/>
    <x v="1"/>
  </r>
  <r>
    <x v="194"/>
    <x v="172"/>
    <x v="194"/>
    <x v="138"/>
    <s v="Isha Sheikh"/>
    <x v="1"/>
    <x v="1"/>
    <x v="0"/>
    <x v="0"/>
    <x v="1"/>
    <x v="9"/>
    <x v="163"/>
    <x v="1"/>
    <n v="0"/>
    <x v="194"/>
    <x v="0"/>
  </r>
  <r>
    <x v="195"/>
    <x v="173"/>
    <x v="195"/>
    <x v="82"/>
    <s v="Aditya Joshi"/>
    <x v="2"/>
    <x v="8"/>
    <x v="0"/>
    <x v="0"/>
    <x v="0"/>
    <x v="11"/>
    <x v="84"/>
    <x v="1"/>
    <n v="0.05"/>
    <x v="195"/>
    <x v="3"/>
  </r>
  <r>
    <x v="196"/>
    <x v="174"/>
    <x v="196"/>
    <x v="139"/>
    <s v="Aditya Mehta"/>
    <x v="0"/>
    <x v="9"/>
    <x v="6"/>
    <x v="4"/>
    <x v="1"/>
    <x v="9"/>
    <x v="64"/>
    <x v="7"/>
    <n v="0.05"/>
    <x v="196"/>
    <x v="0"/>
  </r>
  <r>
    <x v="197"/>
    <x v="175"/>
    <x v="197"/>
    <x v="9"/>
    <s v="Reyansh Mehta"/>
    <x v="0"/>
    <x v="4"/>
    <x v="3"/>
    <x v="1"/>
    <x v="1"/>
    <x v="18"/>
    <x v="164"/>
    <x v="6"/>
    <n v="0.05"/>
    <x v="197"/>
    <x v="0"/>
  </r>
  <r>
    <x v="198"/>
    <x v="176"/>
    <x v="198"/>
    <x v="136"/>
    <s v="Fatima Trivedi"/>
    <x v="1"/>
    <x v="11"/>
    <x v="7"/>
    <x v="3"/>
    <x v="0"/>
    <x v="11"/>
    <x v="165"/>
    <x v="2"/>
    <n v="0.2"/>
    <x v="198"/>
    <x v="1"/>
  </r>
  <r>
    <x v="199"/>
    <x v="177"/>
    <x v="199"/>
    <x v="16"/>
    <s v="Aarav Joshi"/>
    <x v="0"/>
    <x v="10"/>
    <x v="0"/>
    <x v="0"/>
    <x v="3"/>
    <x v="17"/>
    <x v="166"/>
    <x v="6"/>
    <n v="0.05"/>
    <x v="199"/>
    <x v="4"/>
  </r>
  <r>
    <x v="200"/>
    <x v="178"/>
    <x v="200"/>
    <x v="102"/>
    <s v="Sara Verma"/>
    <x v="1"/>
    <x v="0"/>
    <x v="0"/>
    <x v="0"/>
    <x v="2"/>
    <x v="4"/>
    <x v="30"/>
    <x v="3"/>
    <n v="0"/>
    <x v="200"/>
    <x v="4"/>
  </r>
  <r>
    <x v="201"/>
    <x v="179"/>
    <x v="201"/>
    <x v="123"/>
    <s v="Zoya Panjwani"/>
    <x v="0"/>
    <x v="10"/>
    <x v="0"/>
    <x v="0"/>
    <x v="1"/>
    <x v="1"/>
    <x v="167"/>
    <x v="7"/>
    <n v="0"/>
    <x v="201"/>
    <x v="3"/>
  </r>
  <r>
    <x v="202"/>
    <x v="89"/>
    <x v="202"/>
    <x v="45"/>
    <s v="Zoya Shah"/>
    <x v="0"/>
    <x v="2"/>
    <x v="1"/>
    <x v="1"/>
    <x v="1"/>
    <x v="1"/>
    <x v="168"/>
    <x v="5"/>
    <n v="0.15"/>
    <x v="202"/>
    <x v="1"/>
  </r>
  <r>
    <x v="203"/>
    <x v="180"/>
    <x v="203"/>
    <x v="35"/>
    <s v="Rohan Shah"/>
    <x v="0"/>
    <x v="11"/>
    <x v="7"/>
    <x v="3"/>
    <x v="1"/>
    <x v="9"/>
    <x v="148"/>
    <x v="4"/>
    <n v="0"/>
    <x v="203"/>
    <x v="2"/>
  </r>
  <r>
    <x v="204"/>
    <x v="144"/>
    <x v="204"/>
    <x v="140"/>
    <s v="Aanya Khan"/>
    <x v="0"/>
    <x v="6"/>
    <x v="5"/>
    <x v="3"/>
    <x v="2"/>
    <x v="5"/>
    <x v="169"/>
    <x v="7"/>
    <n v="0"/>
    <x v="204"/>
    <x v="1"/>
  </r>
  <r>
    <x v="205"/>
    <x v="181"/>
    <x v="205"/>
    <x v="8"/>
    <s v="Reyansh Dave"/>
    <x v="1"/>
    <x v="12"/>
    <x v="8"/>
    <x v="1"/>
    <x v="0"/>
    <x v="11"/>
    <x v="170"/>
    <x v="2"/>
    <n v="0.05"/>
    <x v="205"/>
    <x v="1"/>
  </r>
  <r>
    <x v="206"/>
    <x v="23"/>
    <x v="206"/>
    <x v="141"/>
    <s v="Diya Joshi"/>
    <x v="2"/>
    <x v="4"/>
    <x v="3"/>
    <x v="1"/>
    <x v="2"/>
    <x v="5"/>
    <x v="171"/>
    <x v="1"/>
    <n v="0"/>
    <x v="206"/>
    <x v="2"/>
  </r>
  <r>
    <x v="207"/>
    <x v="182"/>
    <x v="207"/>
    <x v="142"/>
    <s v="Krish Panjwani"/>
    <x v="1"/>
    <x v="2"/>
    <x v="1"/>
    <x v="1"/>
    <x v="3"/>
    <x v="17"/>
    <x v="172"/>
    <x v="2"/>
    <n v="0.1"/>
    <x v="207"/>
    <x v="3"/>
  </r>
  <r>
    <x v="208"/>
    <x v="183"/>
    <x v="208"/>
    <x v="143"/>
    <s v="Myra Rao"/>
    <x v="1"/>
    <x v="3"/>
    <x v="2"/>
    <x v="2"/>
    <x v="0"/>
    <x v="11"/>
    <x v="173"/>
    <x v="4"/>
    <n v="0.15"/>
    <x v="208"/>
    <x v="1"/>
  </r>
  <r>
    <x v="209"/>
    <x v="184"/>
    <x v="209"/>
    <x v="144"/>
    <s v="Vivaan Joshi"/>
    <x v="1"/>
    <x v="12"/>
    <x v="8"/>
    <x v="1"/>
    <x v="3"/>
    <x v="7"/>
    <x v="174"/>
    <x v="2"/>
    <n v="0"/>
    <x v="209"/>
    <x v="1"/>
  </r>
  <r>
    <x v="210"/>
    <x v="1"/>
    <x v="210"/>
    <x v="24"/>
    <s v="Meera Patel"/>
    <x v="2"/>
    <x v="12"/>
    <x v="8"/>
    <x v="1"/>
    <x v="3"/>
    <x v="7"/>
    <x v="31"/>
    <x v="1"/>
    <n v="0"/>
    <x v="210"/>
    <x v="3"/>
  </r>
  <r>
    <x v="211"/>
    <x v="185"/>
    <x v="211"/>
    <x v="18"/>
    <s v="Reyansh Iyer"/>
    <x v="1"/>
    <x v="3"/>
    <x v="2"/>
    <x v="2"/>
    <x v="2"/>
    <x v="2"/>
    <x v="175"/>
    <x v="1"/>
    <n v="0.1"/>
    <x v="211"/>
    <x v="2"/>
  </r>
  <r>
    <x v="212"/>
    <x v="186"/>
    <x v="212"/>
    <x v="145"/>
    <s v="Dev Desai"/>
    <x v="2"/>
    <x v="10"/>
    <x v="0"/>
    <x v="0"/>
    <x v="0"/>
    <x v="3"/>
    <x v="97"/>
    <x v="6"/>
    <n v="0"/>
    <x v="212"/>
    <x v="4"/>
  </r>
  <r>
    <x v="213"/>
    <x v="92"/>
    <x v="213"/>
    <x v="146"/>
    <s v="Krish Iyer"/>
    <x v="0"/>
    <x v="11"/>
    <x v="7"/>
    <x v="3"/>
    <x v="1"/>
    <x v="12"/>
    <x v="103"/>
    <x v="7"/>
    <n v="0"/>
    <x v="213"/>
    <x v="4"/>
  </r>
  <r>
    <x v="214"/>
    <x v="187"/>
    <x v="214"/>
    <x v="128"/>
    <s v="Myra Rao"/>
    <x v="1"/>
    <x v="7"/>
    <x v="4"/>
    <x v="0"/>
    <x v="1"/>
    <x v="15"/>
    <x v="138"/>
    <x v="2"/>
    <n v="0"/>
    <x v="214"/>
    <x v="4"/>
  </r>
  <r>
    <x v="215"/>
    <x v="188"/>
    <x v="215"/>
    <x v="47"/>
    <s v="Krish Desai"/>
    <x v="2"/>
    <x v="8"/>
    <x v="0"/>
    <x v="0"/>
    <x v="3"/>
    <x v="16"/>
    <x v="176"/>
    <x v="2"/>
    <n v="0.1"/>
    <x v="215"/>
    <x v="2"/>
  </r>
  <r>
    <x v="216"/>
    <x v="48"/>
    <x v="216"/>
    <x v="86"/>
    <s v="Diya Joshi"/>
    <x v="2"/>
    <x v="1"/>
    <x v="0"/>
    <x v="0"/>
    <x v="3"/>
    <x v="17"/>
    <x v="57"/>
    <x v="5"/>
    <n v="0.15"/>
    <x v="216"/>
    <x v="3"/>
  </r>
  <r>
    <x v="217"/>
    <x v="189"/>
    <x v="217"/>
    <x v="142"/>
    <s v="Aditya Joshi"/>
    <x v="1"/>
    <x v="3"/>
    <x v="2"/>
    <x v="2"/>
    <x v="2"/>
    <x v="2"/>
    <x v="116"/>
    <x v="0"/>
    <n v="0.1"/>
    <x v="217"/>
    <x v="2"/>
  </r>
  <r>
    <x v="218"/>
    <x v="190"/>
    <x v="218"/>
    <x v="147"/>
    <s v="Krish Sheikh"/>
    <x v="1"/>
    <x v="4"/>
    <x v="3"/>
    <x v="1"/>
    <x v="2"/>
    <x v="4"/>
    <x v="16"/>
    <x v="0"/>
    <n v="0.2"/>
    <x v="218"/>
    <x v="3"/>
  </r>
  <r>
    <x v="219"/>
    <x v="191"/>
    <x v="219"/>
    <x v="140"/>
    <s v="Fatima Khan"/>
    <x v="1"/>
    <x v="13"/>
    <x v="0"/>
    <x v="0"/>
    <x v="3"/>
    <x v="6"/>
    <x v="177"/>
    <x v="6"/>
    <n v="0.05"/>
    <x v="219"/>
    <x v="0"/>
  </r>
  <r>
    <x v="220"/>
    <x v="192"/>
    <x v="220"/>
    <x v="148"/>
    <s v="Myra Verma"/>
    <x v="1"/>
    <x v="5"/>
    <x v="4"/>
    <x v="0"/>
    <x v="1"/>
    <x v="15"/>
    <x v="178"/>
    <x v="6"/>
    <n v="0.1"/>
    <x v="220"/>
    <x v="1"/>
  </r>
  <r>
    <x v="221"/>
    <x v="177"/>
    <x v="221"/>
    <x v="74"/>
    <s v="Yusuf Rao"/>
    <x v="1"/>
    <x v="9"/>
    <x v="6"/>
    <x v="4"/>
    <x v="3"/>
    <x v="17"/>
    <x v="65"/>
    <x v="4"/>
    <n v="0"/>
    <x v="221"/>
    <x v="0"/>
  </r>
  <r>
    <x v="222"/>
    <x v="193"/>
    <x v="222"/>
    <x v="121"/>
    <s v="Rohan Mehta"/>
    <x v="0"/>
    <x v="12"/>
    <x v="8"/>
    <x v="1"/>
    <x v="0"/>
    <x v="8"/>
    <x v="179"/>
    <x v="7"/>
    <n v="0.2"/>
    <x v="222"/>
    <x v="4"/>
  </r>
  <r>
    <x v="223"/>
    <x v="194"/>
    <x v="223"/>
    <x v="149"/>
    <s v="Kabir Rao"/>
    <x v="0"/>
    <x v="4"/>
    <x v="3"/>
    <x v="1"/>
    <x v="3"/>
    <x v="13"/>
    <x v="180"/>
    <x v="1"/>
    <n v="0.15"/>
    <x v="223"/>
    <x v="1"/>
  </r>
  <r>
    <x v="224"/>
    <x v="195"/>
    <x v="224"/>
    <x v="2"/>
    <s v="Dev Khan"/>
    <x v="2"/>
    <x v="7"/>
    <x v="4"/>
    <x v="0"/>
    <x v="1"/>
    <x v="1"/>
    <x v="181"/>
    <x v="5"/>
    <n v="0.2"/>
    <x v="224"/>
    <x v="1"/>
  </r>
  <r>
    <x v="225"/>
    <x v="196"/>
    <x v="225"/>
    <x v="72"/>
    <s v="Aarav Patel"/>
    <x v="0"/>
    <x v="12"/>
    <x v="8"/>
    <x v="1"/>
    <x v="3"/>
    <x v="6"/>
    <x v="76"/>
    <x v="1"/>
    <n v="0"/>
    <x v="225"/>
    <x v="4"/>
  </r>
  <r>
    <x v="226"/>
    <x v="197"/>
    <x v="226"/>
    <x v="23"/>
    <s v="Reyansh Dave"/>
    <x v="0"/>
    <x v="0"/>
    <x v="0"/>
    <x v="0"/>
    <x v="3"/>
    <x v="13"/>
    <x v="182"/>
    <x v="5"/>
    <n v="0"/>
    <x v="226"/>
    <x v="4"/>
  </r>
  <r>
    <x v="227"/>
    <x v="198"/>
    <x v="227"/>
    <x v="150"/>
    <s v="Myra Joshi"/>
    <x v="0"/>
    <x v="13"/>
    <x v="0"/>
    <x v="0"/>
    <x v="3"/>
    <x v="16"/>
    <x v="183"/>
    <x v="6"/>
    <n v="0.1"/>
    <x v="227"/>
    <x v="1"/>
  </r>
  <r>
    <x v="228"/>
    <x v="199"/>
    <x v="228"/>
    <x v="128"/>
    <s v="Diya Kapoor"/>
    <x v="1"/>
    <x v="12"/>
    <x v="8"/>
    <x v="1"/>
    <x v="2"/>
    <x v="10"/>
    <x v="184"/>
    <x v="2"/>
    <n v="0.1"/>
    <x v="228"/>
    <x v="2"/>
  </r>
  <r>
    <x v="229"/>
    <x v="200"/>
    <x v="229"/>
    <x v="78"/>
    <s v="Reyansh Sheikh"/>
    <x v="0"/>
    <x v="3"/>
    <x v="2"/>
    <x v="2"/>
    <x v="3"/>
    <x v="17"/>
    <x v="57"/>
    <x v="5"/>
    <n v="0.15"/>
    <x v="229"/>
    <x v="3"/>
  </r>
  <r>
    <x v="230"/>
    <x v="201"/>
    <x v="230"/>
    <x v="151"/>
    <s v="Aarav Desai"/>
    <x v="0"/>
    <x v="0"/>
    <x v="0"/>
    <x v="0"/>
    <x v="2"/>
    <x v="14"/>
    <x v="73"/>
    <x v="1"/>
    <n v="0"/>
    <x v="230"/>
    <x v="2"/>
  </r>
  <r>
    <x v="231"/>
    <x v="202"/>
    <x v="231"/>
    <x v="22"/>
    <s v="Krish Kapoor"/>
    <x v="0"/>
    <x v="4"/>
    <x v="3"/>
    <x v="1"/>
    <x v="3"/>
    <x v="16"/>
    <x v="185"/>
    <x v="3"/>
    <n v="0"/>
    <x v="231"/>
    <x v="4"/>
  </r>
  <r>
    <x v="232"/>
    <x v="91"/>
    <x v="232"/>
    <x v="108"/>
    <s v="Kabir Trivedi"/>
    <x v="0"/>
    <x v="4"/>
    <x v="3"/>
    <x v="1"/>
    <x v="1"/>
    <x v="18"/>
    <x v="44"/>
    <x v="6"/>
    <n v="0"/>
    <x v="232"/>
    <x v="3"/>
  </r>
  <r>
    <x v="233"/>
    <x v="203"/>
    <x v="233"/>
    <x v="152"/>
    <s v="Kiara Panjwani"/>
    <x v="2"/>
    <x v="7"/>
    <x v="4"/>
    <x v="0"/>
    <x v="0"/>
    <x v="11"/>
    <x v="186"/>
    <x v="3"/>
    <n v="0.1"/>
    <x v="233"/>
    <x v="2"/>
  </r>
  <r>
    <x v="234"/>
    <x v="11"/>
    <x v="234"/>
    <x v="39"/>
    <s v="Arjun Mehta"/>
    <x v="2"/>
    <x v="12"/>
    <x v="8"/>
    <x v="1"/>
    <x v="3"/>
    <x v="16"/>
    <x v="185"/>
    <x v="3"/>
    <n v="0"/>
    <x v="234"/>
    <x v="2"/>
  </r>
  <r>
    <x v="235"/>
    <x v="204"/>
    <x v="235"/>
    <x v="153"/>
    <s v="Zoya Iyer"/>
    <x v="2"/>
    <x v="5"/>
    <x v="4"/>
    <x v="0"/>
    <x v="0"/>
    <x v="11"/>
    <x v="187"/>
    <x v="5"/>
    <n v="0"/>
    <x v="235"/>
    <x v="1"/>
  </r>
  <r>
    <x v="236"/>
    <x v="205"/>
    <x v="236"/>
    <x v="100"/>
    <s v="Kiara Shah"/>
    <x v="0"/>
    <x v="8"/>
    <x v="0"/>
    <x v="0"/>
    <x v="3"/>
    <x v="6"/>
    <x v="59"/>
    <x v="2"/>
    <n v="0"/>
    <x v="236"/>
    <x v="3"/>
  </r>
  <r>
    <x v="237"/>
    <x v="206"/>
    <x v="237"/>
    <x v="39"/>
    <s v="Kiara Sheikh"/>
    <x v="1"/>
    <x v="3"/>
    <x v="2"/>
    <x v="2"/>
    <x v="3"/>
    <x v="16"/>
    <x v="188"/>
    <x v="3"/>
    <n v="0.1"/>
    <x v="237"/>
    <x v="3"/>
  </r>
  <r>
    <x v="238"/>
    <x v="207"/>
    <x v="238"/>
    <x v="154"/>
    <s v="Vivaan Shah"/>
    <x v="1"/>
    <x v="12"/>
    <x v="8"/>
    <x v="1"/>
    <x v="3"/>
    <x v="13"/>
    <x v="189"/>
    <x v="4"/>
    <n v="0.05"/>
    <x v="238"/>
    <x v="0"/>
  </r>
  <r>
    <x v="239"/>
    <x v="208"/>
    <x v="239"/>
    <x v="36"/>
    <s v="Fatima Dave"/>
    <x v="0"/>
    <x v="13"/>
    <x v="0"/>
    <x v="0"/>
    <x v="3"/>
    <x v="16"/>
    <x v="190"/>
    <x v="6"/>
    <n v="0.05"/>
    <x v="239"/>
    <x v="2"/>
  </r>
  <r>
    <x v="240"/>
    <x v="27"/>
    <x v="240"/>
    <x v="74"/>
    <s v="Aditya Khan"/>
    <x v="2"/>
    <x v="8"/>
    <x v="0"/>
    <x v="0"/>
    <x v="0"/>
    <x v="11"/>
    <x v="170"/>
    <x v="2"/>
    <n v="0.05"/>
    <x v="240"/>
    <x v="0"/>
  </r>
  <r>
    <x v="241"/>
    <x v="209"/>
    <x v="241"/>
    <x v="155"/>
    <s v="Fatima Trivedi"/>
    <x v="1"/>
    <x v="3"/>
    <x v="2"/>
    <x v="2"/>
    <x v="1"/>
    <x v="15"/>
    <x v="191"/>
    <x v="6"/>
    <n v="0.15"/>
    <x v="241"/>
    <x v="0"/>
  </r>
  <r>
    <x v="242"/>
    <x v="210"/>
    <x v="242"/>
    <x v="156"/>
    <s v="Krish Trivedi"/>
    <x v="1"/>
    <x v="13"/>
    <x v="0"/>
    <x v="0"/>
    <x v="3"/>
    <x v="7"/>
    <x v="192"/>
    <x v="0"/>
    <n v="0.05"/>
    <x v="242"/>
    <x v="3"/>
  </r>
  <r>
    <x v="243"/>
    <x v="54"/>
    <x v="243"/>
    <x v="157"/>
    <s v="Reyansh Khan"/>
    <x v="2"/>
    <x v="11"/>
    <x v="7"/>
    <x v="3"/>
    <x v="1"/>
    <x v="9"/>
    <x v="193"/>
    <x v="1"/>
    <n v="0.2"/>
    <x v="243"/>
    <x v="1"/>
  </r>
  <r>
    <x v="244"/>
    <x v="211"/>
    <x v="244"/>
    <x v="65"/>
    <s v="Vivaan Verma"/>
    <x v="2"/>
    <x v="2"/>
    <x v="1"/>
    <x v="1"/>
    <x v="3"/>
    <x v="6"/>
    <x v="194"/>
    <x v="4"/>
    <n v="0.2"/>
    <x v="244"/>
    <x v="0"/>
  </r>
  <r>
    <x v="245"/>
    <x v="212"/>
    <x v="245"/>
    <x v="131"/>
    <s v="Aanya Soni"/>
    <x v="1"/>
    <x v="14"/>
    <x v="9"/>
    <x v="3"/>
    <x v="3"/>
    <x v="7"/>
    <x v="46"/>
    <x v="2"/>
    <n v="0.15"/>
    <x v="245"/>
    <x v="4"/>
  </r>
  <r>
    <x v="246"/>
    <x v="213"/>
    <x v="246"/>
    <x v="158"/>
    <s v="Meera Patel"/>
    <x v="0"/>
    <x v="11"/>
    <x v="7"/>
    <x v="3"/>
    <x v="2"/>
    <x v="10"/>
    <x v="195"/>
    <x v="0"/>
    <n v="0.2"/>
    <x v="246"/>
    <x v="0"/>
  </r>
  <r>
    <x v="247"/>
    <x v="126"/>
    <x v="247"/>
    <x v="159"/>
    <s v="Dev Soni"/>
    <x v="0"/>
    <x v="5"/>
    <x v="4"/>
    <x v="0"/>
    <x v="3"/>
    <x v="16"/>
    <x v="21"/>
    <x v="1"/>
    <n v="0"/>
    <x v="247"/>
    <x v="3"/>
  </r>
  <r>
    <x v="248"/>
    <x v="214"/>
    <x v="248"/>
    <x v="110"/>
    <s v="Anaya Joshi"/>
    <x v="2"/>
    <x v="5"/>
    <x v="4"/>
    <x v="0"/>
    <x v="3"/>
    <x v="6"/>
    <x v="8"/>
    <x v="4"/>
    <n v="0.05"/>
    <x v="248"/>
    <x v="1"/>
  </r>
  <r>
    <x v="249"/>
    <x v="38"/>
    <x v="249"/>
    <x v="147"/>
    <s v="Dev Khan"/>
    <x v="2"/>
    <x v="4"/>
    <x v="3"/>
    <x v="1"/>
    <x v="1"/>
    <x v="15"/>
    <x v="196"/>
    <x v="3"/>
    <n v="0.05"/>
    <x v="249"/>
    <x v="0"/>
  </r>
  <r>
    <x v="250"/>
    <x v="3"/>
    <x v="250"/>
    <x v="157"/>
    <s v="Anaya Patel"/>
    <x v="2"/>
    <x v="4"/>
    <x v="3"/>
    <x v="1"/>
    <x v="3"/>
    <x v="17"/>
    <x v="68"/>
    <x v="5"/>
    <n v="0.05"/>
    <x v="250"/>
    <x v="1"/>
  </r>
  <r>
    <x v="251"/>
    <x v="215"/>
    <x v="251"/>
    <x v="91"/>
    <s v="Aanya Khan"/>
    <x v="1"/>
    <x v="8"/>
    <x v="0"/>
    <x v="0"/>
    <x v="1"/>
    <x v="9"/>
    <x v="197"/>
    <x v="4"/>
    <n v="0.15"/>
    <x v="251"/>
    <x v="0"/>
  </r>
  <r>
    <x v="252"/>
    <x v="216"/>
    <x v="252"/>
    <x v="99"/>
    <s v="Rohan Dave"/>
    <x v="2"/>
    <x v="8"/>
    <x v="0"/>
    <x v="0"/>
    <x v="3"/>
    <x v="6"/>
    <x v="43"/>
    <x v="1"/>
    <n v="0.2"/>
    <x v="252"/>
    <x v="0"/>
  </r>
  <r>
    <x v="253"/>
    <x v="217"/>
    <x v="253"/>
    <x v="160"/>
    <s v="Kiara Mehta"/>
    <x v="2"/>
    <x v="10"/>
    <x v="0"/>
    <x v="0"/>
    <x v="1"/>
    <x v="15"/>
    <x v="198"/>
    <x v="5"/>
    <n v="0.15"/>
    <x v="253"/>
    <x v="4"/>
  </r>
  <r>
    <x v="254"/>
    <x v="218"/>
    <x v="254"/>
    <x v="161"/>
    <s v="Yusuf Shah"/>
    <x v="2"/>
    <x v="1"/>
    <x v="0"/>
    <x v="0"/>
    <x v="0"/>
    <x v="19"/>
    <x v="199"/>
    <x v="6"/>
    <n v="0.15"/>
    <x v="254"/>
    <x v="4"/>
  </r>
  <r>
    <x v="255"/>
    <x v="219"/>
    <x v="255"/>
    <x v="68"/>
    <s v="Myra Joshi"/>
    <x v="1"/>
    <x v="14"/>
    <x v="9"/>
    <x v="3"/>
    <x v="1"/>
    <x v="15"/>
    <x v="200"/>
    <x v="5"/>
    <n v="0.2"/>
    <x v="255"/>
    <x v="2"/>
  </r>
  <r>
    <x v="256"/>
    <x v="13"/>
    <x v="256"/>
    <x v="162"/>
    <s v="Fatima Kapoor"/>
    <x v="0"/>
    <x v="8"/>
    <x v="0"/>
    <x v="0"/>
    <x v="3"/>
    <x v="6"/>
    <x v="201"/>
    <x v="4"/>
    <n v="0.15"/>
    <x v="256"/>
    <x v="2"/>
  </r>
  <r>
    <x v="257"/>
    <x v="61"/>
    <x v="257"/>
    <x v="163"/>
    <s v="Diya Rao"/>
    <x v="2"/>
    <x v="6"/>
    <x v="5"/>
    <x v="3"/>
    <x v="0"/>
    <x v="0"/>
    <x v="202"/>
    <x v="4"/>
    <n v="0.05"/>
    <x v="257"/>
    <x v="1"/>
  </r>
  <r>
    <x v="258"/>
    <x v="220"/>
    <x v="258"/>
    <x v="164"/>
    <s v="Rohan Khan"/>
    <x v="1"/>
    <x v="10"/>
    <x v="0"/>
    <x v="0"/>
    <x v="3"/>
    <x v="7"/>
    <x v="203"/>
    <x v="7"/>
    <n v="0.1"/>
    <x v="258"/>
    <x v="1"/>
  </r>
  <r>
    <x v="259"/>
    <x v="221"/>
    <x v="259"/>
    <x v="44"/>
    <s v="Isha Iyer"/>
    <x v="2"/>
    <x v="2"/>
    <x v="1"/>
    <x v="1"/>
    <x v="1"/>
    <x v="15"/>
    <x v="204"/>
    <x v="1"/>
    <n v="0.05"/>
    <x v="259"/>
    <x v="3"/>
  </r>
  <r>
    <x v="260"/>
    <x v="29"/>
    <x v="260"/>
    <x v="116"/>
    <s v="Kiara Rao"/>
    <x v="2"/>
    <x v="2"/>
    <x v="1"/>
    <x v="1"/>
    <x v="3"/>
    <x v="7"/>
    <x v="205"/>
    <x v="5"/>
    <n v="0.15"/>
    <x v="260"/>
    <x v="3"/>
  </r>
  <r>
    <x v="261"/>
    <x v="222"/>
    <x v="261"/>
    <x v="107"/>
    <s v="Myra Joshi"/>
    <x v="1"/>
    <x v="0"/>
    <x v="0"/>
    <x v="0"/>
    <x v="3"/>
    <x v="7"/>
    <x v="206"/>
    <x v="0"/>
    <n v="0.1"/>
    <x v="261"/>
    <x v="0"/>
  </r>
  <r>
    <x v="262"/>
    <x v="223"/>
    <x v="262"/>
    <x v="46"/>
    <s v="Yusuf Verma"/>
    <x v="2"/>
    <x v="3"/>
    <x v="2"/>
    <x v="2"/>
    <x v="2"/>
    <x v="4"/>
    <x v="21"/>
    <x v="5"/>
    <n v="0"/>
    <x v="262"/>
    <x v="3"/>
  </r>
  <r>
    <x v="263"/>
    <x v="224"/>
    <x v="263"/>
    <x v="14"/>
    <s v="Arjun Dave"/>
    <x v="0"/>
    <x v="8"/>
    <x v="0"/>
    <x v="0"/>
    <x v="1"/>
    <x v="1"/>
    <x v="207"/>
    <x v="0"/>
    <n v="0"/>
    <x v="263"/>
    <x v="2"/>
  </r>
  <r>
    <x v="264"/>
    <x v="225"/>
    <x v="264"/>
    <x v="0"/>
    <s v="Anaya Mehta"/>
    <x v="2"/>
    <x v="13"/>
    <x v="0"/>
    <x v="0"/>
    <x v="0"/>
    <x v="3"/>
    <x v="208"/>
    <x v="3"/>
    <n v="0.15"/>
    <x v="264"/>
    <x v="1"/>
  </r>
  <r>
    <x v="265"/>
    <x v="64"/>
    <x v="265"/>
    <x v="107"/>
    <s v="Myra Iyer"/>
    <x v="0"/>
    <x v="12"/>
    <x v="8"/>
    <x v="1"/>
    <x v="1"/>
    <x v="1"/>
    <x v="207"/>
    <x v="0"/>
    <n v="0"/>
    <x v="265"/>
    <x v="0"/>
  </r>
  <r>
    <x v="266"/>
    <x v="226"/>
    <x v="266"/>
    <x v="112"/>
    <s v="Kabir Panjwani"/>
    <x v="0"/>
    <x v="14"/>
    <x v="9"/>
    <x v="3"/>
    <x v="0"/>
    <x v="19"/>
    <x v="209"/>
    <x v="2"/>
    <n v="0.1"/>
    <x v="266"/>
    <x v="4"/>
  </r>
  <r>
    <x v="267"/>
    <x v="227"/>
    <x v="267"/>
    <x v="73"/>
    <s v="Rohan Kapoor"/>
    <x v="0"/>
    <x v="6"/>
    <x v="5"/>
    <x v="3"/>
    <x v="3"/>
    <x v="17"/>
    <x v="196"/>
    <x v="1"/>
    <n v="0.2"/>
    <x v="267"/>
    <x v="4"/>
  </r>
  <r>
    <x v="268"/>
    <x v="228"/>
    <x v="268"/>
    <x v="64"/>
    <s v="Sara Trivedi"/>
    <x v="0"/>
    <x v="2"/>
    <x v="1"/>
    <x v="1"/>
    <x v="3"/>
    <x v="13"/>
    <x v="58"/>
    <x v="2"/>
    <n v="0"/>
    <x v="268"/>
    <x v="3"/>
  </r>
  <r>
    <x v="269"/>
    <x v="229"/>
    <x v="269"/>
    <x v="130"/>
    <s v="Rohan Patel"/>
    <x v="1"/>
    <x v="3"/>
    <x v="2"/>
    <x v="2"/>
    <x v="3"/>
    <x v="17"/>
    <x v="143"/>
    <x v="1"/>
    <n v="0"/>
    <x v="269"/>
    <x v="2"/>
  </r>
  <r>
    <x v="270"/>
    <x v="230"/>
    <x v="270"/>
    <x v="160"/>
    <s v="Arjun Shah"/>
    <x v="0"/>
    <x v="0"/>
    <x v="0"/>
    <x v="0"/>
    <x v="3"/>
    <x v="13"/>
    <x v="80"/>
    <x v="4"/>
    <n v="0.2"/>
    <x v="270"/>
    <x v="4"/>
  </r>
  <r>
    <x v="271"/>
    <x v="231"/>
    <x v="271"/>
    <x v="93"/>
    <s v="Myra Panjwani"/>
    <x v="0"/>
    <x v="5"/>
    <x v="4"/>
    <x v="0"/>
    <x v="1"/>
    <x v="18"/>
    <x v="210"/>
    <x v="2"/>
    <n v="0.2"/>
    <x v="271"/>
    <x v="1"/>
  </r>
  <r>
    <x v="272"/>
    <x v="232"/>
    <x v="272"/>
    <x v="119"/>
    <s v="Rohan Patel"/>
    <x v="1"/>
    <x v="0"/>
    <x v="0"/>
    <x v="0"/>
    <x v="1"/>
    <x v="12"/>
    <x v="211"/>
    <x v="5"/>
    <n v="0"/>
    <x v="272"/>
    <x v="4"/>
  </r>
  <r>
    <x v="273"/>
    <x v="233"/>
    <x v="273"/>
    <x v="165"/>
    <s v="Anaya Shah"/>
    <x v="2"/>
    <x v="3"/>
    <x v="2"/>
    <x v="2"/>
    <x v="3"/>
    <x v="13"/>
    <x v="81"/>
    <x v="7"/>
    <n v="0"/>
    <x v="273"/>
    <x v="4"/>
  </r>
  <r>
    <x v="274"/>
    <x v="34"/>
    <x v="274"/>
    <x v="77"/>
    <s v="Meera Kapoor"/>
    <x v="1"/>
    <x v="8"/>
    <x v="0"/>
    <x v="0"/>
    <x v="3"/>
    <x v="13"/>
    <x v="212"/>
    <x v="4"/>
    <n v="0"/>
    <x v="274"/>
    <x v="0"/>
  </r>
  <r>
    <x v="275"/>
    <x v="234"/>
    <x v="275"/>
    <x v="24"/>
    <s v="Vivaan Iyer"/>
    <x v="1"/>
    <x v="10"/>
    <x v="0"/>
    <x v="0"/>
    <x v="1"/>
    <x v="12"/>
    <x v="103"/>
    <x v="7"/>
    <n v="0"/>
    <x v="275"/>
    <x v="3"/>
  </r>
  <r>
    <x v="276"/>
    <x v="235"/>
    <x v="276"/>
    <x v="39"/>
    <s v="Myra Soni"/>
    <x v="0"/>
    <x v="5"/>
    <x v="4"/>
    <x v="0"/>
    <x v="3"/>
    <x v="17"/>
    <x v="65"/>
    <x v="4"/>
    <n v="0"/>
    <x v="276"/>
    <x v="3"/>
  </r>
  <r>
    <x v="277"/>
    <x v="236"/>
    <x v="277"/>
    <x v="86"/>
    <s v="Krish Joshi"/>
    <x v="0"/>
    <x v="13"/>
    <x v="0"/>
    <x v="0"/>
    <x v="2"/>
    <x v="14"/>
    <x v="213"/>
    <x v="0"/>
    <n v="0.15"/>
    <x v="277"/>
    <x v="1"/>
  </r>
  <r>
    <x v="278"/>
    <x v="237"/>
    <x v="278"/>
    <x v="166"/>
    <s v="Kabir Soni"/>
    <x v="1"/>
    <x v="10"/>
    <x v="0"/>
    <x v="0"/>
    <x v="3"/>
    <x v="6"/>
    <x v="214"/>
    <x v="5"/>
    <n v="0"/>
    <x v="278"/>
    <x v="4"/>
  </r>
  <r>
    <x v="279"/>
    <x v="159"/>
    <x v="279"/>
    <x v="167"/>
    <s v="Fatima Iyer"/>
    <x v="1"/>
    <x v="8"/>
    <x v="0"/>
    <x v="0"/>
    <x v="3"/>
    <x v="7"/>
    <x v="215"/>
    <x v="2"/>
    <n v="0.05"/>
    <x v="279"/>
    <x v="1"/>
  </r>
  <r>
    <x v="280"/>
    <x v="238"/>
    <x v="280"/>
    <x v="168"/>
    <s v="Dev Joshi"/>
    <x v="0"/>
    <x v="0"/>
    <x v="0"/>
    <x v="0"/>
    <x v="0"/>
    <x v="0"/>
    <x v="216"/>
    <x v="1"/>
    <n v="0"/>
    <x v="280"/>
    <x v="3"/>
  </r>
  <r>
    <x v="281"/>
    <x v="55"/>
    <x v="281"/>
    <x v="169"/>
    <s v="Dev Sheikh"/>
    <x v="1"/>
    <x v="7"/>
    <x v="4"/>
    <x v="0"/>
    <x v="3"/>
    <x v="16"/>
    <x v="217"/>
    <x v="4"/>
    <n v="0.05"/>
    <x v="281"/>
    <x v="2"/>
  </r>
  <r>
    <x v="282"/>
    <x v="239"/>
    <x v="282"/>
    <x v="23"/>
    <s v="Diya Desai"/>
    <x v="1"/>
    <x v="7"/>
    <x v="4"/>
    <x v="0"/>
    <x v="2"/>
    <x v="14"/>
    <x v="218"/>
    <x v="2"/>
    <n v="0.2"/>
    <x v="282"/>
    <x v="0"/>
  </r>
  <r>
    <x v="283"/>
    <x v="38"/>
    <x v="283"/>
    <x v="136"/>
    <s v="Aarav Mehta"/>
    <x v="2"/>
    <x v="14"/>
    <x v="9"/>
    <x v="3"/>
    <x v="2"/>
    <x v="14"/>
    <x v="131"/>
    <x v="4"/>
    <n v="0"/>
    <x v="283"/>
    <x v="4"/>
  </r>
  <r>
    <x v="284"/>
    <x v="240"/>
    <x v="284"/>
    <x v="160"/>
    <s v="Arjun Verma"/>
    <x v="1"/>
    <x v="2"/>
    <x v="1"/>
    <x v="1"/>
    <x v="0"/>
    <x v="0"/>
    <x v="118"/>
    <x v="6"/>
    <n v="0"/>
    <x v="284"/>
    <x v="1"/>
  </r>
  <r>
    <x v="285"/>
    <x v="43"/>
    <x v="285"/>
    <x v="170"/>
    <s v="Kabir Khan"/>
    <x v="2"/>
    <x v="7"/>
    <x v="4"/>
    <x v="0"/>
    <x v="0"/>
    <x v="3"/>
    <x v="219"/>
    <x v="5"/>
    <n v="0.05"/>
    <x v="285"/>
    <x v="3"/>
  </r>
  <r>
    <x v="286"/>
    <x v="241"/>
    <x v="286"/>
    <x v="171"/>
    <s v="Yusuf Kapoor"/>
    <x v="0"/>
    <x v="6"/>
    <x v="5"/>
    <x v="3"/>
    <x v="1"/>
    <x v="15"/>
    <x v="220"/>
    <x v="4"/>
    <n v="0.05"/>
    <x v="286"/>
    <x v="1"/>
  </r>
  <r>
    <x v="287"/>
    <x v="242"/>
    <x v="287"/>
    <x v="5"/>
    <s v="Krish Sheikh"/>
    <x v="1"/>
    <x v="11"/>
    <x v="7"/>
    <x v="3"/>
    <x v="2"/>
    <x v="10"/>
    <x v="17"/>
    <x v="1"/>
    <n v="0"/>
    <x v="287"/>
    <x v="2"/>
  </r>
  <r>
    <x v="288"/>
    <x v="243"/>
    <x v="288"/>
    <x v="36"/>
    <s v="Aditya Joshi"/>
    <x v="1"/>
    <x v="0"/>
    <x v="0"/>
    <x v="0"/>
    <x v="3"/>
    <x v="13"/>
    <x v="221"/>
    <x v="6"/>
    <n v="0"/>
    <x v="288"/>
    <x v="3"/>
  </r>
  <r>
    <x v="289"/>
    <x v="244"/>
    <x v="289"/>
    <x v="135"/>
    <s v="Krish Shah"/>
    <x v="2"/>
    <x v="11"/>
    <x v="7"/>
    <x v="3"/>
    <x v="2"/>
    <x v="2"/>
    <x v="57"/>
    <x v="0"/>
    <n v="0.15"/>
    <x v="289"/>
    <x v="4"/>
  </r>
  <r>
    <x v="290"/>
    <x v="245"/>
    <x v="290"/>
    <x v="172"/>
    <s v="Yusuf Iyer"/>
    <x v="2"/>
    <x v="13"/>
    <x v="0"/>
    <x v="0"/>
    <x v="0"/>
    <x v="11"/>
    <x v="222"/>
    <x v="7"/>
    <n v="0"/>
    <x v="290"/>
    <x v="3"/>
  </r>
  <r>
    <x v="291"/>
    <x v="246"/>
    <x v="291"/>
    <x v="83"/>
    <s v="Aarav Desai"/>
    <x v="0"/>
    <x v="5"/>
    <x v="4"/>
    <x v="0"/>
    <x v="3"/>
    <x v="13"/>
    <x v="144"/>
    <x v="0"/>
    <n v="0"/>
    <x v="291"/>
    <x v="4"/>
  </r>
  <r>
    <x v="292"/>
    <x v="93"/>
    <x v="292"/>
    <x v="46"/>
    <s v="Sara Shah"/>
    <x v="1"/>
    <x v="4"/>
    <x v="3"/>
    <x v="1"/>
    <x v="2"/>
    <x v="14"/>
    <x v="223"/>
    <x v="1"/>
    <n v="0.2"/>
    <x v="292"/>
    <x v="3"/>
  </r>
  <r>
    <x v="293"/>
    <x v="247"/>
    <x v="293"/>
    <x v="108"/>
    <s v="Dev Panjwani"/>
    <x v="0"/>
    <x v="6"/>
    <x v="5"/>
    <x v="3"/>
    <x v="2"/>
    <x v="2"/>
    <x v="56"/>
    <x v="3"/>
    <n v="0"/>
    <x v="293"/>
    <x v="4"/>
  </r>
  <r>
    <x v="294"/>
    <x v="248"/>
    <x v="294"/>
    <x v="173"/>
    <s v="Yusuf Dave"/>
    <x v="1"/>
    <x v="1"/>
    <x v="0"/>
    <x v="0"/>
    <x v="2"/>
    <x v="5"/>
    <x v="224"/>
    <x v="4"/>
    <n v="0.2"/>
    <x v="294"/>
    <x v="0"/>
  </r>
  <r>
    <x v="295"/>
    <x v="101"/>
    <x v="295"/>
    <x v="46"/>
    <s v="Aditya Trivedi"/>
    <x v="2"/>
    <x v="10"/>
    <x v="0"/>
    <x v="0"/>
    <x v="0"/>
    <x v="8"/>
    <x v="225"/>
    <x v="6"/>
    <n v="0.1"/>
    <x v="295"/>
    <x v="4"/>
  </r>
  <r>
    <x v="296"/>
    <x v="249"/>
    <x v="296"/>
    <x v="54"/>
    <s v="Rohan Trivedi"/>
    <x v="2"/>
    <x v="10"/>
    <x v="0"/>
    <x v="0"/>
    <x v="1"/>
    <x v="9"/>
    <x v="226"/>
    <x v="5"/>
    <n v="0"/>
    <x v="296"/>
    <x v="1"/>
  </r>
  <r>
    <x v="297"/>
    <x v="197"/>
    <x v="297"/>
    <x v="68"/>
    <s v="Kabir Mehta"/>
    <x v="0"/>
    <x v="2"/>
    <x v="1"/>
    <x v="1"/>
    <x v="1"/>
    <x v="12"/>
    <x v="75"/>
    <x v="3"/>
    <n v="0.1"/>
    <x v="297"/>
    <x v="4"/>
  </r>
  <r>
    <x v="298"/>
    <x v="176"/>
    <x v="298"/>
    <x v="174"/>
    <s v="Zoya Panjwani"/>
    <x v="0"/>
    <x v="4"/>
    <x v="3"/>
    <x v="1"/>
    <x v="2"/>
    <x v="2"/>
    <x v="65"/>
    <x v="6"/>
    <n v="0"/>
    <x v="298"/>
    <x v="1"/>
  </r>
  <r>
    <x v="299"/>
    <x v="215"/>
    <x v="299"/>
    <x v="57"/>
    <s v="Myra Shah"/>
    <x v="2"/>
    <x v="13"/>
    <x v="0"/>
    <x v="0"/>
    <x v="1"/>
    <x v="18"/>
    <x v="227"/>
    <x v="2"/>
    <n v="0.1"/>
    <x v="299"/>
    <x v="1"/>
  </r>
  <r>
    <x v="300"/>
    <x v="250"/>
    <x v="300"/>
    <x v="33"/>
    <s v="Krish Trivedi"/>
    <x v="0"/>
    <x v="8"/>
    <x v="0"/>
    <x v="0"/>
    <x v="2"/>
    <x v="10"/>
    <x v="17"/>
    <x v="1"/>
    <n v="0"/>
    <x v="300"/>
    <x v="1"/>
  </r>
  <r>
    <x v="301"/>
    <x v="32"/>
    <x v="301"/>
    <x v="153"/>
    <s v="Vivaan Shah"/>
    <x v="2"/>
    <x v="13"/>
    <x v="0"/>
    <x v="0"/>
    <x v="2"/>
    <x v="10"/>
    <x v="228"/>
    <x v="5"/>
    <n v="0"/>
    <x v="301"/>
    <x v="1"/>
  </r>
  <r>
    <x v="302"/>
    <x v="251"/>
    <x v="302"/>
    <x v="67"/>
    <s v="Krish Kapoor"/>
    <x v="2"/>
    <x v="0"/>
    <x v="0"/>
    <x v="0"/>
    <x v="1"/>
    <x v="9"/>
    <x v="229"/>
    <x v="2"/>
    <n v="0.2"/>
    <x v="302"/>
    <x v="2"/>
  </r>
  <r>
    <x v="303"/>
    <x v="110"/>
    <x v="303"/>
    <x v="15"/>
    <s v="Meera Dave"/>
    <x v="0"/>
    <x v="9"/>
    <x v="6"/>
    <x v="4"/>
    <x v="1"/>
    <x v="15"/>
    <x v="51"/>
    <x v="3"/>
    <n v="0.1"/>
    <x v="303"/>
    <x v="2"/>
  </r>
  <r>
    <x v="304"/>
    <x v="252"/>
    <x v="304"/>
    <x v="175"/>
    <s v="Vivaan Panjwani"/>
    <x v="1"/>
    <x v="6"/>
    <x v="5"/>
    <x v="3"/>
    <x v="3"/>
    <x v="7"/>
    <x v="16"/>
    <x v="7"/>
    <n v="0"/>
    <x v="304"/>
    <x v="3"/>
  </r>
  <r>
    <x v="305"/>
    <x v="253"/>
    <x v="305"/>
    <x v="96"/>
    <s v="Zoya Sheikh"/>
    <x v="0"/>
    <x v="2"/>
    <x v="1"/>
    <x v="1"/>
    <x v="2"/>
    <x v="4"/>
    <x v="82"/>
    <x v="6"/>
    <n v="0.1"/>
    <x v="305"/>
    <x v="3"/>
  </r>
  <r>
    <x v="306"/>
    <x v="191"/>
    <x v="306"/>
    <x v="176"/>
    <s v="Arjun Patel"/>
    <x v="2"/>
    <x v="13"/>
    <x v="0"/>
    <x v="0"/>
    <x v="1"/>
    <x v="18"/>
    <x v="230"/>
    <x v="6"/>
    <n v="0.15"/>
    <x v="306"/>
    <x v="3"/>
  </r>
  <r>
    <x v="307"/>
    <x v="254"/>
    <x v="307"/>
    <x v="177"/>
    <s v="Kiara Rao"/>
    <x v="0"/>
    <x v="14"/>
    <x v="9"/>
    <x v="3"/>
    <x v="1"/>
    <x v="1"/>
    <x v="231"/>
    <x v="5"/>
    <n v="0"/>
    <x v="307"/>
    <x v="1"/>
  </r>
  <r>
    <x v="308"/>
    <x v="195"/>
    <x v="308"/>
    <x v="124"/>
    <s v="Zoya Sheikh"/>
    <x v="0"/>
    <x v="14"/>
    <x v="9"/>
    <x v="3"/>
    <x v="3"/>
    <x v="17"/>
    <x v="65"/>
    <x v="4"/>
    <n v="0"/>
    <x v="308"/>
    <x v="1"/>
  </r>
  <r>
    <x v="309"/>
    <x v="232"/>
    <x v="309"/>
    <x v="167"/>
    <s v="Fatima Patel"/>
    <x v="1"/>
    <x v="5"/>
    <x v="4"/>
    <x v="0"/>
    <x v="1"/>
    <x v="9"/>
    <x v="55"/>
    <x v="0"/>
    <n v="0.1"/>
    <x v="309"/>
    <x v="1"/>
  </r>
  <r>
    <x v="310"/>
    <x v="255"/>
    <x v="310"/>
    <x v="129"/>
    <s v="Reyansh Iyer"/>
    <x v="1"/>
    <x v="10"/>
    <x v="0"/>
    <x v="0"/>
    <x v="2"/>
    <x v="5"/>
    <x v="169"/>
    <x v="7"/>
    <n v="0"/>
    <x v="310"/>
    <x v="4"/>
  </r>
  <r>
    <x v="311"/>
    <x v="144"/>
    <x v="311"/>
    <x v="111"/>
    <s v="Vivaan Iyer"/>
    <x v="1"/>
    <x v="9"/>
    <x v="6"/>
    <x v="4"/>
    <x v="0"/>
    <x v="11"/>
    <x v="133"/>
    <x v="1"/>
    <n v="0"/>
    <x v="311"/>
    <x v="3"/>
  </r>
  <r>
    <x v="312"/>
    <x v="256"/>
    <x v="312"/>
    <x v="47"/>
    <s v="Isha Verma"/>
    <x v="2"/>
    <x v="1"/>
    <x v="0"/>
    <x v="0"/>
    <x v="0"/>
    <x v="19"/>
    <x v="232"/>
    <x v="5"/>
    <n v="0.05"/>
    <x v="312"/>
    <x v="0"/>
  </r>
  <r>
    <x v="313"/>
    <x v="257"/>
    <x v="313"/>
    <x v="62"/>
    <s v="Sara Mehta"/>
    <x v="1"/>
    <x v="8"/>
    <x v="0"/>
    <x v="0"/>
    <x v="0"/>
    <x v="0"/>
    <x v="153"/>
    <x v="4"/>
    <n v="0.1"/>
    <x v="313"/>
    <x v="1"/>
  </r>
  <r>
    <x v="314"/>
    <x v="258"/>
    <x v="314"/>
    <x v="131"/>
    <s v="Meera Desai"/>
    <x v="0"/>
    <x v="14"/>
    <x v="9"/>
    <x v="3"/>
    <x v="3"/>
    <x v="7"/>
    <x v="31"/>
    <x v="1"/>
    <n v="0"/>
    <x v="314"/>
    <x v="3"/>
  </r>
  <r>
    <x v="315"/>
    <x v="259"/>
    <x v="315"/>
    <x v="158"/>
    <s v="Kabir Rao"/>
    <x v="0"/>
    <x v="8"/>
    <x v="0"/>
    <x v="0"/>
    <x v="0"/>
    <x v="11"/>
    <x v="28"/>
    <x v="0"/>
    <n v="0.05"/>
    <x v="315"/>
    <x v="4"/>
  </r>
  <r>
    <x v="316"/>
    <x v="260"/>
    <x v="316"/>
    <x v="82"/>
    <s v="Aarav Patel"/>
    <x v="2"/>
    <x v="13"/>
    <x v="0"/>
    <x v="0"/>
    <x v="1"/>
    <x v="1"/>
    <x v="233"/>
    <x v="5"/>
    <n v="0.05"/>
    <x v="316"/>
    <x v="0"/>
  </r>
  <r>
    <x v="317"/>
    <x v="261"/>
    <x v="317"/>
    <x v="24"/>
    <s v="Fatima Iyer"/>
    <x v="0"/>
    <x v="8"/>
    <x v="0"/>
    <x v="0"/>
    <x v="3"/>
    <x v="6"/>
    <x v="234"/>
    <x v="2"/>
    <n v="0.05"/>
    <x v="317"/>
    <x v="2"/>
  </r>
  <r>
    <x v="318"/>
    <x v="262"/>
    <x v="318"/>
    <x v="92"/>
    <s v="Kabir Trivedi"/>
    <x v="1"/>
    <x v="1"/>
    <x v="0"/>
    <x v="0"/>
    <x v="2"/>
    <x v="14"/>
    <x v="235"/>
    <x v="1"/>
    <n v="0.05"/>
    <x v="318"/>
    <x v="0"/>
  </r>
  <r>
    <x v="319"/>
    <x v="263"/>
    <x v="319"/>
    <x v="146"/>
    <s v="Isha Dave"/>
    <x v="2"/>
    <x v="1"/>
    <x v="0"/>
    <x v="0"/>
    <x v="2"/>
    <x v="14"/>
    <x v="236"/>
    <x v="7"/>
    <n v="0.2"/>
    <x v="319"/>
    <x v="2"/>
  </r>
  <r>
    <x v="320"/>
    <x v="264"/>
    <x v="320"/>
    <x v="31"/>
    <s v="Kiara Joshi"/>
    <x v="0"/>
    <x v="5"/>
    <x v="4"/>
    <x v="0"/>
    <x v="1"/>
    <x v="1"/>
    <x v="237"/>
    <x v="2"/>
    <n v="0.2"/>
    <x v="320"/>
    <x v="4"/>
  </r>
  <r>
    <x v="321"/>
    <x v="265"/>
    <x v="321"/>
    <x v="178"/>
    <s v="Aanya Shah"/>
    <x v="2"/>
    <x v="1"/>
    <x v="0"/>
    <x v="0"/>
    <x v="2"/>
    <x v="4"/>
    <x v="45"/>
    <x v="7"/>
    <n v="0"/>
    <x v="321"/>
    <x v="3"/>
  </r>
  <r>
    <x v="322"/>
    <x v="266"/>
    <x v="322"/>
    <x v="169"/>
    <s v="Fatima Rao"/>
    <x v="1"/>
    <x v="1"/>
    <x v="0"/>
    <x v="0"/>
    <x v="2"/>
    <x v="2"/>
    <x v="238"/>
    <x v="4"/>
    <n v="0.2"/>
    <x v="322"/>
    <x v="4"/>
  </r>
  <r>
    <x v="323"/>
    <x v="206"/>
    <x v="323"/>
    <x v="162"/>
    <s v="Zoya Sheikh"/>
    <x v="2"/>
    <x v="6"/>
    <x v="5"/>
    <x v="3"/>
    <x v="3"/>
    <x v="17"/>
    <x v="239"/>
    <x v="5"/>
    <n v="0.2"/>
    <x v="323"/>
    <x v="4"/>
  </r>
  <r>
    <x v="324"/>
    <x v="267"/>
    <x v="324"/>
    <x v="177"/>
    <s v="Yusuf Patel"/>
    <x v="1"/>
    <x v="0"/>
    <x v="0"/>
    <x v="0"/>
    <x v="0"/>
    <x v="19"/>
    <x v="65"/>
    <x v="7"/>
    <n v="0.05"/>
    <x v="324"/>
    <x v="1"/>
  </r>
  <r>
    <x v="325"/>
    <x v="268"/>
    <x v="325"/>
    <x v="19"/>
    <s v="Dev Panjwani"/>
    <x v="0"/>
    <x v="5"/>
    <x v="4"/>
    <x v="0"/>
    <x v="3"/>
    <x v="7"/>
    <x v="240"/>
    <x v="0"/>
    <n v="0.15"/>
    <x v="325"/>
    <x v="0"/>
  </r>
  <r>
    <x v="326"/>
    <x v="269"/>
    <x v="326"/>
    <x v="16"/>
    <s v="Dev Iyer"/>
    <x v="0"/>
    <x v="6"/>
    <x v="5"/>
    <x v="3"/>
    <x v="0"/>
    <x v="11"/>
    <x v="165"/>
    <x v="2"/>
    <n v="0.2"/>
    <x v="326"/>
    <x v="3"/>
  </r>
  <r>
    <x v="327"/>
    <x v="270"/>
    <x v="327"/>
    <x v="143"/>
    <s v="Diya Panjwani"/>
    <x v="1"/>
    <x v="2"/>
    <x v="1"/>
    <x v="1"/>
    <x v="3"/>
    <x v="13"/>
    <x v="212"/>
    <x v="4"/>
    <n v="0"/>
    <x v="327"/>
    <x v="0"/>
  </r>
  <r>
    <x v="328"/>
    <x v="271"/>
    <x v="328"/>
    <x v="111"/>
    <s v="Kabir Shah"/>
    <x v="2"/>
    <x v="12"/>
    <x v="8"/>
    <x v="1"/>
    <x v="1"/>
    <x v="9"/>
    <x v="140"/>
    <x v="3"/>
    <n v="0.05"/>
    <x v="328"/>
    <x v="3"/>
  </r>
  <r>
    <x v="329"/>
    <x v="56"/>
    <x v="329"/>
    <x v="66"/>
    <s v="Yusuf Soni"/>
    <x v="2"/>
    <x v="5"/>
    <x v="4"/>
    <x v="0"/>
    <x v="0"/>
    <x v="3"/>
    <x v="159"/>
    <x v="7"/>
    <n v="0"/>
    <x v="329"/>
    <x v="1"/>
  </r>
  <r>
    <x v="330"/>
    <x v="272"/>
    <x v="330"/>
    <x v="179"/>
    <s v="Zoya Sheikh"/>
    <x v="2"/>
    <x v="8"/>
    <x v="0"/>
    <x v="0"/>
    <x v="2"/>
    <x v="10"/>
    <x v="241"/>
    <x v="5"/>
    <n v="0.05"/>
    <x v="241"/>
    <x v="4"/>
  </r>
  <r>
    <x v="331"/>
    <x v="273"/>
    <x v="331"/>
    <x v="163"/>
    <s v="Meera Kapoor"/>
    <x v="0"/>
    <x v="6"/>
    <x v="5"/>
    <x v="3"/>
    <x v="3"/>
    <x v="16"/>
    <x v="217"/>
    <x v="4"/>
    <n v="0.05"/>
    <x v="330"/>
    <x v="0"/>
  </r>
  <r>
    <x v="332"/>
    <x v="274"/>
    <x v="332"/>
    <x v="177"/>
    <s v="Zoya Patel"/>
    <x v="2"/>
    <x v="9"/>
    <x v="6"/>
    <x v="4"/>
    <x v="0"/>
    <x v="0"/>
    <x v="14"/>
    <x v="1"/>
    <n v="0.2"/>
    <x v="331"/>
    <x v="4"/>
  </r>
  <r>
    <x v="333"/>
    <x v="79"/>
    <x v="333"/>
    <x v="8"/>
    <s v="Rohan Iyer"/>
    <x v="2"/>
    <x v="3"/>
    <x v="2"/>
    <x v="2"/>
    <x v="3"/>
    <x v="16"/>
    <x v="45"/>
    <x v="0"/>
    <n v="0"/>
    <x v="332"/>
    <x v="4"/>
  </r>
  <r>
    <x v="334"/>
    <x v="275"/>
    <x v="334"/>
    <x v="83"/>
    <s v="Fatima Iyer"/>
    <x v="0"/>
    <x v="14"/>
    <x v="9"/>
    <x v="3"/>
    <x v="2"/>
    <x v="2"/>
    <x v="120"/>
    <x v="7"/>
    <n v="0"/>
    <x v="333"/>
    <x v="4"/>
  </r>
  <r>
    <x v="335"/>
    <x v="276"/>
    <x v="335"/>
    <x v="47"/>
    <s v="Dev Sheikh"/>
    <x v="0"/>
    <x v="11"/>
    <x v="7"/>
    <x v="3"/>
    <x v="1"/>
    <x v="18"/>
    <x v="242"/>
    <x v="3"/>
    <n v="0.2"/>
    <x v="334"/>
    <x v="1"/>
  </r>
  <r>
    <x v="336"/>
    <x v="277"/>
    <x v="336"/>
    <x v="131"/>
    <s v="Zoya Verma"/>
    <x v="1"/>
    <x v="9"/>
    <x v="6"/>
    <x v="4"/>
    <x v="1"/>
    <x v="18"/>
    <x v="242"/>
    <x v="0"/>
    <n v="0"/>
    <x v="335"/>
    <x v="4"/>
  </r>
  <r>
    <x v="337"/>
    <x v="97"/>
    <x v="337"/>
    <x v="166"/>
    <s v="Rohan Mehta"/>
    <x v="2"/>
    <x v="6"/>
    <x v="5"/>
    <x v="3"/>
    <x v="3"/>
    <x v="16"/>
    <x v="21"/>
    <x v="1"/>
    <n v="0"/>
    <x v="336"/>
    <x v="3"/>
  </r>
  <r>
    <x v="338"/>
    <x v="278"/>
    <x v="338"/>
    <x v="126"/>
    <s v="Isha Rao"/>
    <x v="0"/>
    <x v="5"/>
    <x v="4"/>
    <x v="0"/>
    <x v="1"/>
    <x v="15"/>
    <x v="243"/>
    <x v="5"/>
    <n v="0.05"/>
    <x v="337"/>
    <x v="2"/>
  </r>
  <r>
    <x v="339"/>
    <x v="279"/>
    <x v="339"/>
    <x v="180"/>
    <s v="Aarav Khan"/>
    <x v="1"/>
    <x v="12"/>
    <x v="8"/>
    <x v="1"/>
    <x v="1"/>
    <x v="1"/>
    <x v="207"/>
    <x v="3"/>
    <n v="0.2"/>
    <x v="338"/>
    <x v="2"/>
  </r>
  <r>
    <x v="340"/>
    <x v="280"/>
    <x v="340"/>
    <x v="104"/>
    <s v="Arjun Panjwani"/>
    <x v="2"/>
    <x v="0"/>
    <x v="0"/>
    <x v="0"/>
    <x v="1"/>
    <x v="15"/>
    <x v="43"/>
    <x v="3"/>
    <n v="0.2"/>
    <x v="339"/>
    <x v="4"/>
  </r>
  <r>
    <x v="341"/>
    <x v="281"/>
    <x v="341"/>
    <x v="159"/>
    <s v="Zoya Soni"/>
    <x v="0"/>
    <x v="10"/>
    <x v="0"/>
    <x v="0"/>
    <x v="3"/>
    <x v="17"/>
    <x v="244"/>
    <x v="2"/>
    <n v="0.15"/>
    <x v="340"/>
    <x v="3"/>
  </r>
  <r>
    <x v="342"/>
    <x v="282"/>
    <x v="342"/>
    <x v="12"/>
    <s v="Aditya Rao"/>
    <x v="2"/>
    <x v="13"/>
    <x v="0"/>
    <x v="0"/>
    <x v="2"/>
    <x v="4"/>
    <x v="245"/>
    <x v="5"/>
    <n v="0.05"/>
    <x v="341"/>
    <x v="4"/>
  </r>
  <r>
    <x v="343"/>
    <x v="283"/>
    <x v="343"/>
    <x v="181"/>
    <s v="Diya Iyer"/>
    <x v="0"/>
    <x v="9"/>
    <x v="6"/>
    <x v="4"/>
    <x v="0"/>
    <x v="0"/>
    <x v="9"/>
    <x v="4"/>
    <n v="0.15"/>
    <x v="342"/>
    <x v="0"/>
  </r>
  <r>
    <x v="344"/>
    <x v="284"/>
    <x v="344"/>
    <x v="125"/>
    <s v="Krish Panjwani"/>
    <x v="0"/>
    <x v="12"/>
    <x v="8"/>
    <x v="1"/>
    <x v="1"/>
    <x v="18"/>
    <x v="246"/>
    <x v="7"/>
    <n v="0.05"/>
    <x v="343"/>
    <x v="1"/>
  </r>
  <r>
    <x v="345"/>
    <x v="166"/>
    <x v="345"/>
    <x v="130"/>
    <s v="Fatima Sheikh"/>
    <x v="0"/>
    <x v="14"/>
    <x v="9"/>
    <x v="3"/>
    <x v="1"/>
    <x v="15"/>
    <x v="247"/>
    <x v="0"/>
    <n v="0.2"/>
    <x v="344"/>
    <x v="4"/>
  </r>
  <r>
    <x v="346"/>
    <x v="285"/>
    <x v="346"/>
    <x v="143"/>
    <s v="Arjun Verma"/>
    <x v="0"/>
    <x v="3"/>
    <x v="2"/>
    <x v="2"/>
    <x v="1"/>
    <x v="9"/>
    <x v="129"/>
    <x v="4"/>
    <n v="0.05"/>
    <x v="345"/>
    <x v="2"/>
  </r>
  <r>
    <x v="347"/>
    <x v="15"/>
    <x v="347"/>
    <x v="160"/>
    <s v="Sara Panjwani"/>
    <x v="2"/>
    <x v="9"/>
    <x v="6"/>
    <x v="4"/>
    <x v="0"/>
    <x v="11"/>
    <x v="28"/>
    <x v="0"/>
    <n v="0.05"/>
    <x v="346"/>
    <x v="4"/>
  </r>
  <r>
    <x v="348"/>
    <x v="286"/>
    <x v="348"/>
    <x v="182"/>
    <s v="Yusuf Dave"/>
    <x v="1"/>
    <x v="13"/>
    <x v="0"/>
    <x v="0"/>
    <x v="3"/>
    <x v="16"/>
    <x v="248"/>
    <x v="7"/>
    <n v="0"/>
    <x v="347"/>
    <x v="0"/>
  </r>
  <r>
    <x v="349"/>
    <x v="287"/>
    <x v="349"/>
    <x v="101"/>
    <s v="Vivaan Mehta"/>
    <x v="1"/>
    <x v="11"/>
    <x v="7"/>
    <x v="3"/>
    <x v="2"/>
    <x v="4"/>
    <x v="5"/>
    <x v="3"/>
    <n v="0.1"/>
    <x v="348"/>
    <x v="4"/>
  </r>
  <r>
    <x v="350"/>
    <x v="288"/>
    <x v="350"/>
    <x v="169"/>
    <s v="Fatima Trivedi"/>
    <x v="0"/>
    <x v="9"/>
    <x v="6"/>
    <x v="4"/>
    <x v="3"/>
    <x v="13"/>
    <x v="249"/>
    <x v="6"/>
    <n v="0.2"/>
    <x v="349"/>
    <x v="2"/>
  </r>
  <r>
    <x v="351"/>
    <x v="108"/>
    <x v="351"/>
    <x v="183"/>
    <s v="Yusuf Iyer"/>
    <x v="1"/>
    <x v="0"/>
    <x v="0"/>
    <x v="0"/>
    <x v="2"/>
    <x v="4"/>
    <x v="30"/>
    <x v="3"/>
    <n v="0"/>
    <x v="350"/>
    <x v="0"/>
  </r>
  <r>
    <x v="352"/>
    <x v="289"/>
    <x v="352"/>
    <x v="113"/>
    <s v="Fatima Panjwani"/>
    <x v="1"/>
    <x v="2"/>
    <x v="1"/>
    <x v="1"/>
    <x v="2"/>
    <x v="2"/>
    <x v="11"/>
    <x v="2"/>
    <n v="0.2"/>
    <x v="351"/>
    <x v="1"/>
  </r>
  <r>
    <x v="353"/>
    <x v="290"/>
    <x v="353"/>
    <x v="0"/>
    <s v="Aarav Kapoor"/>
    <x v="0"/>
    <x v="4"/>
    <x v="3"/>
    <x v="1"/>
    <x v="0"/>
    <x v="11"/>
    <x v="250"/>
    <x v="6"/>
    <n v="0.15"/>
    <x v="352"/>
    <x v="2"/>
  </r>
  <r>
    <x v="354"/>
    <x v="128"/>
    <x v="354"/>
    <x v="98"/>
    <s v="Sara Mehta"/>
    <x v="1"/>
    <x v="9"/>
    <x v="6"/>
    <x v="4"/>
    <x v="0"/>
    <x v="8"/>
    <x v="187"/>
    <x v="4"/>
    <n v="0"/>
    <x v="353"/>
    <x v="1"/>
  </r>
  <r>
    <x v="355"/>
    <x v="184"/>
    <x v="355"/>
    <x v="121"/>
    <s v="Zoya Iyer"/>
    <x v="1"/>
    <x v="6"/>
    <x v="5"/>
    <x v="3"/>
    <x v="0"/>
    <x v="19"/>
    <x v="251"/>
    <x v="4"/>
    <n v="0.05"/>
    <x v="354"/>
    <x v="2"/>
  </r>
  <r>
    <x v="356"/>
    <x v="291"/>
    <x v="356"/>
    <x v="55"/>
    <s v="Aarav Dave"/>
    <x v="0"/>
    <x v="7"/>
    <x v="4"/>
    <x v="0"/>
    <x v="2"/>
    <x v="2"/>
    <x v="239"/>
    <x v="0"/>
    <n v="0.2"/>
    <x v="355"/>
    <x v="2"/>
  </r>
  <r>
    <x v="357"/>
    <x v="292"/>
    <x v="357"/>
    <x v="166"/>
    <s v="Diya Kapoor"/>
    <x v="1"/>
    <x v="4"/>
    <x v="3"/>
    <x v="1"/>
    <x v="2"/>
    <x v="4"/>
    <x v="252"/>
    <x v="3"/>
    <n v="0.15"/>
    <x v="356"/>
    <x v="1"/>
  </r>
  <r>
    <x v="358"/>
    <x v="293"/>
    <x v="358"/>
    <x v="128"/>
    <s v="Vivaan Desai"/>
    <x v="0"/>
    <x v="1"/>
    <x v="0"/>
    <x v="0"/>
    <x v="3"/>
    <x v="6"/>
    <x v="59"/>
    <x v="2"/>
    <n v="0"/>
    <x v="357"/>
    <x v="1"/>
  </r>
  <r>
    <x v="359"/>
    <x v="294"/>
    <x v="359"/>
    <x v="136"/>
    <s v="Aanya Rao"/>
    <x v="1"/>
    <x v="12"/>
    <x v="8"/>
    <x v="1"/>
    <x v="2"/>
    <x v="5"/>
    <x v="253"/>
    <x v="3"/>
    <n v="0.15"/>
    <x v="358"/>
    <x v="3"/>
  </r>
  <r>
    <x v="360"/>
    <x v="295"/>
    <x v="360"/>
    <x v="155"/>
    <s v="Arjun Rao"/>
    <x v="0"/>
    <x v="1"/>
    <x v="0"/>
    <x v="0"/>
    <x v="0"/>
    <x v="11"/>
    <x v="254"/>
    <x v="5"/>
    <n v="0.1"/>
    <x v="359"/>
    <x v="2"/>
  </r>
  <r>
    <x v="361"/>
    <x v="254"/>
    <x v="361"/>
    <x v="184"/>
    <s v="Fatima Trivedi"/>
    <x v="1"/>
    <x v="7"/>
    <x v="4"/>
    <x v="0"/>
    <x v="0"/>
    <x v="0"/>
    <x v="105"/>
    <x v="1"/>
    <n v="0.15"/>
    <x v="360"/>
    <x v="1"/>
  </r>
  <r>
    <x v="362"/>
    <x v="296"/>
    <x v="362"/>
    <x v="109"/>
    <s v="Dev Shah"/>
    <x v="0"/>
    <x v="1"/>
    <x v="0"/>
    <x v="0"/>
    <x v="2"/>
    <x v="5"/>
    <x v="169"/>
    <x v="7"/>
    <n v="0"/>
    <x v="361"/>
    <x v="1"/>
  </r>
  <r>
    <x v="363"/>
    <x v="297"/>
    <x v="363"/>
    <x v="24"/>
    <s v="Isha Rao"/>
    <x v="1"/>
    <x v="12"/>
    <x v="8"/>
    <x v="1"/>
    <x v="1"/>
    <x v="12"/>
    <x v="255"/>
    <x v="3"/>
    <n v="0.05"/>
    <x v="362"/>
    <x v="4"/>
  </r>
  <r>
    <x v="364"/>
    <x v="241"/>
    <x v="364"/>
    <x v="185"/>
    <s v="Diya Patel"/>
    <x v="1"/>
    <x v="12"/>
    <x v="8"/>
    <x v="1"/>
    <x v="0"/>
    <x v="19"/>
    <x v="256"/>
    <x v="5"/>
    <n v="0"/>
    <x v="363"/>
    <x v="2"/>
  </r>
  <r>
    <x v="365"/>
    <x v="298"/>
    <x v="365"/>
    <x v="117"/>
    <s v="Aditya Mehta"/>
    <x v="1"/>
    <x v="9"/>
    <x v="6"/>
    <x v="4"/>
    <x v="3"/>
    <x v="7"/>
    <x v="257"/>
    <x v="3"/>
    <n v="0.2"/>
    <x v="364"/>
    <x v="0"/>
  </r>
  <r>
    <x v="366"/>
    <x v="299"/>
    <x v="366"/>
    <x v="158"/>
    <s v="Anaya Mehta"/>
    <x v="0"/>
    <x v="13"/>
    <x v="0"/>
    <x v="0"/>
    <x v="3"/>
    <x v="6"/>
    <x v="26"/>
    <x v="2"/>
    <n v="0.2"/>
    <x v="365"/>
    <x v="1"/>
  </r>
  <r>
    <x v="367"/>
    <x v="300"/>
    <x v="367"/>
    <x v="105"/>
    <s v="Meera Panjwani"/>
    <x v="2"/>
    <x v="8"/>
    <x v="0"/>
    <x v="0"/>
    <x v="2"/>
    <x v="4"/>
    <x v="258"/>
    <x v="7"/>
    <n v="0.15"/>
    <x v="366"/>
    <x v="3"/>
  </r>
  <r>
    <x v="368"/>
    <x v="301"/>
    <x v="368"/>
    <x v="25"/>
    <s v="Diya Shah"/>
    <x v="2"/>
    <x v="12"/>
    <x v="8"/>
    <x v="1"/>
    <x v="1"/>
    <x v="12"/>
    <x v="103"/>
    <x v="7"/>
    <n v="0"/>
    <x v="367"/>
    <x v="4"/>
  </r>
  <r>
    <x v="369"/>
    <x v="302"/>
    <x v="369"/>
    <x v="174"/>
    <s v="Fatima Trivedi"/>
    <x v="0"/>
    <x v="3"/>
    <x v="2"/>
    <x v="2"/>
    <x v="1"/>
    <x v="15"/>
    <x v="42"/>
    <x v="5"/>
    <n v="0.1"/>
    <x v="368"/>
    <x v="0"/>
  </r>
  <r>
    <x v="370"/>
    <x v="303"/>
    <x v="370"/>
    <x v="101"/>
    <s v="Fatima Rao"/>
    <x v="1"/>
    <x v="3"/>
    <x v="2"/>
    <x v="2"/>
    <x v="2"/>
    <x v="10"/>
    <x v="259"/>
    <x v="4"/>
    <n v="0.15"/>
    <x v="369"/>
    <x v="1"/>
  </r>
  <r>
    <x v="371"/>
    <x v="304"/>
    <x v="371"/>
    <x v="57"/>
    <s v="Krish Panjwani"/>
    <x v="1"/>
    <x v="5"/>
    <x v="4"/>
    <x v="0"/>
    <x v="1"/>
    <x v="15"/>
    <x v="76"/>
    <x v="3"/>
    <n v="0"/>
    <x v="370"/>
    <x v="1"/>
  </r>
  <r>
    <x v="372"/>
    <x v="281"/>
    <x v="372"/>
    <x v="186"/>
    <s v="Aarav Shah"/>
    <x v="2"/>
    <x v="2"/>
    <x v="1"/>
    <x v="1"/>
    <x v="3"/>
    <x v="16"/>
    <x v="260"/>
    <x v="7"/>
    <n v="0.1"/>
    <x v="371"/>
    <x v="0"/>
  </r>
  <r>
    <x v="373"/>
    <x v="305"/>
    <x v="373"/>
    <x v="41"/>
    <s v="Rohan Trivedi"/>
    <x v="2"/>
    <x v="11"/>
    <x v="7"/>
    <x v="3"/>
    <x v="2"/>
    <x v="10"/>
    <x v="261"/>
    <x v="3"/>
    <n v="0.15"/>
    <x v="372"/>
    <x v="1"/>
  </r>
  <r>
    <x v="374"/>
    <x v="233"/>
    <x v="374"/>
    <x v="137"/>
    <s v="Rohan Shah"/>
    <x v="1"/>
    <x v="3"/>
    <x v="2"/>
    <x v="2"/>
    <x v="3"/>
    <x v="17"/>
    <x v="262"/>
    <x v="7"/>
    <n v="0.2"/>
    <x v="373"/>
    <x v="2"/>
  </r>
  <r>
    <x v="375"/>
    <x v="306"/>
    <x v="375"/>
    <x v="176"/>
    <s v="Isha Khan"/>
    <x v="1"/>
    <x v="5"/>
    <x v="4"/>
    <x v="0"/>
    <x v="0"/>
    <x v="3"/>
    <x v="39"/>
    <x v="6"/>
    <n v="0.2"/>
    <x v="374"/>
    <x v="0"/>
  </r>
  <r>
    <x v="376"/>
    <x v="307"/>
    <x v="376"/>
    <x v="89"/>
    <s v="Reyansh Verma"/>
    <x v="2"/>
    <x v="14"/>
    <x v="9"/>
    <x v="3"/>
    <x v="1"/>
    <x v="1"/>
    <x v="18"/>
    <x v="5"/>
    <n v="0.1"/>
    <x v="375"/>
    <x v="1"/>
  </r>
  <r>
    <x v="377"/>
    <x v="308"/>
    <x v="377"/>
    <x v="70"/>
    <s v="Vivaan Khan"/>
    <x v="1"/>
    <x v="0"/>
    <x v="0"/>
    <x v="0"/>
    <x v="2"/>
    <x v="4"/>
    <x v="263"/>
    <x v="7"/>
    <n v="0.2"/>
    <x v="376"/>
    <x v="3"/>
  </r>
  <r>
    <x v="378"/>
    <x v="309"/>
    <x v="378"/>
    <x v="120"/>
    <s v="Isha Verma"/>
    <x v="0"/>
    <x v="11"/>
    <x v="7"/>
    <x v="3"/>
    <x v="3"/>
    <x v="7"/>
    <x v="264"/>
    <x v="7"/>
    <n v="0.15"/>
    <x v="377"/>
    <x v="2"/>
  </r>
  <r>
    <x v="379"/>
    <x v="310"/>
    <x v="379"/>
    <x v="125"/>
    <s v="Meera Sheikh"/>
    <x v="0"/>
    <x v="8"/>
    <x v="0"/>
    <x v="0"/>
    <x v="2"/>
    <x v="4"/>
    <x v="142"/>
    <x v="6"/>
    <n v="0.15"/>
    <x v="378"/>
    <x v="2"/>
  </r>
  <r>
    <x v="380"/>
    <x v="311"/>
    <x v="380"/>
    <x v="93"/>
    <s v="Dev Joshi"/>
    <x v="0"/>
    <x v="5"/>
    <x v="4"/>
    <x v="0"/>
    <x v="0"/>
    <x v="19"/>
    <x v="265"/>
    <x v="4"/>
    <n v="0"/>
    <x v="379"/>
    <x v="3"/>
  </r>
  <r>
    <x v="381"/>
    <x v="256"/>
    <x v="381"/>
    <x v="27"/>
    <s v="Zoya Sheikh"/>
    <x v="0"/>
    <x v="4"/>
    <x v="3"/>
    <x v="1"/>
    <x v="1"/>
    <x v="1"/>
    <x v="266"/>
    <x v="0"/>
    <n v="0.15"/>
    <x v="380"/>
    <x v="2"/>
  </r>
  <r>
    <x v="382"/>
    <x v="312"/>
    <x v="382"/>
    <x v="16"/>
    <s v="Aanya Kapoor"/>
    <x v="0"/>
    <x v="8"/>
    <x v="0"/>
    <x v="0"/>
    <x v="0"/>
    <x v="11"/>
    <x v="250"/>
    <x v="6"/>
    <n v="0.15"/>
    <x v="381"/>
    <x v="3"/>
  </r>
  <r>
    <x v="383"/>
    <x v="161"/>
    <x v="383"/>
    <x v="103"/>
    <s v="Diya Desai"/>
    <x v="2"/>
    <x v="7"/>
    <x v="4"/>
    <x v="0"/>
    <x v="2"/>
    <x v="5"/>
    <x v="267"/>
    <x v="5"/>
    <n v="0"/>
    <x v="382"/>
    <x v="2"/>
  </r>
  <r>
    <x v="384"/>
    <x v="313"/>
    <x v="384"/>
    <x v="15"/>
    <s v="Zoya Rao"/>
    <x v="2"/>
    <x v="13"/>
    <x v="0"/>
    <x v="0"/>
    <x v="1"/>
    <x v="18"/>
    <x v="268"/>
    <x v="3"/>
    <n v="0"/>
    <x v="383"/>
    <x v="1"/>
  </r>
  <r>
    <x v="385"/>
    <x v="41"/>
    <x v="385"/>
    <x v="112"/>
    <s v="Sara Verma"/>
    <x v="0"/>
    <x v="12"/>
    <x v="8"/>
    <x v="1"/>
    <x v="1"/>
    <x v="9"/>
    <x v="109"/>
    <x v="2"/>
    <n v="0"/>
    <x v="384"/>
    <x v="1"/>
  </r>
  <r>
    <x v="386"/>
    <x v="314"/>
    <x v="386"/>
    <x v="155"/>
    <s v="Meera Rao"/>
    <x v="2"/>
    <x v="7"/>
    <x v="4"/>
    <x v="0"/>
    <x v="3"/>
    <x v="17"/>
    <x v="143"/>
    <x v="1"/>
    <n v="0"/>
    <x v="385"/>
    <x v="2"/>
  </r>
  <r>
    <x v="387"/>
    <x v="315"/>
    <x v="387"/>
    <x v="76"/>
    <s v="Rohan Mehta"/>
    <x v="0"/>
    <x v="4"/>
    <x v="3"/>
    <x v="1"/>
    <x v="0"/>
    <x v="3"/>
    <x v="4"/>
    <x v="0"/>
    <n v="0.2"/>
    <x v="386"/>
    <x v="1"/>
  </r>
  <r>
    <x v="388"/>
    <x v="267"/>
    <x v="388"/>
    <x v="187"/>
    <s v="Vivaan Mehta"/>
    <x v="0"/>
    <x v="4"/>
    <x v="3"/>
    <x v="1"/>
    <x v="2"/>
    <x v="4"/>
    <x v="115"/>
    <x v="1"/>
    <n v="0.1"/>
    <x v="387"/>
    <x v="4"/>
  </r>
  <r>
    <x v="389"/>
    <x v="171"/>
    <x v="389"/>
    <x v="116"/>
    <s v="Meera Rao"/>
    <x v="0"/>
    <x v="6"/>
    <x v="5"/>
    <x v="3"/>
    <x v="1"/>
    <x v="18"/>
    <x v="269"/>
    <x v="4"/>
    <n v="0.05"/>
    <x v="388"/>
    <x v="4"/>
  </r>
  <r>
    <x v="390"/>
    <x v="316"/>
    <x v="390"/>
    <x v="162"/>
    <s v="Dev Shah"/>
    <x v="0"/>
    <x v="14"/>
    <x v="9"/>
    <x v="3"/>
    <x v="0"/>
    <x v="11"/>
    <x v="250"/>
    <x v="6"/>
    <n v="0.15"/>
    <x v="389"/>
    <x v="2"/>
  </r>
  <r>
    <x v="391"/>
    <x v="317"/>
    <x v="391"/>
    <x v="4"/>
    <s v="Aditya Trivedi"/>
    <x v="2"/>
    <x v="11"/>
    <x v="7"/>
    <x v="3"/>
    <x v="3"/>
    <x v="16"/>
    <x v="270"/>
    <x v="6"/>
    <n v="0"/>
    <x v="390"/>
    <x v="4"/>
  </r>
  <r>
    <x v="392"/>
    <x v="318"/>
    <x v="392"/>
    <x v="17"/>
    <s v="Myra Sheikh"/>
    <x v="0"/>
    <x v="14"/>
    <x v="9"/>
    <x v="3"/>
    <x v="3"/>
    <x v="7"/>
    <x v="31"/>
    <x v="1"/>
    <n v="0"/>
    <x v="391"/>
    <x v="3"/>
  </r>
  <r>
    <x v="393"/>
    <x v="319"/>
    <x v="393"/>
    <x v="18"/>
    <s v="Sara Patel"/>
    <x v="0"/>
    <x v="10"/>
    <x v="0"/>
    <x v="0"/>
    <x v="2"/>
    <x v="14"/>
    <x v="112"/>
    <x v="2"/>
    <n v="0"/>
    <x v="392"/>
    <x v="4"/>
  </r>
  <r>
    <x v="394"/>
    <x v="320"/>
    <x v="394"/>
    <x v="188"/>
    <s v="Aditya Soni"/>
    <x v="1"/>
    <x v="11"/>
    <x v="7"/>
    <x v="3"/>
    <x v="3"/>
    <x v="6"/>
    <x v="196"/>
    <x v="1"/>
    <n v="0.05"/>
    <x v="393"/>
    <x v="1"/>
  </r>
  <r>
    <x v="395"/>
    <x v="321"/>
    <x v="395"/>
    <x v="55"/>
    <s v="Aanya Rao"/>
    <x v="1"/>
    <x v="11"/>
    <x v="7"/>
    <x v="3"/>
    <x v="2"/>
    <x v="10"/>
    <x v="195"/>
    <x v="0"/>
    <n v="0.2"/>
    <x v="394"/>
    <x v="2"/>
  </r>
  <r>
    <x v="396"/>
    <x v="322"/>
    <x v="396"/>
    <x v="189"/>
    <s v="Diya Shah"/>
    <x v="1"/>
    <x v="4"/>
    <x v="3"/>
    <x v="1"/>
    <x v="3"/>
    <x v="16"/>
    <x v="271"/>
    <x v="4"/>
    <n v="0"/>
    <x v="395"/>
    <x v="1"/>
  </r>
  <r>
    <x v="397"/>
    <x v="323"/>
    <x v="397"/>
    <x v="54"/>
    <s v="Krish Panjwani"/>
    <x v="2"/>
    <x v="13"/>
    <x v="0"/>
    <x v="0"/>
    <x v="2"/>
    <x v="5"/>
    <x v="272"/>
    <x v="0"/>
    <n v="0.05"/>
    <x v="396"/>
    <x v="1"/>
  </r>
  <r>
    <x v="398"/>
    <x v="324"/>
    <x v="398"/>
    <x v="93"/>
    <s v="Kabir Trivedi"/>
    <x v="0"/>
    <x v="1"/>
    <x v="0"/>
    <x v="0"/>
    <x v="2"/>
    <x v="5"/>
    <x v="273"/>
    <x v="5"/>
    <n v="0.2"/>
    <x v="397"/>
    <x v="1"/>
  </r>
  <r>
    <x v="399"/>
    <x v="325"/>
    <x v="399"/>
    <x v="25"/>
    <s v="Krish Panjwani"/>
    <x v="0"/>
    <x v="12"/>
    <x v="8"/>
    <x v="1"/>
    <x v="0"/>
    <x v="3"/>
    <x v="219"/>
    <x v="5"/>
    <n v="0.05"/>
    <x v="398"/>
    <x v="1"/>
  </r>
  <r>
    <x v="400"/>
    <x v="326"/>
    <x v="400"/>
    <x v="94"/>
    <s v="Vivaan Joshi"/>
    <x v="0"/>
    <x v="11"/>
    <x v="7"/>
    <x v="3"/>
    <x v="1"/>
    <x v="1"/>
    <x v="147"/>
    <x v="2"/>
    <n v="0.15"/>
    <x v="399"/>
    <x v="4"/>
  </r>
  <r>
    <x v="401"/>
    <x v="327"/>
    <x v="401"/>
    <x v="161"/>
    <s v="Kiara Soni"/>
    <x v="1"/>
    <x v="11"/>
    <x v="7"/>
    <x v="3"/>
    <x v="1"/>
    <x v="18"/>
    <x v="226"/>
    <x v="1"/>
    <n v="0"/>
    <x v="400"/>
    <x v="4"/>
  </r>
  <r>
    <x v="402"/>
    <x v="328"/>
    <x v="402"/>
    <x v="145"/>
    <s v="Isha Mehta"/>
    <x v="1"/>
    <x v="4"/>
    <x v="3"/>
    <x v="1"/>
    <x v="0"/>
    <x v="0"/>
    <x v="274"/>
    <x v="2"/>
    <n v="0.2"/>
    <x v="401"/>
    <x v="3"/>
  </r>
  <r>
    <x v="403"/>
    <x v="329"/>
    <x v="403"/>
    <x v="57"/>
    <s v="Kabir Joshi"/>
    <x v="0"/>
    <x v="10"/>
    <x v="0"/>
    <x v="0"/>
    <x v="2"/>
    <x v="2"/>
    <x v="275"/>
    <x v="1"/>
    <n v="0.15"/>
    <x v="402"/>
    <x v="1"/>
  </r>
  <r>
    <x v="404"/>
    <x v="231"/>
    <x v="404"/>
    <x v="88"/>
    <s v="Anaya Joshi"/>
    <x v="0"/>
    <x v="10"/>
    <x v="0"/>
    <x v="0"/>
    <x v="3"/>
    <x v="17"/>
    <x v="276"/>
    <x v="6"/>
    <n v="0"/>
    <x v="403"/>
    <x v="1"/>
  </r>
  <r>
    <x v="405"/>
    <x v="330"/>
    <x v="405"/>
    <x v="190"/>
    <s v="Yusuf Mehta"/>
    <x v="0"/>
    <x v="5"/>
    <x v="4"/>
    <x v="0"/>
    <x v="3"/>
    <x v="6"/>
    <x v="277"/>
    <x v="6"/>
    <n v="0.15"/>
    <x v="404"/>
    <x v="3"/>
  </r>
  <r>
    <x v="406"/>
    <x v="331"/>
    <x v="406"/>
    <x v="56"/>
    <s v="Aanya Joshi"/>
    <x v="2"/>
    <x v="5"/>
    <x v="4"/>
    <x v="0"/>
    <x v="3"/>
    <x v="13"/>
    <x v="32"/>
    <x v="1"/>
    <n v="0.05"/>
    <x v="405"/>
    <x v="2"/>
  </r>
  <r>
    <x v="407"/>
    <x v="332"/>
    <x v="407"/>
    <x v="96"/>
    <s v="Kiara Shah"/>
    <x v="1"/>
    <x v="5"/>
    <x v="4"/>
    <x v="0"/>
    <x v="3"/>
    <x v="6"/>
    <x v="262"/>
    <x v="7"/>
    <n v="0.05"/>
    <x v="406"/>
    <x v="3"/>
  </r>
  <r>
    <x v="408"/>
    <x v="333"/>
    <x v="408"/>
    <x v="191"/>
    <s v="Kabir Verma"/>
    <x v="1"/>
    <x v="13"/>
    <x v="0"/>
    <x v="0"/>
    <x v="1"/>
    <x v="9"/>
    <x v="278"/>
    <x v="0"/>
    <n v="0.05"/>
    <x v="407"/>
    <x v="1"/>
  </r>
  <r>
    <x v="409"/>
    <x v="334"/>
    <x v="409"/>
    <x v="192"/>
    <s v="Kiara Joshi"/>
    <x v="0"/>
    <x v="12"/>
    <x v="8"/>
    <x v="1"/>
    <x v="2"/>
    <x v="5"/>
    <x v="279"/>
    <x v="2"/>
    <n v="0.15"/>
    <x v="408"/>
    <x v="3"/>
  </r>
  <r>
    <x v="410"/>
    <x v="335"/>
    <x v="410"/>
    <x v="98"/>
    <s v="Sara Mehta"/>
    <x v="2"/>
    <x v="2"/>
    <x v="1"/>
    <x v="1"/>
    <x v="1"/>
    <x v="15"/>
    <x v="138"/>
    <x v="2"/>
    <n v="0"/>
    <x v="409"/>
    <x v="3"/>
  </r>
  <r>
    <x v="411"/>
    <x v="336"/>
    <x v="411"/>
    <x v="193"/>
    <s v="Meera Kapoor"/>
    <x v="1"/>
    <x v="7"/>
    <x v="4"/>
    <x v="0"/>
    <x v="0"/>
    <x v="3"/>
    <x v="280"/>
    <x v="1"/>
    <n v="0.2"/>
    <x v="410"/>
    <x v="3"/>
  </r>
  <r>
    <x v="412"/>
    <x v="337"/>
    <x v="412"/>
    <x v="37"/>
    <s v="Zoya Patel"/>
    <x v="1"/>
    <x v="8"/>
    <x v="0"/>
    <x v="0"/>
    <x v="1"/>
    <x v="9"/>
    <x v="18"/>
    <x v="4"/>
    <n v="0.2"/>
    <x v="411"/>
    <x v="0"/>
  </r>
  <r>
    <x v="413"/>
    <x v="338"/>
    <x v="413"/>
    <x v="142"/>
    <s v="Zoya Panjwani"/>
    <x v="2"/>
    <x v="13"/>
    <x v="0"/>
    <x v="0"/>
    <x v="0"/>
    <x v="0"/>
    <x v="14"/>
    <x v="1"/>
    <n v="0.2"/>
    <x v="412"/>
    <x v="0"/>
  </r>
  <r>
    <x v="414"/>
    <x v="34"/>
    <x v="414"/>
    <x v="114"/>
    <s v="Yusuf Mehta"/>
    <x v="2"/>
    <x v="0"/>
    <x v="0"/>
    <x v="0"/>
    <x v="0"/>
    <x v="11"/>
    <x v="20"/>
    <x v="3"/>
    <n v="0.2"/>
    <x v="413"/>
    <x v="0"/>
  </r>
  <r>
    <x v="415"/>
    <x v="339"/>
    <x v="415"/>
    <x v="61"/>
    <s v="Dev Panjwani"/>
    <x v="2"/>
    <x v="12"/>
    <x v="8"/>
    <x v="1"/>
    <x v="2"/>
    <x v="5"/>
    <x v="101"/>
    <x v="3"/>
    <n v="0.1"/>
    <x v="414"/>
    <x v="4"/>
  </r>
  <r>
    <x v="416"/>
    <x v="340"/>
    <x v="416"/>
    <x v="173"/>
    <s v="Dev Kapoor"/>
    <x v="2"/>
    <x v="6"/>
    <x v="5"/>
    <x v="3"/>
    <x v="2"/>
    <x v="5"/>
    <x v="281"/>
    <x v="4"/>
    <n v="0.1"/>
    <x v="415"/>
    <x v="2"/>
  </r>
  <r>
    <x v="417"/>
    <x v="341"/>
    <x v="417"/>
    <x v="32"/>
    <s v="Aditya Verma"/>
    <x v="1"/>
    <x v="8"/>
    <x v="0"/>
    <x v="0"/>
    <x v="0"/>
    <x v="3"/>
    <x v="282"/>
    <x v="5"/>
    <n v="0.2"/>
    <x v="416"/>
    <x v="0"/>
  </r>
  <r>
    <x v="418"/>
    <x v="342"/>
    <x v="418"/>
    <x v="180"/>
    <s v="Myra Patel"/>
    <x v="1"/>
    <x v="6"/>
    <x v="5"/>
    <x v="3"/>
    <x v="1"/>
    <x v="9"/>
    <x v="18"/>
    <x v="4"/>
    <n v="0.2"/>
    <x v="417"/>
    <x v="3"/>
  </r>
  <r>
    <x v="419"/>
    <x v="343"/>
    <x v="419"/>
    <x v="31"/>
    <s v="Isha Soni"/>
    <x v="2"/>
    <x v="8"/>
    <x v="0"/>
    <x v="0"/>
    <x v="2"/>
    <x v="5"/>
    <x v="122"/>
    <x v="4"/>
    <n v="0"/>
    <x v="418"/>
    <x v="3"/>
  </r>
  <r>
    <x v="420"/>
    <x v="344"/>
    <x v="420"/>
    <x v="141"/>
    <s v="Fatima Mehta"/>
    <x v="1"/>
    <x v="12"/>
    <x v="8"/>
    <x v="1"/>
    <x v="2"/>
    <x v="14"/>
    <x v="283"/>
    <x v="5"/>
    <n v="0"/>
    <x v="419"/>
    <x v="0"/>
  </r>
  <r>
    <x v="421"/>
    <x v="280"/>
    <x v="421"/>
    <x v="194"/>
    <s v="Rohan Dave"/>
    <x v="0"/>
    <x v="2"/>
    <x v="1"/>
    <x v="1"/>
    <x v="1"/>
    <x v="9"/>
    <x v="284"/>
    <x v="3"/>
    <n v="0"/>
    <x v="420"/>
    <x v="1"/>
  </r>
  <r>
    <x v="422"/>
    <x v="17"/>
    <x v="422"/>
    <x v="142"/>
    <s v="Dev Kapoor"/>
    <x v="2"/>
    <x v="7"/>
    <x v="4"/>
    <x v="0"/>
    <x v="1"/>
    <x v="18"/>
    <x v="226"/>
    <x v="1"/>
    <n v="0"/>
    <x v="421"/>
    <x v="2"/>
  </r>
  <r>
    <x v="423"/>
    <x v="68"/>
    <x v="423"/>
    <x v="68"/>
    <s v="Kabir Khan"/>
    <x v="0"/>
    <x v="8"/>
    <x v="0"/>
    <x v="0"/>
    <x v="3"/>
    <x v="7"/>
    <x v="285"/>
    <x v="1"/>
    <n v="0.15"/>
    <x v="422"/>
    <x v="2"/>
  </r>
  <r>
    <x v="424"/>
    <x v="345"/>
    <x v="424"/>
    <x v="195"/>
    <s v="Dev Panjwani"/>
    <x v="1"/>
    <x v="11"/>
    <x v="7"/>
    <x v="3"/>
    <x v="2"/>
    <x v="4"/>
    <x v="96"/>
    <x v="2"/>
    <n v="0.05"/>
    <x v="423"/>
    <x v="0"/>
  </r>
  <r>
    <x v="425"/>
    <x v="346"/>
    <x v="425"/>
    <x v="196"/>
    <s v="Myra Sheikh"/>
    <x v="1"/>
    <x v="7"/>
    <x v="4"/>
    <x v="0"/>
    <x v="0"/>
    <x v="3"/>
    <x v="286"/>
    <x v="5"/>
    <n v="0.1"/>
    <x v="424"/>
    <x v="4"/>
  </r>
  <r>
    <x v="426"/>
    <x v="347"/>
    <x v="426"/>
    <x v="197"/>
    <s v="Yusuf Soni"/>
    <x v="1"/>
    <x v="7"/>
    <x v="4"/>
    <x v="0"/>
    <x v="0"/>
    <x v="0"/>
    <x v="14"/>
    <x v="1"/>
    <n v="0.2"/>
    <x v="425"/>
    <x v="3"/>
  </r>
  <r>
    <x v="427"/>
    <x v="348"/>
    <x v="427"/>
    <x v="113"/>
    <s v="Yusuf Joshi"/>
    <x v="2"/>
    <x v="12"/>
    <x v="8"/>
    <x v="1"/>
    <x v="1"/>
    <x v="15"/>
    <x v="287"/>
    <x v="2"/>
    <n v="0.05"/>
    <x v="426"/>
    <x v="3"/>
  </r>
  <r>
    <x v="428"/>
    <x v="23"/>
    <x v="428"/>
    <x v="198"/>
    <s v="Fatima Mehta"/>
    <x v="2"/>
    <x v="5"/>
    <x v="4"/>
    <x v="0"/>
    <x v="0"/>
    <x v="19"/>
    <x v="288"/>
    <x v="0"/>
    <n v="0.1"/>
    <x v="427"/>
    <x v="3"/>
  </r>
  <r>
    <x v="429"/>
    <x v="61"/>
    <x v="429"/>
    <x v="136"/>
    <s v="Anaya Verma"/>
    <x v="1"/>
    <x v="13"/>
    <x v="0"/>
    <x v="0"/>
    <x v="0"/>
    <x v="3"/>
    <x v="39"/>
    <x v="6"/>
    <n v="0.2"/>
    <x v="428"/>
    <x v="0"/>
  </r>
  <r>
    <x v="430"/>
    <x v="57"/>
    <x v="430"/>
    <x v="129"/>
    <s v="Diya Mehta"/>
    <x v="2"/>
    <x v="8"/>
    <x v="0"/>
    <x v="0"/>
    <x v="2"/>
    <x v="2"/>
    <x v="2"/>
    <x v="2"/>
    <n v="0.05"/>
    <x v="429"/>
    <x v="1"/>
  </r>
  <r>
    <x v="431"/>
    <x v="250"/>
    <x v="431"/>
    <x v="56"/>
    <s v="Zoya Shah"/>
    <x v="0"/>
    <x v="3"/>
    <x v="2"/>
    <x v="2"/>
    <x v="1"/>
    <x v="12"/>
    <x v="212"/>
    <x v="2"/>
    <n v="0"/>
    <x v="430"/>
    <x v="1"/>
  </r>
  <r>
    <x v="432"/>
    <x v="349"/>
    <x v="432"/>
    <x v="20"/>
    <s v="Isha Kapoor"/>
    <x v="2"/>
    <x v="9"/>
    <x v="6"/>
    <x v="4"/>
    <x v="3"/>
    <x v="7"/>
    <x v="257"/>
    <x v="3"/>
    <n v="0.2"/>
    <x v="431"/>
    <x v="0"/>
  </r>
  <r>
    <x v="433"/>
    <x v="350"/>
    <x v="433"/>
    <x v="195"/>
    <s v="Myra Dave"/>
    <x v="1"/>
    <x v="3"/>
    <x v="2"/>
    <x v="2"/>
    <x v="0"/>
    <x v="0"/>
    <x v="105"/>
    <x v="1"/>
    <n v="0.15"/>
    <x v="432"/>
    <x v="1"/>
  </r>
  <r>
    <x v="434"/>
    <x v="241"/>
    <x v="434"/>
    <x v="100"/>
    <s v="Krish Panjwani"/>
    <x v="0"/>
    <x v="12"/>
    <x v="8"/>
    <x v="1"/>
    <x v="2"/>
    <x v="2"/>
    <x v="289"/>
    <x v="5"/>
    <n v="0.05"/>
    <x v="433"/>
    <x v="2"/>
  </r>
  <r>
    <x v="435"/>
    <x v="351"/>
    <x v="435"/>
    <x v="111"/>
    <s v="Yusuf Trivedi"/>
    <x v="2"/>
    <x v="4"/>
    <x v="3"/>
    <x v="1"/>
    <x v="2"/>
    <x v="10"/>
    <x v="149"/>
    <x v="3"/>
    <n v="0.2"/>
    <x v="434"/>
    <x v="4"/>
  </r>
  <r>
    <x v="436"/>
    <x v="128"/>
    <x v="436"/>
    <x v="70"/>
    <s v="Anaya Soni"/>
    <x v="1"/>
    <x v="10"/>
    <x v="0"/>
    <x v="0"/>
    <x v="3"/>
    <x v="6"/>
    <x v="196"/>
    <x v="1"/>
    <n v="0.05"/>
    <x v="435"/>
    <x v="3"/>
  </r>
  <r>
    <x v="437"/>
    <x v="352"/>
    <x v="437"/>
    <x v="132"/>
    <s v="Yusuf Khan"/>
    <x v="1"/>
    <x v="1"/>
    <x v="0"/>
    <x v="0"/>
    <x v="0"/>
    <x v="3"/>
    <x v="86"/>
    <x v="3"/>
    <n v="0.2"/>
    <x v="436"/>
    <x v="4"/>
  </r>
  <r>
    <x v="438"/>
    <x v="74"/>
    <x v="438"/>
    <x v="90"/>
    <s v="Krish Kapoor"/>
    <x v="1"/>
    <x v="6"/>
    <x v="5"/>
    <x v="3"/>
    <x v="3"/>
    <x v="7"/>
    <x v="290"/>
    <x v="1"/>
    <n v="0.1"/>
    <x v="437"/>
    <x v="2"/>
  </r>
  <r>
    <x v="439"/>
    <x v="353"/>
    <x v="439"/>
    <x v="174"/>
    <s v="Sara Shah"/>
    <x v="2"/>
    <x v="7"/>
    <x v="4"/>
    <x v="0"/>
    <x v="0"/>
    <x v="3"/>
    <x v="280"/>
    <x v="1"/>
    <n v="0.2"/>
    <x v="438"/>
    <x v="4"/>
  </r>
  <r>
    <x v="440"/>
    <x v="354"/>
    <x v="440"/>
    <x v="16"/>
    <s v="Arjun Mehta"/>
    <x v="0"/>
    <x v="9"/>
    <x v="6"/>
    <x v="4"/>
    <x v="1"/>
    <x v="12"/>
    <x v="175"/>
    <x v="6"/>
    <n v="0.05"/>
    <x v="439"/>
    <x v="2"/>
  </r>
  <r>
    <x v="441"/>
    <x v="355"/>
    <x v="441"/>
    <x v="106"/>
    <s v="Myra Rao"/>
    <x v="0"/>
    <x v="10"/>
    <x v="0"/>
    <x v="0"/>
    <x v="1"/>
    <x v="1"/>
    <x v="127"/>
    <x v="3"/>
    <n v="0"/>
    <x v="440"/>
    <x v="4"/>
  </r>
  <r>
    <x v="442"/>
    <x v="115"/>
    <x v="442"/>
    <x v="87"/>
    <s v="Kiara Patel"/>
    <x v="2"/>
    <x v="1"/>
    <x v="0"/>
    <x v="0"/>
    <x v="2"/>
    <x v="10"/>
    <x v="27"/>
    <x v="7"/>
    <n v="0.15"/>
    <x v="441"/>
    <x v="4"/>
  </r>
  <r>
    <x v="443"/>
    <x v="69"/>
    <x v="443"/>
    <x v="56"/>
    <s v="Yusuf Mehta"/>
    <x v="1"/>
    <x v="6"/>
    <x v="5"/>
    <x v="3"/>
    <x v="0"/>
    <x v="19"/>
    <x v="145"/>
    <x v="4"/>
    <n v="0.15"/>
    <x v="442"/>
    <x v="3"/>
  </r>
  <r>
    <x v="444"/>
    <x v="356"/>
    <x v="444"/>
    <x v="116"/>
    <s v="Isha Khan"/>
    <x v="1"/>
    <x v="6"/>
    <x v="5"/>
    <x v="3"/>
    <x v="2"/>
    <x v="5"/>
    <x v="13"/>
    <x v="6"/>
    <n v="0.1"/>
    <x v="443"/>
    <x v="3"/>
  </r>
  <r>
    <x v="445"/>
    <x v="357"/>
    <x v="445"/>
    <x v="95"/>
    <s v="Zoya Dave"/>
    <x v="2"/>
    <x v="4"/>
    <x v="3"/>
    <x v="1"/>
    <x v="2"/>
    <x v="10"/>
    <x v="291"/>
    <x v="0"/>
    <n v="0.1"/>
    <x v="444"/>
    <x v="2"/>
  </r>
  <r>
    <x v="446"/>
    <x v="106"/>
    <x v="446"/>
    <x v="199"/>
    <s v="Reyansh Panjwani"/>
    <x v="0"/>
    <x v="10"/>
    <x v="0"/>
    <x v="0"/>
    <x v="0"/>
    <x v="19"/>
    <x v="130"/>
    <x v="6"/>
    <n v="0.05"/>
    <x v="445"/>
    <x v="4"/>
  </r>
  <r>
    <x v="447"/>
    <x v="331"/>
    <x v="447"/>
    <x v="170"/>
    <s v="Myra Rao"/>
    <x v="1"/>
    <x v="7"/>
    <x v="4"/>
    <x v="0"/>
    <x v="0"/>
    <x v="19"/>
    <x v="145"/>
    <x v="4"/>
    <n v="0.15"/>
    <x v="446"/>
    <x v="4"/>
  </r>
  <r>
    <x v="448"/>
    <x v="250"/>
    <x v="448"/>
    <x v="200"/>
    <s v="Vivaan Khan"/>
    <x v="1"/>
    <x v="11"/>
    <x v="7"/>
    <x v="3"/>
    <x v="3"/>
    <x v="6"/>
    <x v="292"/>
    <x v="0"/>
    <n v="0"/>
    <x v="447"/>
    <x v="2"/>
  </r>
  <r>
    <x v="449"/>
    <x v="358"/>
    <x v="449"/>
    <x v="22"/>
    <s v="Diya Panjwani"/>
    <x v="1"/>
    <x v="8"/>
    <x v="0"/>
    <x v="0"/>
    <x v="0"/>
    <x v="19"/>
    <x v="293"/>
    <x v="3"/>
    <n v="0.05"/>
    <x v="448"/>
    <x v="2"/>
  </r>
  <r>
    <x v="450"/>
    <x v="359"/>
    <x v="450"/>
    <x v="201"/>
    <s v="Zoya Trivedi"/>
    <x v="0"/>
    <x v="3"/>
    <x v="2"/>
    <x v="2"/>
    <x v="0"/>
    <x v="19"/>
    <x v="294"/>
    <x v="5"/>
    <n v="0.1"/>
    <x v="449"/>
    <x v="3"/>
  </r>
  <r>
    <x v="451"/>
    <x v="360"/>
    <x v="451"/>
    <x v="0"/>
    <s v="Meera Desai"/>
    <x v="0"/>
    <x v="13"/>
    <x v="0"/>
    <x v="0"/>
    <x v="0"/>
    <x v="11"/>
    <x v="117"/>
    <x v="2"/>
    <n v="0"/>
    <x v="450"/>
    <x v="3"/>
  </r>
  <r>
    <x v="452"/>
    <x v="361"/>
    <x v="452"/>
    <x v="96"/>
    <s v="Rohan Sheikh"/>
    <x v="1"/>
    <x v="11"/>
    <x v="7"/>
    <x v="3"/>
    <x v="1"/>
    <x v="15"/>
    <x v="295"/>
    <x v="6"/>
    <n v="0.05"/>
    <x v="451"/>
    <x v="0"/>
  </r>
  <r>
    <x v="453"/>
    <x v="362"/>
    <x v="453"/>
    <x v="16"/>
    <s v="Krish Rao"/>
    <x v="1"/>
    <x v="6"/>
    <x v="5"/>
    <x v="3"/>
    <x v="1"/>
    <x v="1"/>
    <x v="296"/>
    <x v="6"/>
    <n v="0.1"/>
    <x v="452"/>
    <x v="1"/>
  </r>
  <r>
    <x v="454"/>
    <x v="363"/>
    <x v="454"/>
    <x v="202"/>
    <s v="Krish Joshi"/>
    <x v="2"/>
    <x v="10"/>
    <x v="0"/>
    <x v="0"/>
    <x v="0"/>
    <x v="8"/>
    <x v="59"/>
    <x v="3"/>
    <n v="0.2"/>
    <x v="453"/>
    <x v="4"/>
  </r>
  <r>
    <x v="455"/>
    <x v="24"/>
    <x v="455"/>
    <x v="143"/>
    <s v="Myra Kapoor"/>
    <x v="2"/>
    <x v="11"/>
    <x v="7"/>
    <x v="3"/>
    <x v="3"/>
    <x v="6"/>
    <x v="114"/>
    <x v="4"/>
    <n v="0"/>
    <x v="454"/>
    <x v="1"/>
  </r>
  <r>
    <x v="456"/>
    <x v="328"/>
    <x v="456"/>
    <x v="203"/>
    <s v="Krish Soni"/>
    <x v="1"/>
    <x v="7"/>
    <x v="4"/>
    <x v="0"/>
    <x v="2"/>
    <x v="10"/>
    <x v="297"/>
    <x v="5"/>
    <n v="0.1"/>
    <x v="455"/>
    <x v="1"/>
  </r>
  <r>
    <x v="457"/>
    <x v="148"/>
    <x v="457"/>
    <x v="204"/>
    <s v="Rohan Kapoor"/>
    <x v="1"/>
    <x v="8"/>
    <x v="0"/>
    <x v="0"/>
    <x v="2"/>
    <x v="4"/>
    <x v="30"/>
    <x v="3"/>
    <n v="0"/>
    <x v="456"/>
    <x v="2"/>
  </r>
  <r>
    <x v="458"/>
    <x v="364"/>
    <x v="458"/>
    <x v="10"/>
    <s v="Kiara Sheikh"/>
    <x v="2"/>
    <x v="8"/>
    <x v="0"/>
    <x v="0"/>
    <x v="2"/>
    <x v="10"/>
    <x v="298"/>
    <x v="6"/>
    <n v="0.05"/>
    <x v="457"/>
    <x v="3"/>
  </r>
  <r>
    <x v="459"/>
    <x v="365"/>
    <x v="459"/>
    <x v="26"/>
    <s v="Yusuf Panjwani"/>
    <x v="0"/>
    <x v="4"/>
    <x v="3"/>
    <x v="1"/>
    <x v="1"/>
    <x v="9"/>
    <x v="42"/>
    <x v="7"/>
    <n v="0.2"/>
    <x v="458"/>
    <x v="3"/>
  </r>
  <r>
    <x v="460"/>
    <x v="366"/>
    <x v="460"/>
    <x v="201"/>
    <s v="Vivaan Joshi"/>
    <x v="1"/>
    <x v="6"/>
    <x v="5"/>
    <x v="3"/>
    <x v="1"/>
    <x v="18"/>
    <x v="246"/>
    <x v="7"/>
    <n v="0.05"/>
    <x v="459"/>
    <x v="1"/>
  </r>
  <r>
    <x v="461"/>
    <x v="240"/>
    <x v="461"/>
    <x v="62"/>
    <s v="Fatima Iyer"/>
    <x v="2"/>
    <x v="2"/>
    <x v="1"/>
    <x v="1"/>
    <x v="1"/>
    <x v="15"/>
    <x v="51"/>
    <x v="3"/>
    <n v="0.1"/>
    <x v="460"/>
    <x v="4"/>
  </r>
  <r>
    <x v="462"/>
    <x v="367"/>
    <x v="462"/>
    <x v="86"/>
    <s v="Aanya Sheikh"/>
    <x v="0"/>
    <x v="7"/>
    <x v="4"/>
    <x v="0"/>
    <x v="0"/>
    <x v="3"/>
    <x v="86"/>
    <x v="0"/>
    <n v="0"/>
    <x v="461"/>
    <x v="0"/>
  </r>
  <r>
    <x v="463"/>
    <x v="368"/>
    <x v="463"/>
    <x v="191"/>
    <s v="Myra Soni"/>
    <x v="0"/>
    <x v="8"/>
    <x v="0"/>
    <x v="0"/>
    <x v="3"/>
    <x v="6"/>
    <x v="299"/>
    <x v="0"/>
    <n v="0.05"/>
    <x v="462"/>
    <x v="4"/>
  </r>
  <r>
    <x v="464"/>
    <x v="66"/>
    <x v="464"/>
    <x v="172"/>
    <s v="Anaya Kapoor"/>
    <x v="2"/>
    <x v="4"/>
    <x v="3"/>
    <x v="1"/>
    <x v="0"/>
    <x v="19"/>
    <x v="300"/>
    <x v="0"/>
    <n v="0"/>
    <x v="463"/>
    <x v="3"/>
  </r>
  <r>
    <x v="465"/>
    <x v="369"/>
    <x v="465"/>
    <x v="73"/>
    <s v="Kiara Patel"/>
    <x v="1"/>
    <x v="4"/>
    <x v="3"/>
    <x v="1"/>
    <x v="3"/>
    <x v="13"/>
    <x v="221"/>
    <x v="6"/>
    <n v="0"/>
    <x v="464"/>
    <x v="1"/>
  </r>
  <r>
    <x v="466"/>
    <x v="370"/>
    <x v="466"/>
    <x v="154"/>
    <s v="Reyansh Trivedi"/>
    <x v="2"/>
    <x v="8"/>
    <x v="0"/>
    <x v="0"/>
    <x v="3"/>
    <x v="16"/>
    <x v="45"/>
    <x v="0"/>
    <n v="0"/>
    <x v="465"/>
    <x v="4"/>
  </r>
  <r>
    <x v="467"/>
    <x v="289"/>
    <x v="467"/>
    <x v="205"/>
    <s v="Vivaan Patel"/>
    <x v="2"/>
    <x v="6"/>
    <x v="5"/>
    <x v="3"/>
    <x v="0"/>
    <x v="19"/>
    <x v="255"/>
    <x v="1"/>
    <n v="0.05"/>
    <x v="466"/>
    <x v="0"/>
  </r>
  <r>
    <x v="468"/>
    <x v="72"/>
    <x v="468"/>
    <x v="118"/>
    <s v="Myra Panjwani"/>
    <x v="2"/>
    <x v="6"/>
    <x v="5"/>
    <x v="3"/>
    <x v="1"/>
    <x v="1"/>
    <x v="301"/>
    <x v="3"/>
    <n v="0.1"/>
    <x v="467"/>
    <x v="2"/>
  </r>
  <r>
    <x v="469"/>
    <x v="371"/>
    <x v="469"/>
    <x v="193"/>
    <s v="Sara Sheikh"/>
    <x v="2"/>
    <x v="10"/>
    <x v="0"/>
    <x v="0"/>
    <x v="3"/>
    <x v="16"/>
    <x v="49"/>
    <x v="0"/>
    <n v="0.1"/>
    <x v="468"/>
    <x v="2"/>
  </r>
  <r>
    <x v="470"/>
    <x v="216"/>
    <x v="470"/>
    <x v="206"/>
    <s v="Diya Rao"/>
    <x v="0"/>
    <x v="0"/>
    <x v="0"/>
    <x v="0"/>
    <x v="2"/>
    <x v="14"/>
    <x v="236"/>
    <x v="7"/>
    <n v="0.2"/>
    <x v="469"/>
    <x v="2"/>
  </r>
  <r>
    <x v="471"/>
    <x v="372"/>
    <x v="471"/>
    <x v="182"/>
    <s v="Anaya Panjwani"/>
    <x v="1"/>
    <x v="10"/>
    <x v="0"/>
    <x v="0"/>
    <x v="3"/>
    <x v="17"/>
    <x v="143"/>
    <x v="1"/>
    <n v="0"/>
    <x v="470"/>
    <x v="1"/>
  </r>
  <r>
    <x v="472"/>
    <x v="344"/>
    <x v="472"/>
    <x v="174"/>
    <s v="Isha Khan"/>
    <x v="1"/>
    <x v="14"/>
    <x v="9"/>
    <x v="3"/>
    <x v="3"/>
    <x v="7"/>
    <x v="302"/>
    <x v="4"/>
    <n v="0.05"/>
    <x v="471"/>
    <x v="3"/>
  </r>
  <r>
    <x v="473"/>
    <x v="85"/>
    <x v="473"/>
    <x v="3"/>
    <s v="Anaya Mehta"/>
    <x v="2"/>
    <x v="12"/>
    <x v="8"/>
    <x v="1"/>
    <x v="2"/>
    <x v="10"/>
    <x v="303"/>
    <x v="6"/>
    <n v="0.2"/>
    <x v="472"/>
    <x v="2"/>
  </r>
  <r>
    <x v="474"/>
    <x v="373"/>
    <x v="474"/>
    <x v="152"/>
    <s v="Vivaan Joshi"/>
    <x v="1"/>
    <x v="2"/>
    <x v="1"/>
    <x v="1"/>
    <x v="0"/>
    <x v="19"/>
    <x v="300"/>
    <x v="0"/>
    <n v="0"/>
    <x v="473"/>
    <x v="0"/>
  </r>
  <r>
    <x v="475"/>
    <x v="374"/>
    <x v="475"/>
    <x v="114"/>
    <s v="Zoya Trivedi"/>
    <x v="0"/>
    <x v="11"/>
    <x v="7"/>
    <x v="3"/>
    <x v="0"/>
    <x v="3"/>
    <x v="159"/>
    <x v="7"/>
    <n v="0"/>
    <x v="474"/>
    <x v="0"/>
  </r>
  <r>
    <x v="476"/>
    <x v="92"/>
    <x v="476"/>
    <x v="187"/>
    <s v="Kiara Trivedi"/>
    <x v="2"/>
    <x v="3"/>
    <x v="2"/>
    <x v="2"/>
    <x v="1"/>
    <x v="18"/>
    <x v="304"/>
    <x v="4"/>
    <n v="0.1"/>
    <x v="475"/>
    <x v="1"/>
  </r>
  <r>
    <x v="477"/>
    <x v="135"/>
    <x v="477"/>
    <x v="116"/>
    <s v="Meera Desai"/>
    <x v="2"/>
    <x v="11"/>
    <x v="7"/>
    <x v="3"/>
    <x v="3"/>
    <x v="13"/>
    <x v="180"/>
    <x v="1"/>
    <n v="0.15"/>
    <x v="476"/>
    <x v="1"/>
  </r>
  <r>
    <x v="478"/>
    <x v="375"/>
    <x v="478"/>
    <x v="204"/>
    <s v="Aditya Panjwani"/>
    <x v="0"/>
    <x v="3"/>
    <x v="2"/>
    <x v="2"/>
    <x v="3"/>
    <x v="13"/>
    <x v="79"/>
    <x v="7"/>
    <n v="0.15"/>
    <x v="477"/>
    <x v="4"/>
  </r>
  <r>
    <x v="479"/>
    <x v="376"/>
    <x v="479"/>
    <x v="155"/>
    <s v="Anaya Khan"/>
    <x v="1"/>
    <x v="11"/>
    <x v="7"/>
    <x v="3"/>
    <x v="2"/>
    <x v="10"/>
    <x v="305"/>
    <x v="4"/>
    <n v="0"/>
    <x v="478"/>
    <x v="1"/>
  </r>
  <r>
    <x v="480"/>
    <x v="1"/>
    <x v="480"/>
    <x v="123"/>
    <s v="Kabir Patel"/>
    <x v="1"/>
    <x v="12"/>
    <x v="8"/>
    <x v="1"/>
    <x v="3"/>
    <x v="6"/>
    <x v="306"/>
    <x v="3"/>
    <n v="0"/>
    <x v="479"/>
    <x v="0"/>
  </r>
  <r>
    <x v="481"/>
    <x v="377"/>
    <x v="481"/>
    <x v="185"/>
    <s v="Aanya Rao"/>
    <x v="2"/>
    <x v="1"/>
    <x v="0"/>
    <x v="0"/>
    <x v="3"/>
    <x v="16"/>
    <x v="307"/>
    <x v="6"/>
    <n v="0.15"/>
    <x v="480"/>
    <x v="1"/>
  </r>
  <r>
    <x v="482"/>
    <x v="378"/>
    <x v="482"/>
    <x v="49"/>
    <s v="Dev Shah"/>
    <x v="1"/>
    <x v="13"/>
    <x v="0"/>
    <x v="0"/>
    <x v="2"/>
    <x v="10"/>
    <x v="132"/>
    <x v="3"/>
    <n v="0"/>
    <x v="481"/>
    <x v="2"/>
  </r>
  <r>
    <x v="483"/>
    <x v="379"/>
    <x v="483"/>
    <x v="58"/>
    <s v="Kiara Verma"/>
    <x v="0"/>
    <x v="10"/>
    <x v="0"/>
    <x v="0"/>
    <x v="1"/>
    <x v="9"/>
    <x v="308"/>
    <x v="0"/>
    <n v="0.15"/>
    <x v="482"/>
    <x v="0"/>
  </r>
  <r>
    <x v="484"/>
    <x v="81"/>
    <x v="484"/>
    <x v="105"/>
    <s v="Kiara Panjwani"/>
    <x v="0"/>
    <x v="2"/>
    <x v="1"/>
    <x v="1"/>
    <x v="0"/>
    <x v="19"/>
    <x v="309"/>
    <x v="2"/>
    <n v="0"/>
    <x v="483"/>
    <x v="4"/>
  </r>
  <r>
    <x v="485"/>
    <x v="380"/>
    <x v="485"/>
    <x v="95"/>
    <s v="Zoya Panjwani"/>
    <x v="0"/>
    <x v="11"/>
    <x v="7"/>
    <x v="3"/>
    <x v="3"/>
    <x v="17"/>
    <x v="156"/>
    <x v="6"/>
    <n v="0.15"/>
    <x v="484"/>
    <x v="0"/>
  </r>
  <r>
    <x v="486"/>
    <x v="154"/>
    <x v="486"/>
    <x v="13"/>
    <s v="Arjun Trivedi"/>
    <x v="2"/>
    <x v="5"/>
    <x v="4"/>
    <x v="0"/>
    <x v="1"/>
    <x v="9"/>
    <x v="55"/>
    <x v="0"/>
    <n v="0.1"/>
    <x v="485"/>
    <x v="0"/>
  </r>
  <r>
    <x v="487"/>
    <x v="381"/>
    <x v="331"/>
    <x v="185"/>
    <s v="Sara Patel"/>
    <x v="2"/>
    <x v="0"/>
    <x v="0"/>
    <x v="0"/>
    <x v="2"/>
    <x v="14"/>
    <x v="310"/>
    <x v="1"/>
    <n v="0.15"/>
    <x v="486"/>
    <x v="2"/>
  </r>
  <r>
    <x v="488"/>
    <x v="382"/>
    <x v="487"/>
    <x v="152"/>
    <s v="Vivaan Mehta"/>
    <x v="2"/>
    <x v="5"/>
    <x v="4"/>
    <x v="0"/>
    <x v="2"/>
    <x v="14"/>
    <x v="131"/>
    <x v="4"/>
    <n v="0"/>
    <x v="487"/>
    <x v="4"/>
  </r>
  <r>
    <x v="489"/>
    <x v="287"/>
    <x v="260"/>
    <x v="22"/>
    <s v="Reyansh Verma"/>
    <x v="1"/>
    <x v="10"/>
    <x v="0"/>
    <x v="0"/>
    <x v="1"/>
    <x v="15"/>
    <x v="76"/>
    <x v="3"/>
    <n v="0"/>
    <x v="488"/>
    <x v="4"/>
  </r>
  <r>
    <x v="490"/>
    <x v="383"/>
    <x v="160"/>
    <x v="192"/>
    <s v="Yusuf Panjwani"/>
    <x v="1"/>
    <x v="8"/>
    <x v="0"/>
    <x v="0"/>
    <x v="3"/>
    <x v="7"/>
    <x v="205"/>
    <x v="5"/>
    <n v="0.15"/>
    <x v="489"/>
    <x v="1"/>
  </r>
  <r>
    <x v="491"/>
    <x v="384"/>
    <x v="295"/>
    <x v="78"/>
    <s v="Meera Sheikh"/>
    <x v="1"/>
    <x v="5"/>
    <x v="4"/>
    <x v="0"/>
    <x v="0"/>
    <x v="19"/>
    <x v="309"/>
    <x v="2"/>
    <n v="0"/>
    <x v="490"/>
    <x v="0"/>
  </r>
  <r>
    <x v="492"/>
    <x v="385"/>
    <x v="488"/>
    <x v="56"/>
    <s v="Vivaan Patel"/>
    <x v="0"/>
    <x v="11"/>
    <x v="7"/>
    <x v="3"/>
    <x v="2"/>
    <x v="14"/>
    <x v="311"/>
    <x v="4"/>
    <n v="0.05"/>
    <x v="491"/>
    <x v="0"/>
  </r>
  <r>
    <x v="493"/>
    <x v="386"/>
    <x v="343"/>
    <x v="69"/>
    <s v="Vivaan Trivedi"/>
    <x v="1"/>
    <x v="2"/>
    <x v="1"/>
    <x v="1"/>
    <x v="2"/>
    <x v="2"/>
    <x v="2"/>
    <x v="2"/>
    <n v="0.05"/>
    <x v="492"/>
    <x v="0"/>
  </r>
  <r>
    <x v="494"/>
    <x v="387"/>
    <x v="489"/>
    <x v="116"/>
    <s v="Vivaan Iyer"/>
    <x v="1"/>
    <x v="0"/>
    <x v="0"/>
    <x v="0"/>
    <x v="3"/>
    <x v="17"/>
    <x v="116"/>
    <x v="5"/>
    <n v="0.1"/>
    <x v="493"/>
    <x v="0"/>
  </r>
  <r>
    <x v="495"/>
    <x v="181"/>
    <x v="490"/>
    <x v="46"/>
    <s v="Dev Desai"/>
    <x v="1"/>
    <x v="6"/>
    <x v="5"/>
    <x v="3"/>
    <x v="3"/>
    <x v="7"/>
    <x v="240"/>
    <x v="0"/>
    <n v="0.15"/>
    <x v="494"/>
    <x v="1"/>
  </r>
  <r>
    <x v="496"/>
    <x v="388"/>
    <x v="491"/>
    <x v="199"/>
    <s v="Zoya Trivedi"/>
    <x v="1"/>
    <x v="7"/>
    <x v="4"/>
    <x v="0"/>
    <x v="0"/>
    <x v="3"/>
    <x v="312"/>
    <x v="5"/>
    <n v="0"/>
    <x v="495"/>
    <x v="4"/>
  </r>
  <r>
    <x v="497"/>
    <x v="151"/>
    <x v="492"/>
    <x v="42"/>
    <s v="Rohan Dave"/>
    <x v="1"/>
    <x v="12"/>
    <x v="8"/>
    <x v="1"/>
    <x v="2"/>
    <x v="14"/>
    <x v="311"/>
    <x v="4"/>
    <n v="0.05"/>
    <x v="496"/>
    <x v="0"/>
  </r>
  <r>
    <x v="498"/>
    <x v="389"/>
    <x v="493"/>
    <x v="139"/>
    <s v="Diya Desai"/>
    <x v="0"/>
    <x v="10"/>
    <x v="0"/>
    <x v="0"/>
    <x v="1"/>
    <x v="15"/>
    <x v="313"/>
    <x v="4"/>
    <n v="0.2"/>
    <x v="497"/>
    <x v="2"/>
  </r>
  <r>
    <x v="499"/>
    <x v="390"/>
    <x v="241"/>
    <x v="207"/>
    <s v="Rohan Khan"/>
    <x v="1"/>
    <x v="3"/>
    <x v="2"/>
    <x v="2"/>
    <x v="0"/>
    <x v="11"/>
    <x v="314"/>
    <x v="6"/>
    <n v="0.2"/>
    <x v="498"/>
    <x v="4"/>
  </r>
  <r>
    <x v="500"/>
    <x v="391"/>
    <x v="494"/>
    <x v="34"/>
    <s v="Vivaan Verma"/>
    <x v="0"/>
    <x v="11"/>
    <x v="7"/>
    <x v="3"/>
    <x v="1"/>
    <x v="1"/>
    <x v="315"/>
    <x v="3"/>
    <n v="0.15"/>
    <x v="499"/>
    <x v="1"/>
  </r>
  <r>
    <x v="501"/>
    <x v="392"/>
    <x v="495"/>
    <x v="122"/>
    <s v="Meera Joshi"/>
    <x v="1"/>
    <x v="9"/>
    <x v="6"/>
    <x v="4"/>
    <x v="2"/>
    <x v="14"/>
    <x v="131"/>
    <x v="4"/>
    <n v="0"/>
    <x v="500"/>
    <x v="0"/>
  </r>
  <r>
    <x v="502"/>
    <x v="393"/>
    <x v="16"/>
    <x v="208"/>
    <s v="Krish Desai"/>
    <x v="2"/>
    <x v="1"/>
    <x v="0"/>
    <x v="0"/>
    <x v="3"/>
    <x v="17"/>
    <x v="276"/>
    <x v="6"/>
    <n v="0"/>
    <x v="501"/>
    <x v="3"/>
  </r>
  <r>
    <x v="503"/>
    <x v="394"/>
    <x v="351"/>
    <x v="53"/>
    <s v="Rohan Soni"/>
    <x v="0"/>
    <x v="1"/>
    <x v="0"/>
    <x v="0"/>
    <x v="0"/>
    <x v="19"/>
    <x v="256"/>
    <x v="5"/>
    <n v="0"/>
    <x v="502"/>
    <x v="1"/>
  </r>
  <r>
    <x v="504"/>
    <x v="395"/>
    <x v="496"/>
    <x v="115"/>
    <s v="Zoya Kapoor"/>
    <x v="2"/>
    <x v="9"/>
    <x v="6"/>
    <x v="4"/>
    <x v="0"/>
    <x v="8"/>
    <x v="314"/>
    <x v="7"/>
    <n v="0.1"/>
    <x v="503"/>
    <x v="4"/>
  </r>
  <r>
    <x v="505"/>
    <x v="396"/>
    <x v="497"/>
    <x v="117"/>
    <s v="Aarav Soni"/>
    <x v="2"/>
    <x v="10"/>
    <x v="0"/>
    <x v="0"/>
    <x v="0"/>
    <x v="11"/>
    <x v="186"/>
    <x v="3"/>
    <n v="0.1"/>
    <x v="504"/>
    <x v="2"/>
  </r>
  <r>
    <x v="506"/>
    <x v="397"/>
    <x v="498"/>
    <x v="49"/>
    <s v="Meera Rao"/>
    <x v="0"/>
    <x v="9"/>
    <x v="6"/>
    <x v="4"/>
    <x v="3"/>
    <x v="13"/>
    <x v="316"/>
    <x v="5"/>
    <n v="0.2"/>
    <x v="505"/>
    <x v="2"/>
  </r>
  <r>
    <x v="507"/>
    <x v="398"/>
    <x v="499"/>
    <x v="18"/>
    <s v="Vivaan Desai"/>
    <x v="0"/>
    <x v="14"/>
    <x v="9"/>
    <x v="3"/>
    <x v="1"/>
    <x v="12"/>
    <x v="317"/>
    <x v="3"/>
    <n v="0.15"/>
    <x v="506"/>
    <x v="2"/>
  </r>
  <r>
    <x v="508"/>
    <x v="399"/>
    <x v="500"/>
    <x v="209"/>
    <s v="Vivaan Panjwani"/>
    <x v="1"/>
    <x v="12"/>
    <x v="8"/>
    <x v="1"/>
    <x v="1"/>
    <x v="1"/>
    <x v="207"/>
    <x v="3"/>
    <n v="0.2"/>
    <x v="507"/>
    <x v="3"/>
  </r>
  <r>
    <x v="509"/>
    <x v="400"/>
    <x v="286"/>
    <x v="179"/>
    <s v="Vivaan Verma"/>
    <x v="1"/>
    <x v="5"/>
    <x v="4"/>
    <x v="0"/>
    <x v="2"/>
    <x v="5"/>
    <x v="267"/>
    <x v="5"/>
    <n v="0"/>
    <x v="508"/>
    <x v="4"/>
  </r>
  <r>
    <x v="510"/>
    <x v="401"/>
    <x v="250"/>
    <x v="82"/>
    <s v="Vivaan Mehta"/>
    <x v="1"/>
    <x v="7"/>
    <x v="4"/>
    <x v="0"/>
    <x v="0"/>
    <x v="19"/>
    <x v="318"/>
    <x v="3"/>
    <n v="0"/>
    <x v="509"/>
    <x v="3"/>
  </r>
  <r>
    <x v="511"/>
    <x v="402"/>
    <x v="501"/>
    <x v="152"/>
    <s v="Kabir Verma"/>
    <x v="2"/>
    <x v="14"/>
    <x v="9"/>
    <x v="3"/>
    <x v="1"/>
    <x v="9"/>
    <x v="85"/>
    <x v="0"/>
    <n v="0"/>
    <x v="510"/>
    <x v="2"/>
  </r>
  <r>
    <x v="512"/>
    <x v="403"/>
    <x v="502"/>
    <x v="136"/>
    <s v="Isha Desai"/>
    <x v="1"/>
    <x v="14"/>
    <x v="9"/>
    <x v="3"/>
    <x v="3"/>
    <x v="17"/>
    <x v="319"/>
    <x v="4"/>
    <n v="0.1"/>
    <x v="511"/>
    <x v="1"/>
  </r>
  <r>
    <x v="513"/>
    <x v="404"/>
    <x v="503"/>
    <x v="155"/>
    <s v="Reyansh Shah"/>
    <x v="1"/>
    <x v="0"/>
    <x v="0"/>
    <x v="0"/>
    <x v="0"/>
    <x v="19"/>
    <x v="320"/>
    <x v="0"/>
    <n v="0.2"/>
    <x v="512"/>
    <x v="0"/>
  </r>
  <r>
    <x v="514"/>
    <x v="405"/>
    <x v="237"/>
    <x v="210"/>
    <s v="Meera Verma"/>
    <x v="2"/>
    <x v="6"/>
    <x v="5"/>
    <x v="3"/>
    <x v="0"/>
    <x v="19"/>
    <x v="288"/>
    <x v="0"/>
    <n v="0.1"/>
    <x v="513"/>
    <x v="4"/>
  </r>
  <r>
    <x v="515"/>
    <x v="406"/>
    <x v="504"/>
    <x v="26"/>
    <s v="Diya Sheikh"/>
    <x v="1"/>
    <x v="4"/>
    <x v="3"/>
    <x v="1"/>
    <x v="2"/>
    <x v="5"/>
    <x v="321"/>
    <x v="5"/>
    <n v="0.1"/>
    <x v="514"/>
    <x v="3"/>
  </r>
  <r>
    <x v="516"/>
    <x v="322"/>
    <x v="505"/>
    <x v="193"/>
    <s v="Diya Desai"/>
    <x v="2"/>
    <x v="4"/>
    <x v="3"/>
    <x v="1"/>
    <x v="2"/>
    <x v="5"/>
    <x v="279"/>
    <x v="2"/>
    <n v="0.15"/>
    <x v="515"/>
    <x v="0"/>
  </r>
  <r>
    <x v="517"/>
    <x v="407"/>
    <x v="506"/>
    <x v="131"/>
    <s v="Diya Verma"/>
    <x v="0"/>
    <x v="2"/>
    <x v="1"/>
    <x v="1"/>
    <x v="0"/>
    <x v="19"/>
    <x v="322"/>
    <x v="4"/>
    <n v="0.1"/>
    <x v="516"/>
    <x v="2"/>
  </r>
  <r>
    <x v="518"/>
    <x v="408"/>
    <x v="507"/>
    <x v="37"/>
    <s v="Kiara Mehta"/>
    <x v="2"/>
    <x v="12"/>
    <x v="8"/>
    <x v="1"/>
    <x v="3"/>
    <x v="16"/>
    <x v="323"/>
    <x v="5"/>
    <n v="0"/>
    <x v="517"/>
    <x v="0"/>
  </r>
  <r>
    <x v="519"/>
    <x v="225"/>
    <x v="508"/>
    <x v="64"/>
    <s v="Isha Verma"/>
    <x v="0"/>
    <x v="0"/>
    <x v="0"/>
    <x v="0"/>
    <x v="1"/>
    <x v="12"/>
    <x v="301"/>
    <x v="0"/>
    <n v="0.1"/>
    <x v="518"/>
    <x v="1"/>
  </r>
  <r>
    <x v="520"/>
    <x v="409"/>
    <x v="509"/>
    <x v="34"/>
    <s v="Dev Dave"/>
    <x v="1"/>
    <x v="4"/>
    <x v="3"/>
    <x v="1"/>
    <x v="3"/>
    <x v="17"/>
    <x v="57"/>
    <x v="5"/>
    <n v="0.15"/>
    <x v="519"/>
    <x v="0"/>
  </r>
  <r>
    <x v="521"/>
    <x v="193"/>
    <x v="510"/>
    <x v="58"/>
    <s v="Diya Panjwani"/>
    <x v="2"/>
    <x v="0"/>
    <x v="0"/>
    <x v="0"/>
    <x v="1"/>
    <x v="15"/>
    <x v="167"/>
    <x v="4"/>
    <n v="0"/>
    <x v="520"/>
    <x v="4"/>
  </r>
  <r>
    <x v="522"/>
    <x v="235"/>
    <x v="99"/>
    <x v="178"/>
    <s v="Meera Iyer"/>
    <x v="2"/>
    <x v="6"/>
    <x v="5"/>
    <x v="3"/>
    <x v="0"/>
    <x v="0"/>
    <x v="324"/>
    <x v="5"/>
    <n v="0"/>
    <x v="521"/>
    <x v="1"/>
  </r>
  <r>
    <x v="523"/>
    <x v="248"/>
    <x v="511"/>
    <x v="88"/>
    <s v="Reyansh Dave"/>
    <x v="0"/>
    <x v="3"/>
    <x v="2"/>
    <x v="2"/>
    <x v="3"/>
    <x v="7"/>
    <x v="285"/>
    <x v="1"/>
    <n v="0.15"/>
    <x v="522"/>
    <x v="0"/>
  </r>
  <r>
    <x v="524"/>
    <x v="410"/>
    <x v="512"/>
    <x v="133"/>
    <s v="Meera Kapoor"/>
    <x v="0"/>
    <x v="6"/>
    <x v="5"/>
    <x v="3"/>
    <x v="2"/>
    <x v="5"/>
    <x v="171"/>
    <x v="1"/>
    <n v="0"/>
    <x v="523"/>
    <x v="2"/>
  </r>
  <r>
    <x v="525"/>
    <x v="411"/>
    <x v="493"/>
    <x v="211"/>
    <s v="Yusuf Rao"/>
    <x v="0"/>
    <x v="8"/>
    <x v="0"/>
    <x v="0"/>
    <x v="2"/>
    <x v="14"/>
    <x v="73"/>
    <x v="1"/>
    <n v="0"/>
    <x v="524"/>
    <x v="4"/>
  </r>
  <r>
    <x v="526"/>
    <x v="412"/>
    <x v="513"/>
    <x v="212"/>
    <s v="Meera Dave"/>
    <x v="0"/>
    <x v="0"/>
    <x v="0"/>
    <x v="0"/>
    <x v="2"/>
    <x v="4"/>
    <x v="325"/>
    <x v="4"/>
    <n v="0"/>
    <x v="525"/>
    <x v="2"/>
  </r>
  <r>
    <x v="527"/>
    <x v="132"/>
    <x v="338"/>
    <x v="176"/>
    <s v="Krish Rao"/>
    <x v="1"/>
    <x v="4"/>
    <x v="3"/>
    <x v="1"/>
    <x v="0"/>
    <x v="11"/>
    <x v="124"/>
    <x v="5"/>
    <n v="0.05"/>
    <x v="526"/>
    <x v="0"/>
  </r>
  <r>
    <x v="528"/>
    <x v="413"/>
    <x v="213"/>
    <x v="213"/>
    <s v="Aditya Soni"/>
    <x v="2"/>
    <x v="1"/>
    <x v="0"/>
    <x v="0"/>
    <x v="0"/>
    <x v="19"/>
    <x v="265"/>
    <x v="4"/>
    <n v="0"/>
    <x v="527"/>
    <x v="3"/>
  </r>
  <r>
    <x v="529"/>
    <x v="391"/>
    <x v="494"/>
    <x v="63"/>
    <s v="Sara Panjwani"/>
    <x v="0"/>
    <x v="10"/>
    <x v="0"/>
    <x v="0"/>
    <x v="2"/>
    <x v="10"/>
    <x v="297"/>
    <x v="5"/>
    <n v="0.1"/>
    <x v="528"/>
    <x v="4"/>
  </r>
  <r>
    <x v="530"/>
    <x v="414"/>
    <x v="514"/>
    <x v="186"/>
    <s v="Fatima Iyer"/>
    <x v="1"/>
    <x v="14"/>
    <x v="9"/>
    <x v="3"/>
    <x v="0"/>
    <x v="0"/>
    <x v="326"/>
    <x v="7"/>
    <n v="0.15"/>
    <x v="529"/>
    <x v="3"/>
  </r>
  <r>
    <x v="531"/>
    <x v="255"/>
    <x v="515"/>
    <x v="112"/>
    <s v="Anaya Verma"/>
    <x v="1"/>
    <x v="13"/>
    <x v="0"/>
    <x v="0"/>
    <x v="1"/>
    <x v="18"/>
    <x v="85"/>
    <x v="5"/>
    <n v="0"/>
    <x v="530"/>
    <x v="3"/>
  </r>
  <r>
    <x v="532"/>
    <x v="272"/>
    <x v="516"/>
    <x v="62"/>
    <s v="Sara Joshi"/>
    <x v="1"/>
    <x v="0"/>
    <x v="0"/>
    <x v="0"/>
    <x v="0"/>
    <x v="8"/>
    <x v="59"/>
    <x v="0"/>
    <n v="0"/>
    <x v="531"/>
    <x v="4"/>
  </r>
  <r>
    <x v="533"/>
    <x v="415"/>
    <x v="517"/>
    <x v="168"/>
    <s v="Yusuf Dave"/>
    <x v="1"/>
    <x v="11"/>
    <x v="7"/>
    <x v="3"/>
    <x v="0"/>
    <x v="11"/>
    <x v="104"/>
    <x v="5"/>
    <n v="0.2"/>
    <x v="532"/>
    <x v="2"/>
  </r>
  <r>
    <x v="534"/>
    <x v="416"/>
    <x v="518"/>
    <x v="110"/>
    <s v="Vivaan Kapoor"/>
    <x v="2"/>
    <x v="3"/>
    <x v="2"/>
    <x v="2"/>
    <x v="0"/>
    <x v="19"/>
    <x v="327"/>
    <x v="7"/>
    <n v="0"/>
    <x v="533"/>
    <x v="3"/>
  </r>
  <r>
    <x v="535"/>
    <x v="417"/>
    <x v="265"/>
    <x v="151"/>
    <s v="Kiara Soni"/>
    <x v="1"/>
    <x v="6"/>
    <x v="5"/>
    <x v="3"/>
    <x v="3"/>
    <x v="16"/>
    <x v="106"/>
    <x v="3"/>
    <n v="0.15"/>
    <x v="534"/>
    <x v="2"/>
  </r>
  <r>
    <x v="536"/>
    <x v="418"/>
    <x v="519"/>
    <x v="81"/>
    <s v="Krish Kapoor"/>
    <x v="0"/>
    <x v="5"/>
    <x v="4"/>
    <x v="0"/>
    <x v="0"/>
    <x v="11"/>
    <x v="172"/>
    <x v="4"/>
    <n v="0.05"/>
    <x v="535"/>
    <x v="2"/>
  </r>
  <r>
    <x v="537"/>
    <x v="137"/>
    <x v="520"/>
    <x v="151"/>
    <s v="Diya Joshi"/>
    <x v="2"/>
    <x v="7"/>
    <x v="4"/>
    <x v="0"/>
    <x v="1"/>
    <x v="9"/>
    <x v="328"/>
    <x v="5"/>
    <n v="0.05"/>
    <x v="536"/>
    <x v="1"/>
  </r>
  <r>
    <x v="538"/>
    <x v="419"/>
    <x v="521"/>
    <x v="139"/>
    <s v="Zoya Iyer"/>
    <x v="1"/>
    <x v="5"/>
    <x v="4"/>
    <x v="0"/>
    <x v="3"/>
    <x v="17"/>
    <x v="329"/>
    <x v="0"/>
    <n v="0.15"/>
    <x v="537"/>
    <x v="2"/>
  </r>
  <r>
    <x v="539"/>
    <x v="420"/>
    <x v="281"/>
    <x v="110"/>
    <s v="Dev Joshi"/>
    <x v="2"/>
    <x v="6"/>
    <x v="5"/>
    <x v="3"/>
    <x v="2"/>
    <x v="4"/>
    <x v="325"/>
    <x v="4"/>
    <n v="0"/>
    <x v="538"/>
    <x v="2"/>
  </r>
  <r>
    <x v="540"/>
    <x v="182"/>
    <x v="139"/>
    <x v="148"/>
    <s v="Dev Shah"/>
    <x v="1"/>
    <x v="1"/>
    <x v="0"/>
    <x v="0"/>
    <x v="1"/>
    <x v="1"/>
    <x v="330"/>
    <x v="1"/>
    <n v="0.1"/>
    <x v="539"/>
    <x v="4"/>
  </r>
  <r>
    <x v="541"/>
    <x v="360"/>
    <x v="300"/>
    <x v="97"/>
    <s v="Sara Patel"/>
    <x v="0"/>
    <x v="12"/>
    <x v="8"/>
    <x v="1"/>
    <x v="2"/>
    <x v="14"/>
    <x v="331"/>
    <x v="7"/>
    <n v="0"/>
    <x v="540"/>
    <x v="4"/>
  </r>
  <r>
    <x v="542"/>
    <x v="0"/>
    <x v="1"/>
    <x v="28"/>
    <s v="Rohan Kapoor"/>
    <x v="1"/>
    <x v="5"/>
    <x v="4"/>
    <x v="0"/>
    <x v="1"/>
    <x v="1"/>
    <x v="332"/>
    <x v="3"/>
    <n v="0.05"/>
    <x v="541"/>
    <x v="4"/>
  </r>
  <r>
    <x v="543"/>
    <x v="303"/>
    <x v="522"/>
    <x v="57"/>
    <s v="Aditya Joshi"/>
    <x v="1"/>
    <x v="13"/>
    <x v="0"/>
    <x v="0"/>
    <x v="2"/>
    <x v="10"/>
    <x v="228"/>
    <x v="5"/>
    <n v="0"/>
    <x v="542"/>
    <x v="4"/>
  </r>
  <r>
    <x v="544"/>
    <x v="421"/>
    <x v="520"/>
    <x v="214"/>
    <s v="Aarav Khan"/>
    <x v="0"/>
    <x v="8"/>
    <x v="0"/>
    <x v="0"/>
    <x v="2"/>
    <x v="14"/>
    <x v="333"/>
    <x v="6"/>
    <n v="0.15"/>
    <x v="543"/>
    <x v="1"/>
  </r>
  <r>
    <x v="545"/>
    <x v="422"/>
    <x v="523"/>
    <x v="171"/>
    <s v="Yusuf Kapoor"/>
    <x v="0"/>
    <x v="0"/>
    <x v="0"/>
    <x v="0"/>
    <x v="2"/>
    <x v="4"/>
    <x v="334"/>
    <x v="2"/>
    <n v="0"/>
    <x v="544"/>
    <x v="0"/>
  </r>
  <r>
    <x v="546"/>
    <x v="402"/>
    <x v="501"/>
    <x v="215"/>
    <s v="Rohan Shah"/>
    <x v="2"/>
    <x v="13"/>
    <x v="0"/>
    <x v="0"/>
    <x v="0"/>
    <x v="0"/>
    <x v="335"/>
    <x v="5"/>
    <n v="0.1"/>
    <x v="545"/>
    <x v="4"/>
  </r>
  <r>
    <x v="547"/>
    <x v="423"/>
    <x v="51"/>
    <x v="176"/>
    <s v="Meera Joshi"/>
    <x v="2"/>
    <x v="4"/>
    <x v="3"/>
    <x v="1"/>
    <x v="3"/>
    <x v="6"/>
    <x v="292"/>
    <x v="0"/>
    <n v="0"/>
    <x v="546"/>
    <x v="0"/>
  </r>
  <r>
    <x v="548"/>
    <x v="424"/>
    <x v="524"/>
    <x v="128"/>
    <s v="Anaya Trivedi"/>
    <x v="2"/>
    <x v="9"/>
    <x v="6"/>
    <x v="4"/>
    <x v="0"/>
    <x v="8"/>
    <x v="314"/>
    <x v="7"/>
    <n v="0.1"/>
    <x v="547"/>
    <x v="0"/>
  </r>
  <r>
    <x v="549"/>
    <x v="425"/>
    <x v="213"/>
    <x v="156"/>
    <s v="Anaya Trivedi"/>
    <x v="0"/>
    <x v="13"/>
    <x v="0"/>
    <x v="0"/>
    <x v="0"/>
    <x v="3"/>
    <x v="336"/>
    <x v="4"/>
    <n v="0.15"/>
    <x v="548"/>
    <x v="1"/>
  </r>
  <r>
    <x v="550"/>
    <x v="383"/>
    <x v="159"/>
    <x v="57"/>
    <s v="Isha Khan"/>
    <x v="2"/>
    <x v="11"/>
    <x v="7"/>
    <x v="3"/>
    <x v="3"/>
    <x v="6"/>
    <x v="59"/>
    <x v="2"/>
    <n v="0"/>
    <x v="549"/>
    <x v="1"/>
  </r>
  <r>
    <x v="551"/>
    <x v="426"/>
    <x v="525"/>
    <x v="167"/>
    <s v="Kabir Verma"/>
    <x v="0"/>
    <x v="3"/>
    <x v="2"/>
    <x v="2"/>
    <x v="3"/>
    <x v="6"/>
    <x v="277"/>
    <x v="6"/>
    <n v="0.15"/>
    <x v="550"/>
    <x v="3"/>
  </r>
  <r>
    <x v="552"/>
    <x v="136"/>
    <x v="205"/>
    <x v="135"/>
    <s v="Krish Shah"/>
    <x v="0"/>
    <x v="1"/>
    <x v="0"/>
    <x v="0"/>
    <x v="3"/>
    <x v="17"/>
    <x v="116"/>
    <x v="5"/>
    <n v="0.1"/>
    <x v="551"/>
    <x v="1"/>
  </r>
  <r>
    <x v="553"/>
    <x v="427"/>
    <x v="53"/>
    <x v="215"/>
    <s v="Reyansh Rao"/>
    <x v="1"/>
    <x v="14"/>
    <x v="9"/>
    <x v="3"/>
    <x v="3"/>
    <x v="17"/>
    <x v="262"/>
    <x v="7"/>
    <n v="0.2"/>
    <x v="552"/>
    <x v="3"/>
  </r>
  <r>
    <x v="554"/>
    <x v="428"/>
    <x v="276"/>
    <x v="19"/>
    <s v="Meera Dave"/>
    <x v="2"/>
    <x v="12"/>
    <x v="8"/>
    <x v="1"/>
    <x v="2"/>
    <x v="2"/>
    <x v="95"/>
    <x v="4"/>
    <n v="0.1"/>
    <x v="553"/>
    <x v="2"/>
  </r>
  <r>
    <x v="555"/>
    <x v="429"/>
    <x v="526"/>
    <x v="111"/>
    <s v="Zoya Shah"/>
    <x v="0"/>
    <x v="9"/>
    <x v="6"/>
    <x v="4"/>
    <x v="0"/>
    <x v="8"/>
    <x v="337"/>
    <x v="3"/>
    <n v="0.1"/>
    <x v="554"/>
    <x v="1"/>
  </r>
  <r>
    <x v="556"/>
    <x v="430"/>
    <x v="527"/>
    <x v="53"/>
    <s v="Diya Patel"/>
    <x v="0"/>
    <x v="7"/>
    <x v="4"/>
    <x v="0"/>
    <x v="1"/>
    <x v="15"/>
    <x v="204"/>
    <x v="1"/>
    <n v="0.05"/>
    <x v="555"/>
    <x v="3"/>
  </r>
  <r>
    <x v="557"/>
    <x v="276"/>
    <x v="188"/>
    <x v="161"/>
    <s v="Aditya Verma"/>
    <x v="2"/>
    <x v="1"/>
    <x v="0"/>
    <x v="0"/>
    <x v="0"/>
    <x v="11"/>
    <x v="225"/>
    <x v="0"/>
    <n v="0.1"/>
    <x v="556"/>
    <x v="0"/>
  </r>
  <r>
    <x v="558"/>
    <x v="431"/>
    <x v="528"/>
    <x v="175"/>
    <s v="Zoya Rao"/>
    <x v="2"/>
    <x v="11"/>
    <x v="7"/>
    <x v="3"/>
    <x v="1"/>
    <x v="1"/>
    <x v="167"/>
    <x v="7"/>
    <n v="0"/>
    <x v="557"/>
    <x v="2"/>
  </r>
  <r>
    <x v="559"/>
    <x v="432"/>
    <x v="529"/>
    <x v="145"/>
    <s v="Fatima Kapoor"/>
    <x v="2"/>
    <x v="12"/>
    <x v="8"/>
    <x v="1"/>
    <x v="1"/>
    <x v="1"/>
    <x v="162"/>
    <x v="1"/>
    <n v="0"/>
    <x v="558"/>
    <x v="2"/>
  </r>
  <r>
    <x v="560"/>
    <x v="433"/>
    <x v="530"/>
    <x v="159"/>
    <s v="Aanya Soni"/>
    <x v="2"/>
    <x v="12"/>
    <x v="8"/>
    <x v="1"/>
    <x v="3"/>
    <x v="6"/>
    <x v="338"/>
    <x v="2"/>
    <n v="0.15"/>
    <x v="559"/>
    <x v="0"/>
  </r>
  <r>
    <x v="561"/>
    <x v="434"/>
    <x v="531"/>
    <x v="216"/>
    <s v="Myra Verma"/>
    <x v="0"/>
    <x v="8"/>
    <x v="0"/>
    <x v="0"/>
    <x v="3"/>
    <x v="7"/>
    <x v="285"/>
    <x v="1"/>
    <n v="0.15"/>
    <x v="560"/>
    <x v="4"/>
  </r>
  <r>
    <x v="562"/>
    <x v="435"/>
    <x v="503"/>
    <x v="85"/>
    <s v="Anaya Dave"/>
    <x v="2"/>
    <x v="14"/>
    <x v="9"/>
    <x v="3"/>
    <x v="0"/>
    <x v="11"/>
    <x v="339"/>
    <x v="1"/>
    <n v="0.15"/>
    <x v="561"/>
    <x v="1"/>
  </r>
  <r>
    <x v="563"/>
    <x v="436"/>
    <x v="532"/>
    <x v="165"/>
    <s v="Myra Khan"/>
    <x v="0"/>
    <x v="4"/>
    <x v="3"/>
    <x v="1"/>
    <x v="0"/>
    <x v="19"/>
    <x v="340"/>
    <x v="5"/>
    <n v="0.15"/>
    <x v="562"/>
    <x v="1"/>
  </r>
  <r>
    <x v="564"/>
    <x v="423"/>
    <x v="51"/>
    <x v="77"/>
    <s v="Fatima Khan"/>
    <x v="0"/>
    <x v="11"/>
    <x v="7"/>
    <x v="3"/>
    <x v="0"/>
    <x v="3"/>
    <x v="341"/>
    <x v="1"/>
    <n v="0.05"/>
    <x v="563"/>
    <x v="0"/>
  </r>
  <r>
    <x v="565"/>
    <x v="421"/>
    <x v="533"/>
    <x v="190"/>
    <s v="Meera Verma"/>
    <x v="2"/>
    <x v="5"/>
    <x v="4"/>
    <x v="0"/>
    <x v="3"/>
    <x v="17"/>
    <x v="342"/>
    <x v="3"/>
    <n v="0.05"/>
    <x v="564"/>
    <x v="3"/>
  </r>
  <r>
    <x v="566"/>
    <x v="286"/>
    <x v="534"/>
    <x v="172"/>
    <s v="Meera Patel"/>
    <x v="2"/>
    <x v="12"/>
    <x v="8"/>
    <x v="1"/>
    <x v="3"/>
    <x v="7"/>
    <x v="343"/>
    <x v="4"/>
    <n v="0.15"/>
    <x v="565"/>
    <x v="0"/>
  </r>
  <r>
    <x v="567"/>
    <x v="200"/>
    <x v="535"/>
    <x v="213"/>
    <s v="Arjun Patel"/>
    <x v="0"/>
    <x v="11"/>
    <x v="7"/>
    <x v="3"/>
    <x v="2"/>
    <x v="14"/>
    <x v="344"/>
    <x v="3"/>
    <n v="0"/>
    <x v="566"/>
    <x v="1"/>
  </r>
  <r>
    <x v="568"/>
    <x v="437"/>
    <x v="536"/>
    <x v="93"/>
    <s v="Myra Khan"/>
    <x v="1"/>
    <x v="9"/>
    <x v="6"/>
    <x v="4"/>
    <x v="1"/>
    <x v="12"/>
    <x v="268"/>
    <x v="6"/>
    <n v="0"/>
    <x v="567"/>
    <x v="3"/>
  </r>
  <r>
    <x v="569"/>
    <x v="438"/>
    <x v="228"/>
    <x v="72"/>
    <s v="Krish Desai"/>
    <x v="0"/>
    <x v="5"/>
    <x v="4"/>
    <x v="0"/>
    <x v="2"/>
    <x v="2"/>
    <x v="95"/>
    <x v="4"/>
    <n v="0.1"/>
    <x v="568"/>
    <x v="0"/>
  </r>
  <r>
    <x v="570"/>
    <x v="82"/>
    <x v="94"/>
    <x v="9"/>
    <s v="Anaya Patel"/>
    <x v="1"/>
    <x v="8"/>
    <x v="0"/>
    <x v="0"/>
    <x v="1"/>
    <x v="9"/>
    <x v="301"/>
    <x v="6"/>
    <n v="0"/>
    <x v="569"/>
    <x v="0"/>
  </r>
  <r>
    <x v="571"/>
    <x v="36"/>
    <x v="537"/>
    <x v="19"/>
    <s v="Fatima Joshi"/>
    <x v="1"/>
    <x v="13"/>
    <x v="0"/>
    <x v="0"/>
    <x v="3"/>
    <x v="7"/>
    <x v="206"/>
    <x v="0"/>
    <n v="0.1"/>
    <x v="570"/>
    <x v="3"/>
  </r>
  <r>
    <x v="572"/>
    <x v="120"/>
    <x v="240"/>
    <x v="21"/>
    <s v="Diya Shah"/>
    <x v="0"/>
    <x v="0"/>
    <x v="0"/>
    <x v="0"/>
    <x v="0"/>
    <x v="19"/>
    <x v="133"/>
    <x v="2"/>
    <n v="0.2"/>
    <x v="571"/>
    <x v="4"/>
  </r>
  <r>
    <x v="573"/>
    <x v="439"/>
    <x v="331"/>
    <x v="217"/>
    <s v="Yusuf Panjwani"/>
    <x v="2"/>
    <x v="7"/>
    <x v="4"/>
    <x v="0"/>
    <x v="0"/>
    <x v="8"/>
    <x v="345"/>
    <x v="3"/>
    <n v="0.05"/>
    <x v="572"/>
    <x v="2"/>
  </r>
  <r>
    <x v="574"/>
    <x v="157"/>
    <x v="102"/>
    <x v="105"/>
    <s v="Aditya Soni"/>
    <x v="1"/>
    <x v="14"/>
    <x v="9"/>
    <x v="3"/>
    <x v="1"/>
    <x v="9"/>
    <x v="48"/>
    <x v="6"/>
    <n v="0.2"/>
    <x v="573"/>
    <x v="1"/>
  </r>
  <r>
    <x v="575"/>
    <x v="119"/>
    <x v="197"/>
    <x v="56"/>
    <s v="Sara Joshi"/>
    <x v="1"/>
    <x v="0"/>
    <x v="0"/>
    <x v="0"/>
    <x v="3"/>
    <x v="16"/>
    <x v="16"/>
    <x v="5"/>
    <n v="0.2"/>
    <x v="574"/>
    <x v="1"/>
  </r>
  <r>
    <x v="576"/>
    <x v="440"/>
    <x v="538"/>
    <x v="157"/>
    <s v="Anaya Shah"/>
    <x v="0"/>
    <x v="1"/>
    <x v="0"/>
    <x v="0"/>
    <x v="2"/>
    <x v="5"/>
    <x v="346"/>
    <x v="0"/>
    <n v="0.15"/>
    <x v="575"/>
    <x v="2"/>
  </r>
  <r>
    <x v="577"/>
    <x v="441"/>
    <x v="495"/>
    <x v="4"/>
    <s v="Kabir Kapoor"/>
    <x v="2"/>
    <x v="2"/>
    <x v="1"/>
    <x v="1"/>
    <x v="1"/>
    <x v="18"/>
    <x v="269"/>
    <x v="4"/>
    <n v="0.05"/>
    <x v="576"/>
    <x v="4"/>
  </r>
  <r>
    <x v="578"/>
    <x v="182"/>
    <x v="136"/>
    <x v="218"/>
    <s v="Krish Panjwani"/>
    <x v="2"/>
    <x v="4"/>
    <x v="3"/>
    <x v="1"/>
    <x v="0"/>
    <x v="8"/>
    <x v="187"/>
    <x v="4"/>
    <n v="0"/>
    <x v="577"/>
    <x v="1"/>
  </r>
  <r>
    <x v="579"/>
    <x v="442"/>
    <x v="539"/>
    <x v="155"/>
    <s v="Meera Panjwani"/>
    <x v="1"/>
    <x v="13"/>
    <x v="0"/>
    <x v="0"/>
    <x v="1"/>
    <x v="12"/>
    <x v="148"/>
    <x v="5"/>
    <n v="0.1"/>
    <x v="578"/>
    <x v="0"/>
  </r>
  <r>
    <x v="580"/>
    <x v="443"/>
    <x v="540"/>
    <x v="92"/>
    <s v="Diya Shah"/>
    <x v="1"/>
    <x v="11"/>
    <x v="7"/>
    <x v="3"/>
    <x v="3"/>
    <x v="13"/>
    <x v="109"/>
    <x v="5"/>
    <n v="0.1"/>
    <x v="579"/>
    <x v="3"/>
  </r>
  <r>
    <x v="581"/>
    <x v="444"/>
    <x v="93"/>
    <x v="178"/>
    <s v="Diya Kapoor"/>
    <x v="2"/>
    <x v="2"/>
    <x v="1"/>
    <x v="1"/>
    <x v="3"/>
    <x v="16"/>
    <x v="248"/>
    <x v="7"/>
    <n v="0"/>
    <x v="580"/>
    <x v="4"/>
  </r>
  <r>
    <x v="582"/>
    <x v="397"/>
    <x v="541"/>
    <x v="28"/>
    <s v="Fatima Khan"/>
    <x v="2"/>
    <x v="5"/>
    <x v="4"/>
    <x v="0"/>
    <x v="3"/>
    <x v="7"/>
    <x v="285"/>
    <x v="1"/>
    <n v="0.15"/>
    <x v="581"/>
    <x v="0"/>
  </r>
  <r>
    <x v="583"/>
    <x v="445"/>
    <x v="215"/>
    <x v="62"/>
    <s v="Fatima Shah"/>
    <x v="0"/>
    <x v="2"/>
    <x v="1"/>
    <x v="1"/>
    <x v="2"/>
    <x v="5"/>
    <x v="29"/>
    <x v="0"/>
    <n v="0"/>
    <x v="582"/>
    <x v="3"/>
  </r>
  <r>
    <x v="584"/>
    <x v="446"/>
    <x v="305"/>
    <x v="202"/>
    <s v="Kabir Trivedi"/>
    <x v="0"/>
    <x v="5"/>
    <x v="4"/>
    <x v="0"/>
    <x v="0"/>
    <x v="19"/>
    <x v="127"/>
    <x v="1"/>
    <n v="0.2"/>
    <x v="583"/>
    <x v="4"/>
  </r>
  <r>
    <x v="585"/>
    <x v="447"/>
    <x v="542"/>
    <x v="175"/>
    <s v="Reyansh Joshi"/>
    <x v="0"/>
    <x v="6"/>
    <x v="5"/>
    <x v="3"/>
    <x v="0"/>
    <x v="0"/>
    <x v="9"/>
    <x v="4"/>
    <n v="0.15"/>
    <x v="584"/>
    <x v="0"/>
  </r>
  <r>
    <x v="586"/>
    <x v="417"/>
    <x v="263"/>
    <x v="86"/>
    <s v="Vivaan Patel"/>
    <x v="1"/>
    <x v="12"/>
    <x v="8"/>
    <x v="1"/>
    <x v="0"/>
    <x v="19"/>
    <x v="103"/>
    <x v="5"/>
    <n v="0.2"/>
    <x v="585"/>
    <x v="1"/>
  </r>
  <r>
    <x v="587"/>
    <x v="448"/>
    <x v="87"/>
    <x v="186"/>
    <s v="Kiara Rao"/>
    <x v="2"/>
    <x v="10"/>
    <x v="0"/>
    <x v="0"/>
    <x v="3"/>
    <x v="6"/>
    <x v="347"/>
    <x v="5"/>
    <n v="0.15"/>
    <x v="586"/>
    <x v="1"/>
  </r>
  <r>
    <x v="588"/>
    <x v="449"/>
    <x v="543"/>
    <x v="41"/>
    <s v="Dev Khan"/>
    <x v="0"/>
    <x v="0"/>
    <x v="0"/>
    <x v="0"/>
    <x v="0"/>
    <x v="11"/>
    <x v="117"/>
    <x v="2"/>
    <n v="0"/>
    <x v="587"/>
    <x v="3"/>
  </r>
  <r>
    <x v="589"/>
    <x v="303"/>
    <x v="498"/>
    <x v="41"/>
    <s v="Aarav Khan"/>
    <x v="0"/>
    <x v="14"/>
    <x v="9"/>
    <x v="3"/>
    <x v="1"/>
    <x v="18"/>
    <x v="12"/>
    <x v="1"/>
    <n v="0.2"/>
    <x v="588"/>
    <x v="1"/>
  </r>
  <r>
    <x v="590"/>
    <x v="246"/>
    <x v="544"/>
    <x v="207"/>
    <s v="Anaya Khan"/>
    <x v="0"/>
    <x v="12"/>
    <x v="8"/>
    <x v="1"/>
    <x v="1"/>
    <x v="18"/>
    <x v="48"/>
    <x v="4"/>
    <n v="0.2"/>
    <x v="589"/>
    <x v="2"/>
  </r>
  <r>
    <x v="591"/>
    <x v="450"/>
    <x v="205"/>
    <x v="56"/>
    <s v="Kabir Iyer"/>
    <x v="1"/>
    <x v="1"/>
    <x v="0"/>
    <x v="0"/>
    <x v="2"/>
    <x v="10"/>
    <x v="27"/>
    <x v="7"/>
    <n v="0.15"/>
    <x v="590"/>
    <x v="0"/>
  </r>
  <r>
    <x v="592"/>
    <x v="451"/>
    <x v="545"/>
    <x v="136"/>
    <s v="Aditya Rao"/>
    <x v="1"/>
    <x v="3"/>
    <x v="2"/>
    <x v="2"/>
    <x v="3"/>
    <x v="17"/>
    <x v="239"/>
    <x v="5"/>
    <n v="0.2"/>
    <x v="591"/>
    <x v="1"/>
  </r>
  <r>
    <x v="593"/>
    <x v="452"/>
    <x v="546"/>
    <x v="183"/>
    <s v="Zoya Soni"/>
    <x v="1"/>
    <x v="5"/>
    <x v="4"/>
    <x v="0"/>
    <x v="2"/>
    <x v="10"/>
    <x v="132"/>
    <x v="3"/>
    <n v="0"/>
    <x v="592"/>
    <x v="0"/>
  </r>
  <r>
    <x v="594"/>
    <x v="453"/>
    <x v="544"/>
    <x v="96"/>
    <s v="Kabir Patel"/>
    <x v="1"/>
    <x v="0"/>
    <x v="0"/>
    <x v="0"/>
    <x v="1"/>
    <x v="18"/>
    <x v="35"/>
    <x v="2"/>
    <n v="0"/>
    <x v="593"/>
    <x v="2"/>
  </r>
  <r>
    <x v="595"/>
    <x v="314"/>
    <x v="294"/>
    <x v="145"/>
    <s v="Arjun Soni"/>
    <x v="2"/>
    <x v="4"/>
    <x v="3"/>
    <x v="1"/>
    <x v="0"/>
    <x v="19"/>
    <x v="114"/>
    <x v="7"/>
    <n v="0.2"/>
    <x v="594"/>
    <x v="0"/>
  </r>
  <r>
    <x v="596"/>
    <x v="454"/>
    <x v="547"/>
    <x v="48"/>
    <s v="Kabir Kapoor"/>
    <x v="2"/>
    <x v="14"/>
    <x v="9"/>
    <x v="3"/>
    <x v="2"/>
    <x v="5"/>
    <x v="224"/>
    <x v="4"/>
    <n v="0.2"/>
    <x v="595"/>
    <x v="4"/>
  </r>
  <r>
    <x v="597"/>
    <x v="455"/>
    <x v="499"/>
    <x v="163"/>
    <s v="Zoya Rao"/>
    <x v="0"/>
    <x v="11"/>
    <x v="7"/>
    <x v="3"/>
    <x v="1"/>
    <x v="1"/>
    <x v="168"/>
    <x v="5"/>
    <n v="0.15"/>
    <x v="596"/>
    <x v="3"/>
  </r>
  <r>
    <x v="598"/>
    <x v="7"/>
    <x v="548"/>
    <x v="219"/>
    <s v="Fatima Khan"/>
    <x v="1"/>
    <x v="2"/>
    <x v="1"/>
    <x v="1"/>
    <x v="1"/>
    <x v="15"/>
    <x v="348"/>
    <x v="1"/>
    <n v="0"/>
    <x v="597"/>
    <x v="2"/>
  </r>
  <r>
    <x v="599"/>
    <x v="6"/>
    <x v="32"/>
    <x v="129"/>
    <s v="Rohan Patel"/>
    <x v="1"/>
    <x v="0"/>
    <x v="0"/>
    <x v="0"/>
    <x v="0"/>
    <x v="8"/>
    <x v="349"/>
    <x v="0"/>
    <n v="0.1"/>
    <x v="598"/>
    <x v="1"/>
  </r>
  <r>
    <x v="600"/>
    <x v="456"/>
    <x v="297"/>
    <x v="176"/>
    <s v="Myra Verma"/>
    <x v="2"/>
    <x v="8"/>
    <x v="0"/>
    <x v="0"/>
    <x v="1"/>
    <x v="18"/>
    <x v="350"/>
    <x v="7"/>
    <n v="0.15"/>
    <x v="599"/>
    <x v="3"/>
  </r>
  <r>
    <x v="601"/>
    <x v="457"/>
    <x v="549"/>
    <x v="24"/>
    <s v="Myra Verma"/>
    <x v="2"/>
    <x v="7"/>
    <x v="4"/>
    <x v="0"/>
    <x v="1"/>
    <x v="15"/>
    <x v="43"/>
    <x v="0"/>
    <n v="0"/>
    <x v="600"/>
    <x v="2"/>
  </r>
  <r>
    <x v="602"/>
    <x v="441"/>
    <x v="550"/>
    <x v="69"/>
    <s v="Reyansh Sheikh"/>
    <x v="0"/>
    <x v="1"/>
    <x v="0"/>
    <x v="0"/>
    <x v="3"/>
    <x v="7"/>
    <x v="16"/>
    <x v="7"/>
    <n v="0"/>
    <x v="601"/>
    <x v="0"/>
  </r>
  <r>
    <x v="603"/>
    <x v="323"/>
    <x v="551"/>
    <x v="220"/>
    <s v="Reyansh Trivedi"/>
    <x v="1"/>
    <x v="5"/>
    <x v="4"/>
    <x v="0"/>
    <x v="1"/>
    <x v="12"/>
    <x v="207"/>
    <x v="0"/>
    <n v="0.2"/>
    <x v="602"/>
    <x v="1"/>
  </r>
  <r>
    <x v="604"/>
    <x v="458"/>
    <x v="58"/>
    <x v="183"/>
    <s v="Aditya Desai"/>
    <x v="2"/>
    <x v="0"/>
    <x v="0"/>
    <x v="0"/>
    <x v="0"/>
    <x v="0"/>
    <x v="335"/>
    <x v="5"/>
    <n v="0.1"/>
    <x v="603"/>
    <x v="3"/>
  </r>
  <r>
    <x v="605"/>
    <x v="70"/>
    <x v="552"/>
    <x v="35"/>
    <s v="Fatima Rao"/>
    <x v="1"/>
    <x v="2"/>
    <x v="1"/>
    <x v="1"/>
    <x v="1"/>
    <x v="9"/>
    <x v="85"/>
    <x v="0"/>
    <n v="0"/>
    <x v="604"/>
    <x v="3"/>
  </r>
  <r>
    <x v="606"/>
    <x v="459"/>
    <x v="553"/>
    <x v="174"/>
    <s v="Aditya Panjwani"/>
    <x v="0"/>
    <x v="6"/>
    <x v="5"/>
    <x v="3"/>
    <x v="0"/>
    <x v="11"/>
    <x v="165"/>
    <x v="2"/>
    <n v="0.2"/>
    <x v="605"/>
    <x v="2"/>
  </r>
  <r>
    <x v="607"/>
    <x v="460"/>
    <x v="263"/>
    <x v="216"/>
    <s v="Dev Patel"/>
    <x v="2"/>
    <x v="8"/>
    <x v="0"/>
    <x v="0"/>
    <x v="2"/>
    <x v="4"/>
    <x v="52"/>
    <x v="1"/>
    <n v="0"/>
    <x v="606"/>
    <x v="3"/>
  </r>
  <r>
    <x v="608"/>
    <x v="406"/>
    <x v="554"/>
    <x v="205"/>
    <s v="Aarav Verma"/>
    <x v="0"/>
    <x v="2"/>
    <x v="1"/>
    <x v="1"/>
    <x v="2"/>
    <x v="4"/>
    <x v="45"/>
    <x v="7"/>
    <n v="0"/>
    <x v="607"/>
    <x v="0"/>
  </r>
  <r>
    <x v="609"/>
    <x v="461"/>
    <x v="319"/>
    <x v="115"/>
    <s v="Fatima Kapoor"/>
    <x v="2"/>
    <x v="8"/>
    <x v="0"/>
    <x v="0"/>
    <x v="0"/>
    <x v="8"/>
    <x v="26"/>
    <x v="0"/>
    <n v="0.2"/>
    <x v="608"/>
    <x v="2"/>
  </r>
  <r>
    <x v="610"/>
    <x v="232"/>
    <x v="69"/>
    <x v="221"/>
    <s v="Isha Iyer"/>
    <x v="2"/>
    <x v="3"/>
    <x v="2"/>
    <x v="2"/>
    <x v="2"/>
    <x v="4"/>
    <x v="45"/>
    <x v="7"/>
    <n v="0"/>
    <x v="609"/>
    <x v="0"/>
  </r>
  <r>
    <x v="611"/>
    <x v="232"/>
    <x v="71"/>
    <x v="113"/>
    <s v="Arjun Verma"/>
    <x v="0"/>
    <x v="0"/>
    <x v="0"/>
    <x v="0"/>
    <x v="2"/>
    <x v="4"/>
    <x v="142"/>
    <x v="6"/>
    <n v="0.15"/>
    <x v="610"/>
    <x v="3"/>
  </r>
  <r>
    <x v="612"/>
    <x v="462"/>
    <x v="549"/>
    <x v="140"/>
    <s v="Zoya Sheikh"/>
    <x v="1"/>
    <x v="10"/>
    <x v="0"/>
    <x v="0"/>
    <x v="2"/>
    <x v="5"/>
    <x v="351"/>
    <x v="6"/>
    <n v="0.2"/>
    <x v="611"/>
    <x v="1"/>
  </r>
  <r>
    <x v="613"/>
    <x v="273"/>
    <x v="555"/>
    <x v="45"/>
    <s v="Kabir Soni"/>
    <x v="0"/>
    <x v="6"/>
    <x v="5"/>
    <x v="3"/>
    <x v="2"/>
    <x v="14"/>
    <x v="107"/>
    <x v="6"/>
    <n v="0"/>
    <x v="612"/>
    <x v="2"/>
  </r>
  <r>
    <x v="614"/>
    <x v="463"/>
    <x v="556"/>
    <x v="64"/>
    <s v="Zoya Sheikh"/>
    <x v="2"/>
    <x v="10"/>
    <x v="0"/>
    <x v="0"/>
    <x v="2"/>
    <x v="4"/>
    <x v="16"/>
    <x v="0"/>
    <n v="0.2"/>
    <x v="613"/>
    <x v="3"/>
  </r>
  <r>
    <x v="615"/>
    <x v="11"/>
    <x v="45"/>
    <x v="102"/>
    <s v="Dev Rao"/>
    <x v="1"/>
    <x v="13"/>
    <x v="0"/>
    <x v="0"/>
    <x v="2"/>
    <x v="10"/>
    <x v="298"/>
    <x v="6"/>
    <n v="0.05"/>
    <x v="614"/>
    <x v="0"/>
  </r>
  <r>
    <x v="616"/>
    <x v="464"/>
    <x v="76"/>
    <x v="32"/>
    <s v="Kabir Desai"/>
    <x v="2"/>
    <x v="12"/>
    <x v="8"/>
    <x v="1"/>
    <x v="0"/>
    <x v="19"/>
    <x v="352"/>
    <x v="6"/>
    <n v="0.2"/>
    <x v="615"/>
    <x v="1"/>
  </r>
  <r>
    <x v="617"/>
    <x v="447"/>
    <x v="535"/>
    <x v="139"/>
    <s v="Vivaan Khan"/>
    <x v="1"/>
    <x v="9"/>
    <x v="6"/>
    <x v="4"/>
    <x v="1"/>
    <x v="15"/>
    <x v="353"/>
    <x v="5"/>
    <n v="0"/>
    <x v="616"/>
    <x v="2"/>
  </r>
  <r>
    <x v="618"/>
    <x v="207"/>
    <x v="557"/>
    <x v="153"/>
    <s v="Aarav Joshi"/>
    <x v="1"/>
    <x v="0"/>
    <x v="0"/>
    <x v="0"/>
    <x v="0"/>
    <x v="19"/>
    <x v="322"/>
    <x v="4"/>
    <n v="0.1"/>
    <x v="617"/>
    <x v="1"/>
  </r>
  <r>
    <x v="619"/>
    <x v="465"/>
    <x v="538"/>
    <x v="41"/>
    <s v="Aditya Khan"/>
    <x v="0"/>
    <x v="2"/>
    <x v="1"/>
    <x v="1"/>
    <x v="1"/>
    <x v="9"/>
    <x v="304"/>
    <x v="6"/>
    <n v="0.1"/>
    <x v="618"/>
    <x v="3"/>
  </r>
  <r>
    <x v="620"/>
    <x v="466"/>
    <x v="212"/>
    <x v="201"/>
    <s v="Myra Khan"/>
    <x v="2"/>
    <x v="6"/>
    <x v="5"/>
    <x v="3"/>
    <x v="3"/>
    <x v="17"/>
    <x v="110"/>
    <x v="4"/>
    <n v="0.05"/>
    <x v="619"/>
    <x v="4"/>
  </r>
  <r>
    <x v="621"/>
    <x v="467"/>
    <x v="140"/>
    <x v="163"/>
    <s v="Isha Verma"/>
    <x v="0"/>
    <x v="0"/>
    <x v="0"/>
    <x v="0"/>
    <x v="1"/>
    <x v="15"/>
    <x v="51"/>
    <x v="3"/>
    <n v="0.1"/>
    <x v="620"/>
    <x v="4"/>
  </r>
  <r>
    <x v="622"/>
    <x v="468"/>
    <x v="558"/>
    <x v="124"/>
    <s v="Yusuf Mehta"/>
    <x v="2"/>
    <x v="3"/>
    <x v="2"/>
    <x v="2"/>
    <x v="1"/>
    <x v="1"/>
    <x v="207"/>
    <x v="0"/>
    <n v="0"/>
    <x v="621"/>
    <x v="4"/>
  </r>
  <r>
    <x v="623"/>
    <x v="469"/>
    <x v="559"/>
    <x v="18"/>
    <s v="Isha Soni"/>
    <x v="2"/>
    <x v="10"/>
    <x v="0"/>
    <x v="0"/>
    <x v="2"/>
    <x v="14"/>
    <x v="107"/>
    <x v="6"/>
    <n v="0"/>
    <x v="622"/>
    <x v="1"/>
  </r>
  <r>
    <x v="624"/>
    <x v="470"/>
    <x v="288"/>
    <x v="73"/>
    <s v="Kiara Soni"/>
    <x v="2"/>
    <x v="7"/>
    <x v="4"/>
    <x v="0"/>
    <x v="3"/>
    <x v="13"/>
    <x v="354"/>
    <x v="7"/>
    <n v="0.05"/>
    <x v="623"/>
    <x v="4"/>
  </r>
  <r>
    <x v="625"/>
    <x v="326"/>
    <x v="560"/>
    <x v="216"/>
    <s v="Fatima Sheikh"/>
    <x v="1"/>
    <x v="2"/>
    <x v="1"/>
    <x v="1"/>
    <x v="1"/>
    <x v="9"/>
    <x v="64"/>
    <x v="7"/>
    <n v="0.05"/>
    <x v="624"/>
    <x v="2"/>
  </r>
  <r>
    <x v="626"/>
    <x v="145"/>
    <x v="44"/>
    <x v="17"/>
    <s v="Zoya Shah"/>
    <x v="2"/>
    <x v="1"/>
    <x v="0"/>
    <x v="0"/>
    <x v="0"/>
    <x v="11"/>
    <x v="355"/>
    <x v="2"/>
    <n v="0.15"/>
    <x v="625"/>
    <x v="1"/>
  </r>
  <r>
    <x v="627"/>
    <x v="471"/>
    <x v="561"/>
    <x v="222"/>
    <s v="Rohan Kapoor"/>
    <x v="0"/>
    <x v="10"/>
    <x v="0"/>
    <x v="0"/>
    <x v="1"/>
    <x v="15"/>
    <x v="43"/>
    <x v="0"/>
    <n v="0"/>
    <x v="626"/>
    <x v="1"/>
  </r>
  <r>
    <x v="628"/>
    <x v="472"/>
    <x v="349"/>
    <x v="146"/>
    <s v="Diya Sheikh"/>
    <x v="0"/>
    <x v="7"/>
    <x v="4"/>
    <x v="0"/>
    <x v="1"/>
    <x v="12"/>
    <x v="356"/>
    <x v="6"/>
    <n v="0.15"/>
    <x v="627"/>
    <x v="4"/>
  </r>
  <r>
    <x v="629"/>
    <x v="407"/>
    <x v="562"/>
    <x v="144"/>
    <s v="Zoya Joshi"/>
    <x v="2"/>
    <x v="4"/>
    <x v="3"/>
    <x v="1"/>
    <x v="3"/>
    <x v="17"/>
    <x v="357"/>
    <x v="2"/>
    <n v="0.05"/>
    <x v="628"/>
    <x v="3"/>
  </r>
  <r>
    <x v="630"/>
    <x v="473"/>
    <x v="563"/>
    <x v="34"/>
    <s v="Aanya Verma"/>
    <x v="2"/>
    <x v="4"/>
    <x v="3"/>
    <x v="1"/>
    <x v="3"/>
    <x v="6"/>
    <x v="262"/>
    <x v="7"/>
    <n v="0.05"/>
    <x v="629"/>
    <x v="2"/>
  </r>
  <r>
    <x v="631"/>
    <x v="450"/>
    <x v="205"/>
    <x v="208"/>
    <s v="Dev Trivedi"/>
    <x v="1"/>
    <x v="14"/>
    <x v="9"/>
    <x v="3"/>
    <x v="2"/>
    <x v="2"/>
    <x v="68"/>
    <x v="0"/>
    <n v="0.05"/>
    <x v="630"/>
    <x v="3"/>
  </r>
  <r>
    <x v="632"/>
    <x v="474"/>
    <x v="123"/>
    <x v="223"/>
    <s v="Yusuf Iyer"/>
    <x v="1"/>
    <x v="1"/>
    <x v="0"/>
    <x v="0"/>
    <x v="2"/>
    <x v="4"/>
    <x v="5"/>
    <x v="3"/>
    <n v="0.1"/>
    <x v="631"/>
    <x v="2"/>
  </r>
  <r>
    <x v="633"/>
    <x v="475"/>
    <x v="564"/>
    <x v="51"/>
    <s v="Yusuf Joshi"/>
    <x v="2"/>
    <x v="7"/>
    <x v="4"/>
    <x v="0"/>
    <x v="0"/>
    <x v="3"/>
    <x v="159"/>
    <x v="7"/>
    <n v="0"/>
    <x v="632"/>
    <x v="3"/>
  </r>
  <r>
    <x v="634"/>
    <x v="204"/>
    <x v="106"/>
    <x v="12"/>
    <s v="Fatima Shah"/>
    <x v="0"/>
    <x v="10"/>
    <x v="0"/>
    <x v="0"/>
    <x v="2"/>
    <x v="10"/>
    <x v="358"/>
    <x v="4"/>
    <n v="0.05"/>
    <x v="633"/>
    <x v="4"/>
  </r>
  <r>
    <x v="635"/>
    <x v="398"/>
    <x v="499"/>
    <x v="73"/>
    <s v="Kabir Dave"/>
    <x v="0"/>
    <x v="6"/>
    <x v="5"/>
    <x v="3"/>
    <x v="1"/>
    <x v="18"/>
    <x v="278"/>
    <x v="5"/>
    <n v="0.05"/>
    <x v="634"/>
    <x v="4"/>
  </r>
  <r>
    <x v="636"/>
    <x v="476"/>
    <x v="500"/>
    <x v="224"/>
    <s v="Dev Verma"/>
    <x v="0"/>
    <x v="14"/>
    <x v="9"/>
    <x v="3"/>
    <x v="3"/>
    <x v="17"/>
    <x v="262"/>
    <x v="7"/>
    <n v="0.2"/>
    <x v="635"/>
    <x v="1"/>
  </r>
  <r>
    <x v="637"/>
    <x v="219"/>
    <x v="213"/>
    <x v="47"/>
    <s v="Zoya Mehta"/>
    <x v="1"/>
    <x v="8"/>
    <x v="0"/>
    <x v="0"/>
    <x v="2"/>
    <x v="2"/>
    <x v="319"/>
    <x v="6"/>
    <n v="0.1"/>
    <x v="636"/>
    <x v="4"/>
  </r>
  <r>
    <x v="638"/>
    <x v="149"/>
    <x v="565"/>
    <x v="134"/>
    <s v="Kabir Soni"/>
    <x v="1"/>
    <x v="12"/>
    <x v="8"/>
    <x v="1"/>
    <x v="0"/>
    <x v="11"/>
    <x v="359"/>
    <x v="3"/>
    <n v="0.05"/>
    <x v="637"/>
    <x v="2"/>
  </r>
  <r>
    <x v="639"/>
    <x v="477"/>
    <x v="129"/>
    <x v="27"/>
    <s v="Sara Joshi"/>
    <x v="0"/>
    <x v="14"/>
    <x v="9"/>
    <x v="3"/>
    <x v="1"/>
    <x v="9"/>
    <x v="269"/>
    <x v="6"/>
    <n v="0.05"/>
    <x v="467"/>
    <x v="4"/>
  </r>
  <r>
    <x v="640"/>
    <x v="478"/>
    <x v="566"/>
    <x v="224"/>
    <s v="Fatima Panjwani"/>
    <x v="2"/>
    <x v="14"/>
    <x v="9"/>
    <x v="3"/>
    <x v="0"/>
    <x v="0"/>
    <x v="216"/>
    <x v="1"/>
    <n v="0"/>
    <x v="638"/>
    <x v="2"/>
  </r>
  <r>
    <x v="641"/>
    <x v="479"/>
    <x v="567"/>
    <x v="173"/>
    <s v="Anaya Rao"/>
    <x v="1"/>
    <x v="8"/>
    <x v="0"/>
    <x v="0"/>
    <x v="1"/>
    <x v="1"/>
    <x v="18"/>
    <x v="5"/>
    <n v="0.1"/>
    <x v="639"/>
    <x v="1"/>
  </r>
  <r>
    <x v="642"/>
    <x v="266"/>
    <x v="568"/>
    <x v="73"/>
    <s v="Aditya Mehta"/>
    <x v="0"/>
    <x v="13"/>
    <x v="0"/>
    <x v="0"/>
    <x v="0"/>
    <x v="0"/>
    <x v="326"/>
    <x v="7"/>
    <n v="0.15"/>
    <x v="640"/>
    <x v="4"/>
  </r>
  <r>
    <x v="643"/>
    <x v="301"/>
    <x v="569"/>
    <x v="78"/>
    <s v="Sara Mehta"/>
    <x v="1"/>
    <x v="3"/>
    <x v="2"/>
    <x v="2"/>
    <x v="2"/>
    <x v="2"/>
    <x v="238"/>
    <x v="4"/>
    <n v="0.2"/>
    <x v="641"/>
    <x v="2"/>
  </r>
  <r>
    <x v="644"/>
    <x v="143"/>
    <x v="570"/>
    <x v="210"/>
    <s v="Reyansh Shah"/>
    <x v="1"/>
    <x v="4"/>
    <x v="3"/>
    <x v="1"/>
    <x v="2"/>
    <x v="10"/>
    <x v="360"/>
    <x v="1"/>
    <n v="0.1"/>
    <x v="642"/>
    <x v="3"/>
  </r>
  <r>
    <x v="645"/>
    <x v="452"/>
    <x v="571"/>
    <x v="77"/>
    <s v="Anaya Iyer"/>
    <x v="1"/>
    <x v="6"/>
    <x v="5"/>
    <x v="3"/>
    <x v="2"/>
    <x v="14"/>
    <x v="73"/>
    <x v="1"/>
    <n v="0"/>
    <x v="643"/>
    <x v="3"/>
  </r>
  <r>
    <x v="646"/>
    <x v="429"/>
    <x v="572"/>
    <x v="149"/>
    <s v="Arjun Dave"/>
    <x v="2"/>
    <x v="9"/>
    <x v="6"/>
    <x v="4"/>
    <x v="1"/>
    <x v="1"/>
    <x v="242"/>
    <x v="6"/>
    <n v="0"/>
    <x v="644"/>
    <x v="4"/>
  </r>
  <r>
    <x v="647"/>
    <x v="263"/>
    <x v="573"/>
    <x v="127"/>
    <s v="Aarav Soni"/>
    <x v="1"/>
    <x v="11"/>
    <x v="7"/>
    <x v="3"/>
    <x v="1"/>
    <x v="9"/>
    <x v="226"/>
    <x v="5"/>
    <n v="0"/>
    <x v="645"/>
    <x v="2"/>
  </r>
  <r>
    <x v="648"/>
    <x v="480"/>
    <x v="335"/>
    <x v="128"/>
    <s v="Zoya Verma"/>
    <x v="0"/>
    <x v="8"/>
    <x v="0"/>
    <x v="0"/>
    <x v="2"/>
    <x v="10"/>
    <x v="361"/>
    <x v="0"/>
    <n v="0.15"/>
    <x v="646"/>
    <x v="2"/>
  </r>
  <r>
    <x v="649"/>
    <x v="481"/>
    <x v="574"/>
    <x v="78"/>
    <s v="Aanya Shah"/>
    <x v="2"/>
    <x v="1"/>
    <x v="0"/>
    <x v="0"/>
    <x v="1"/>
    <x v="15"/>
    <x v="362"/>
    <x v="2"/>
    <n v="0.1"/>
    <x v="647"/>
    <x v="1"/>
  </r>
  <r>
    <x v="650"/>
    <x v="482"/>
    <x v="575"/>
    <x v="36"/>
    <s v="Diya Shah"/>
    <x v="2"/>
    <x v="11"/>
    <x v="7"/>
    <x v="3"/>
    <x v="1"/>
    <x v="12"/>
    <x v="242"/>
    <x v="6"/>
    <n v="0.2"/>
    <x v="648"/>
    <x v="0"/>
  </r>
  <r>
    <x v="651"/>
    <x v="38"/>
    <x v="576"/>
    <x v="153"/>
    <s v="Myra Soni"/>
    <x v="2"/>
    <x v="13"/>
    <x v="0"/>
    <x v="0"/>
    <x v="3"/>
    <x v="7"/>
    <x v="257"/>
    <x v="3"/>
    <n v="0.2"/>
    <x v="649"/>
    <x v="4"/>
  </r>
  <r>
    <x v="652"/>
    <x v="5"/>
    <x v="224"/>
    <x v="225"/>
    <s v="Fatima Kapoor"/>
    <x v="1"/>
    <x v="10"/>
    <x v="0"/>
    <x v="0"/>
    <x v="2"/>
    <x v="4"/>
    <x v="271"/>
    <x v="6"/>
    <n v="0"/>
    <x v="650"/>
    <x v="0"/>
  </r>
  <r>
    <x v="653"/>
    <x v="483"/>
    <x v="577"/>
    <x v="226"/>
    <s v="Anaya Verma"/>
    <x v="1"/>
    <x v="12"/>
    <x v="8"/>
    <x v="1"/>
    <x v="2"/>
    <x v="10"/>
    <x v="363"/>
    <x v="4"/>
    <n v="0.1"/>
    <x v="651"/>
    <x v="1"/>
  </r>
  <r>
    <x v="654"/>
    <x v="39"/>
    <x v="578"/>
    <x v="199"/>
    <s v="Fatima Joshi"/>
    <x v="0"/>
    <x v="5"/>
    <x v="4"/>
    <x v="0"/>
    <x v="1"/>
    <x v="9"/>
    <x v="109"/>
    <x v="2"/>
    <n v="0"/>
    <x v="652"/>
    <x v="3"/>
  </r>
  <r>
    <x v="655"/>
    <x v="452"/>
    <x v="579"/>
    <x v="221"/>
    <s v="Fatima Soni"/>
    <x v="2"/>
    <x v="2"/>
    <x v="1"/>
    <x v="1"/>
    <x v="3"/>
    <x v="17"/>
    <x v="262"/>
    <x v="7"/>
    <n v="0.2"/>
    <x v="653"/>
    <x v="2"/>
  </r>
  <r>
    <x v="656"/>
    <x v="484"/>
    <x v="135"/>
    <x v="146"/>
    <s v="Vivaan Patel"/>
    <x v="1"/>
    <x v="1"/>
    <x v="0"/>
    <x v="0"/>
    <x v="2"/>
    <x v="14"/>
    <x v="364"/>
    <x v="7"/>
    <n v="0.1"/>
    <x v="654"/>
    <x v="1"/>
  </r>
  <r>
    <x v="657"/>
    <x v="140"/>
    <x v="196"/>
    <x v="227"/>
    <s v="Sara Dave"/>
    <x v="0"/>
    <x v="6"/>
    <x v="5"/>
    <x v="3"/>
    <x v="2"/>
    <x v="2"/>
    <x v="87"/>
    <x v="2"/>
    <n v="0.15"/>
    <x v="655"/>
    <x v="1"/>
  </r>
  <r>
    <x v="658"/>
    <x v="485"/>
    <x v="124"/>
    <x v="121"/>
    <s v="Dev Joshi"/>
    <x v="0"/>
    <x v="12"/>
    <x v="8"/>
    <x v="1"/>
    <x v="3"/>
    <x v="6"/>
    <x v="299"/>
    <x v="0"/>
    <n v="0.05"/>
    <x v="656"/>
    <x v="4"/>
  </r>
  <r>
    <x v="659"/>
    <x v="486"/>
    <x v="180"/>
    <x v="151"/>
    <s v="Krish Khan"/>
    <x v="2"/>
    <x v="11"/>
    <x v="7"/>
    <x v="3"/>
    <x v="2"/>
    <x v="10"/>
    <x v="365"/>
    <x v="2"/>
    <n v="0"/>
    <x v="657"/>
    <x v="1"/>
  </r>
  <r>
    <x v="660"/>
    <x v="487"/>
    <x v="569"/>
    <x v="137"/>
    <s v="Krish Khan"/>
    <x v="1"/>
    <x v="11"/>
    <x v="7"/>
    <x v="3"/>
    <x v="0"/>
    <x v="0"/>
    <x v="366"/>
    <x v="7"/>
    <n v="0.1"/>
    <x v="658"/>
    <x v="3"/>
  </r>
  <r>
    <x v="661"/>
    <x v="342"/>
    <x v="40"/>
    <x v="187"/>
    <s v="Fatima Dave"/>
    <x v="2"/>
    <x v="12"/>
    <x v="8"/>
    <x v="1"/>
    <x v="3"/>
    <x v="6"/>
    <x v="201"/>
    <x v="4"/>
    <n v="0.15"/>
    <x v="659"/>
    <x v="3"/>
  </r>
  <r>
    <x v="662"/>
    <x v="169"/>
    <x v="40"/>
    <x v="143"/>
    <s v="Zoya Trivedi"/>
    <x v="0"/>
    <x v="2"/>
    <x v="1"/>
    <x v="1"/>
    <x v="0"/>
    <x v="8"/>
    <x v="81"/>
    <x v="1"/>
    <n v="0"/>
    <x v="660"/>
    <x v="3"/>
  </r>
  <r>
    <x v="663"/>
    <x v="488"/>
    <x v="580"/>
    <x v="152"/>
    <s v="Aanya Trivedi"/>
    <x v="1"/>
    <x v="9"/>
    <x v="6"/>
    <x v="4"/>
    <x v="0"/>
    <x v="19"/>
    <x v="294"/>
    <x v="5"/>
    <n v="0.1"/>
    <x v="661"/>
    <x v="2"/>
  </r>
  <r>
    <x v="664"/>
    <x v="489"/>
    <x v="581"/>
    <x v="207"/>
    <s v="Anaya Trivedi"/>
    <x v="1"/>
    <x v="12"/>
    <x v="8"/>
    <x v="1"/>
    <x v="0"/>
    <x v="3"/>
    <x v="282"/>
    <x v="5"/>
    <n v="0.2"/>
    <x v="662"/>
    <x v="1"/>
  </r>
  <r>
    <x v="665"/>
    <x v="490"/>
    <x v="505"/>
    <x v="141"/>
    <s v="Yusuf Patel"/>
    <x v="2"/>
    <x v="0"/>
    <x v="0"/>
    <x v="0"/>
    <x v="3"/>
    <x v="6"/>
    <x v="234"/>
    <x v="2"/>
    <n v="0.05"/>
    <x v="663"/>
    <x v="0"/>
  </r>
  <r>
    <x v="666"/>
    <x v="137"/>
    <x v="582"/>
    <x v="81"/>
    <s v="Fatima Soni"/>
    <x v="0"/>
    <x v="5"/>
    <x v="4"/>
    <x v="0"/>
    <x v="2"/>
    <x v="4"/>
    <x v="257"/>
    <x v="5"/>
    <n v="0.2"/>
    <x v="664"/>
    <x v="4"/>
  </r>
  <r>
    <x v="667"/>
    <x v="491"/>
    <x v="583"/>
    <x v="228"/>
    <s v="Kabir Rao"/>
    <x v="0"/>
    <x v="13"/>
    <x v="0"/>
    <x v="0"/>
    <x v="0"/>
    <x v="19"/>
    <x v="288"/>
    <x v="0"/>
    <n v="0.1"/>
    <x v="665"/>
    <x v="2"/>
  </r>
  <r>
    <x v="668"/>
    <x v="492"/>
    <x v="584"/>
    <x v="49"/>
    <s v="Kabir Verma"/>
    <x v="0"/>
    <x v="0"/>
    <x v="0"/>
    <x v="0"/>
    <x v="0"/>
    <x v="3"/>
    <x v="15"/>
    <x v="2"/>
    <n v="0"/>
    <x v="666"/>
    <x v="1"/>
  </r>
  <r>
    <x v="669"/>
    <x v="343"/>
    <x v="546"/>
    <x v="112"/>
    <s v="Kabir Kapoor"/>
    <x v="2"/>
    <x v="13"/>
    <x v="0"/>
    <x v="0"/>
    <x v="2"/>
    <x v="5"/>
    <x v="367"/>
    <x v="7"/>
    <n v="0.1"/>
    <x v="667"/>
    <x v="3"/>
  </r>
  <r>
    <x v="670"/>
    <x v="250"/>
    <x v="171"/>
    <x v="140"/>
    <s v="Rohan Kapoor"/>
    <x v="0"/>
    <x v="7"/>
    <x v="4"/>
    <x v="0"/>
    <x v="0"/>
    <x v="0"/>
    <x v="368"/>
    <x v="2"/>
    <n v="0.1"/>
    <x v="668"/>
    <x v="2"/>
  </r>
  <r>
    <x v="671"/>
    <x v="34"/>
    <x v="248"/>
    <x v="33"/>
    <s v="Rohan Joshi"/>
    <x v="0"/>
    <x v="12"/>
    <x v="8"/>
    <x v="1"/>
    <x v="1"/>
    <x v="9"/>
    <x v="242"/>
    <x v="7"/>
    <n v="0"/>
    <x v="669"/>
    <x v="3"/>
  </r>
  <r>
    <x v="672"/>
    <x v="486"/>
    <x v="178"/>
    <x v="223"/>
    <s v="Vivaan Desai"/>
    <x v="1"/>
    <x v="3"/>
    <x v="2"/>
    <x v="2"/>
    <x v="3"/>
    <x v="7"/>
    <x v="285"/>
    <x v="1"/>
    <n v="0.15"/>
    <x v="670"/>
    <x v="4"/>
  </r>
  <r>
    <x v="673"/>
    <x v="445"/>
    <x v="213"/>
    <x v="44"/>
    <s v="Isha Joshi"/>
    <x v="0"/>
    <x v="7"/>
    <x v="4"/>
    <x v="0"/>
    <x v="0"/>
    <x v="11"/>
    <x v="225"/>
    <x v="0"/>
    <n v="0.1"/>
    <x v="671"/>
    <x v="3"/>
  </r>
  <r>
    <x v="674"/>
    <x v="493"/>
    <x v="585"/>
    <x v="89"/>
    <s v="Sara Khan"/>
    <x v="2"/>
    <x v="10"/>
    <x v="0"/>
    <x v="0"/>
    <x v="2"/>
    <x v="2"/>
    <x v="369"/>
    <x v="0"/>
    <n v="0"/>
    <x v="672"/>
    <x v="3"/>
  </r>
  <r>
    <x v="675"/>
    <x v="494"/>
    <x v="586"/>
    <x v="201"/>
    <s v="Arjun Kapoor"/>
    <x v="0"/>
    <x v="12"/>
    <x v="8"/>
    <x v="1"/>
    <x v="2"/>
    <x v="2"/>
    <x v="370"/>
    <x v="4"/>
    <n v="0.05"/>
    <x v="673"/>
    <x v="2"/>
  </r>
  <r>
    <x v="676"/>
    <x v="495"/>
    <x v="11"/>
    <x v="60"/>
    <s v="Kabir Sheikh"/>
    <x v="2"/>
    <x v="0"/>
    <x v="0"/>
    <x v="0"/>
    <x v="3"/>
    <x v="16"/>
    <x v="21"/>
    <x v="1"/>
    <n v="0"/>
    <x v="674"/>
    <x v="4"/>
  </r>
  <r>
    <x v="677"/>
    <x v="16"/>
    <x v="38"/>
    <x v="46"/>
    <s v="Dev Sheikh"/>
    <x v="1"/>
    <x v="9"/>
    <x v="6"/>
    <x v="4"/>
    <x v="2"/>
    <x v="4"/>
    <x v="325"/>
    <x v="4"/>
    <n v="0"/>
    <x v="675"/>
    <x v="3"/>
  </r>
  <r>
    <x v="678"/>
    <x v="496"/>
    <x v="32"/>
    <x v="28"/>
    <s v="Aditya Trivedi"/>
    <x v="0"/>
    <x v="14"/>
    <x v="9"/>
    <x v="3"/>
    <x v="0"/>
    <x v="19"/>
    <x v="256"/>
    <x v="5"/>
    <n v="0"/>
    <x v="676"/>
    <x v="0"/>
  </r>
  <r>
    <x v="679"/>
    <x v="497"/>
    <x v="176"/>
    <x v="55"/>
    <s v="Arjun Khan"/>
    <x v="2"/>
    <x v="4"/>
    <x v="3"/>
    <x v="1"/>
    <x v="1"/>
    <x v="12"/>
    <x v="127"/>
    <x v="0"/>
    <n v="0"/>
    <x v="677"/>
    <x v="4"/>
  </r>
  <r>
    <x v="680"/>
    <x v="498"/>
    <x v="233"/>
    <x v="124"/>
    <s v="Kiara Panjwani"/>
    <x v="2"/>
    <x v="0"/>
    <x v="0"/>
    <x v="0"/>
    <x v="3"/>
    <x v="7"/>
    <x v="371"/>
    <x v="6"/>
    <n v="0.2"/>
    <x v="678"/>
    <x v="2"/>
  </r>
  <r>
    <x v="681"/>
    <x v="499"/>
    <x v="334"/>
    <x v="207"/>
    <s v="Aarav Kapoor"/>
    <x v="0"/>
    <x v="9"/>
    <x v="6"/>
    <x v="4"/>
    <x v="1"/>
    <x v="15"/>
    <x v="77"/>
    <x v="7"/>
    <n v="0.2"/>
    <x v="679"/>
    <x v="1"/>
  </r>
  <r>
    <x v="682"/>
    <x v="500"/>
    <x v="212"/>
    <x v="12"/>
    <s v="Zoya Sheikh"/>
    <x v="0"/>
    <x v="12"/>
    <x v="8"/>
    <x v="1"/>
    <x v="2"/>
    <x v="2"/>
    <x v="372"/>
    <x v="3"/>
    <n v="0.15"/>
    <x v="680"/>
    <x v="1"/>
  </r>
  <r>
    <x v="683"/>
    <x v="501"/>
    <x v="505"/>
    <x v="111"/>
    <s v="Arjun Joshi"/>
    <x v="1"/>
    <x v="10"/>
    <x v="0"/>
    <x v="0"/>
    <x v="3"/>
    <x v="6"/>
    <x v="51"/>
    <x v="1"/>
    <n v="0.1"/>
    <x v="681"/>
    <x v="2"/>
  </r>
  <r>
    <x v="684"/>
    <x v="265"/>
    <x v="587"/>
    <x v="15"/>
    <s v="Arjun Rao"/>
    <x v="1"/>
    <x v="3"/>
    <x v="2"/>
    <x v="2"/>
    <x v="1"/>
    <x v="12"/>
    <x v="242"/>
    <x v="6"/>
    <n v="0.2"/>
    <x v="682"/>
    <x v="0"/>
  </r>
  <r>
    <x v="685"/>
    <x v="502"/>
    <x v="560"/>
    <x v="70"/>
    <s v="Kabir Trivedi"/>
    <x v="2"/>
    <x v="7"/>
    <x v="4"/>
    <x v="0"/>
    <x v="0"/>
    <x v="19"/>
    <x v="256"/>
    <x v="5"/>
    <n v="0"/>
    <x v="683"/>
    <x v="3"/>
  </r>
  <r>
    <x v="686"/>
    <x v="275"/>
    <x v="98"/>
    <x v="162"/>
    <s v="Rohan Iyer"/>
    <x v="0"/>
    <x v="11"/>
    <x v="7"/>
    <x v="3"/>
    <x v="0"/>
    <x v="19"/>
    <x v="373"/>
    <x v="1"/>
    <n v="0"/>
    <x v="684"/>
    <x v="2"/>
  </r>
  <r>
    <x v="687"/>
    <x v="503"/>
    <x v="588"/>
    <x v="119"/>
    <s v="Vivaan Rao"/>
    <x v="0"/>
    <x v="10"/>
    <x v="0"/>
    <x v="0"/>
    <x v="0"/>
    <x v="8"/>
    <x v="374"/>
    <x v="5"/>
    <n v="0"/>
    <x v="685"/>
    <x v="0"/>
  </r>
  <r>
    <x v="688"/>
    <x v="383"/>
    <x v="159"/>
    <x v="89"/>
    <s v="Aditya Iyer"/>
    <x v="2"/>
    <x v="6"/>
    <x v="5"/>
    <x v="3"/>
    <x v="3"/>
    <x v="13"/>
    <x v="375"/>
    <x v="3"/>
    <n v="0"/>
    <x v="686"/>
    <x v="2"/>
  </r>
  <r>
    <x v="689"/>
    <x v="433"/>
    <x v="589"/>
    <x v="229"/>
    <s v="Aarav Sheikh"/>
    <x v="0"/>
    <x v="5"/>
    <x v="4"/>
    <x v="0"/>
    <x v="1"/>
    <x v="12"/>
    <x v="376"/>
    <x v="2"/>
    <n v="0.15"/>
    <x v="687"/>
    <x v="3"/>
  </r>
  <r>
    <x v="690"/>
    <x v="504"/>
    <x v="497"/>
    <x v="183"/>
    <s v="Diya Panjwani"/>
    <x v="0"/>
    <x v="9"/>
    <x v="6"/>
    <x v="4"/>
    <x v="2"/>
    <x v="4"/>
    <x v="102"/>
    <x v="0"/>
    <n v="0.05"/>
    <x v="688"/>
    <x v="0"/>
  </r>
  <r>
    <x v="691"/>
    <x v="505"/>
    <x v="590"/>
    <x v="137"/>
    <s v="Dev Panjwani"/>
    <x v="2"/>
    <x v="8"/>
    <x v="0"/>
    <x v="0"/>
    <x v="2"/>
    <x v="14"/>
    <x v="377"/>
    <x v="4"/>
    <n v="0.15"/>
    <x v="689"/>
    <x v="0"/>
  </r>
  <r>
    <x v="692"/>
    <x v="163"/>
    <x v="591"/>
    <x v="74"/>
    <s v="Vivaan Panjwani"/>
    <x v="1"/>
    <x v="4"/>
    <x v="3"/>
    <x v="1"/>
    <x v="1"/>
    <x v="1"/>
    <x v="332"/>
    <x v="3"/>
    <n v="0.05"/>
    <x v="690"/>
    <x v="3"/>
  </r>
  <r>
    <x v="693"/>
    <x v="114"/>
    <x v="592"/>
    <x v="67"/>
    <s v="Sara Joshi"/>
    <x v="1"/>
    <x v="13"/>
    <x v="0"/>
    <x v="0"/>
    <x v="1"/>
    <x v="12"/>
    <x v="378"/>
    <x v="4"/>
    <n v="0.1"/>
    <x v="691"/>
    <x v="3"/>
  </r>
  <r>
    <x v="694"/>
    <x v="506"/>
    <x v="593"/>
    <x v="64"/>
    <s v="Krish Kapoor"/>
    <x v="1"/>
    <x v="5"/>
    <x v="4"/>
    <x v="0"/>
    <x v="3"/>
    <x v="16"/>
    <x v="72"/>
    <x v="1"/>
    <n v="0.1"/>
    <x v="692"/>
    <x v="0"/>
  </r>
  <r>
    <x v="695"/>
    <x v="507"/>
    <x v="74"/>
    <x v="71"/>
    <s v="Myra Khan"/>
    <x v="2"/>
    <x v="4"/>
    <x v="3"/>
    <x v="1"/>
    <x v="0"/>
    <x v="11"/>
    <x v="37"/>
    <x v="5"/>
    <n v="0.15"/>
    <x v="693"/>
    <x v="3"/>
  </r>
  <r>
    <x v="696"/>
    <x v="508"/>
    <x v="312"/>
    <x v="51"/>
    <s v="Krish Kapoor"/>
    <x v="2"/>
    <x v="2"/>
    <x v="1"/>
    <x v="1"/>
    <x v="2"/>
    <x v="10"/>
    <x v="261"/>
    <x v="3"/>
    <n v="0.15"/>
    <x v="694"/>
    <x v="2"/>
  </r>
  <r>
    <x v="697"/>
    <x v="210"/>
    <x v="341"/>
    <x v="81"/>
    <s v="Rohan Mehta"/>
    <x v="1"/>
    <x v="0"/>
    <x v="0"/>
    <x v="0"/>
    <x v="1"/>
    <x v="15"/>
    <x v="99"/>
    <x v="4"/>
    <n v="0.15"/>
    <x v="695"/>
    <x v="4"/>
  </r>
  <r>
    <x v="698"/>
    <x v="312"/>
    <x v="77"/>
    <x v="143"/>
    <s v="Fatima Rao"/>
    <x v="2"/>
    <x v="7"/>
    <x v="4"/>
    <x v="0"/>
    <x v="1"/>
    <x v="15"/>
    <x v="243"/>
    <x v="5"/>
    <n v="0.05"/>
    <x v="696"/>
    <x v="4"/>
  </r>
  <r>
    <x v="699"/>
    <x v="314"/>
    <x v="297"/>
    <x v="171"/>
    <s v="Isha Trivedi"/>
    <x v="0"/>
    <x v="13"/>
    <x v="0"/>
    <x v="0"/>
    <x v="0"/>
    <x v="3"/>
    <x v="208"/>
    <x v="3"/>
    <n v="0.15"/>
    <x v="697"/>
    <x v="0"/>
  </r>
  <r>
    <x v="700"/>
    <x v="195"/>
    <x v="129"/>
    <x v="105"/>
    <s v="Diya Khan"/>
    <x v="2"/>
    <x v="11"/>
    <x v="7"/>
    <x v="3"/>
    <x v="3"/>
    <x v="16"/>
    <x v="45"/>
    <x v="0"/>
    <n v="0"/>
    <x v="698"/>
    <x v="2"/>
  </r>
  <r>
    <x v="701"/>
    <x v="83"/>
    <x v="71"/>
    <x v="157"/>
    <s v="Kiara Khan"/>
    <x v="2"/>
    <x v="7"/>
    <x v="4"/>
    <x v="0"/>
    <x v="2"/>
    <x v="4"/>
    <x v="115"/>
    <x v="1"/>
    <n v="0.1"/>
    <x v="699"/>
    <x v="0"/>
  </r>
  <r>
    <x v="702"/>
    <x v="509"/>
    <x v="576"/>
    <x v="204"/>
    <s v="Isha Rao"/>
    <x v="1"/>
    <x v="4"/>
    <x v="3"/>
    <x v="1"/>
    <x v="1"/>
    <x v="18"/>
    <x v="44"/>
    <x v="6"/>
    <n v="0"/>
    <x v="700"/>
    <x v="3"/>
  </r>
  <r>
    <x v="703"/>
    <x v="222"/>
    <x v="190"/>
    <x v="105"/>
    <s v="Aanya Sheikh"/>
    <x v="1"/>
    <x v="14"/>
    <x v="9"/>
    <x v="3"/>
    <x v="1"/>
    <x v="9"/>
    <x v="379"/>
    <x v="1"/>
    <n v="0.15"/>
    <x v="701"/>
    <x v="2"/>
  </r>
  <r>
    <x v="704"/>
    <x v="484"/>
    <x v="135"/>
    <x v="230"/>
    <s v="Anaya Panjwani"/>
    <x v="2"/>
    <x v="12"/>
    <x v="8"/>
    <x v="1"/>
    <x v="2"/>
    <x v="14"/>
    <x v="235"/>
    <x v="1"/>
    <n v="0.05"/>
    <x v="702"/>
    <x v="3"/>
  </r>
  <r>
    <x v="705"/>
    <x v="510"/>
    <x v="297"/>
    <x v="157"/>
    <s v="Fatima Khan"/>
    <x v="0"/>
    <x v="3"/>
    <x v="2"/>
    <x v="2"/>
    <x v="0"/>
    <x v="0"/>
    <x v="216"/>
    <x v="1"/>
    <n v="0"/>
    <x v="703"/>
    <x v="4"/>
  </r>
  <r>
    <x v="706"/>
    <x v="511"/>
    <x v="594"/>
    <x v="216"/>
    <s v="Yusuf Mehta"/>
    <x v="1"/>
    <x v="0"/>
    <x v="0"/>
    <x v="0"/>
    <x v="0"/>
    <x v="11"/>
    <x v="60"/>
    <x v="7"/>
    <n v="0.05"/>
    <x v="704"/>
    <x v="1"/>
  </r>
  <r>
    <x v="707"/>
    <x v="512"/>
    <x v="171"/>
    <x v="74"/>
    <s v="Kabir Panjwani"/>
    <x v="2"/>
    <x v="13"/>
    <x v="0"/>
    <x v="0"/>
    <x v="0"/>
    <x v="11"/>
    <x v="37"/>
    <x v="5"/>
    <n v="0.15"/>
    <x v="705"/>
    <x v="2"/>
  </r>
  <r>
    <x v="708"/>
    <x v="170"/>
    <x v="595"/>
    <x v="109"/>
    <s v="Krish Joshi"/>
    <x v="0"/>
    <x v="3"/>
    <x v="2"/>
    <x v="2"/>
    <x v="3"/>
    <x v="16"/>
    <x v="21"/>
    <x v="1"/>
    <n v="0"/>
    <x v="706"/>
    <x v="2"/>
  </r>
  <r>
    <x v="709"/>
    <x v="513"/>
    <x v="596"/>
    <x v="106"/>
    <s v="Zoya Soni"/>
    <x v="1"/>
    <x v="6"/>
    <x v="5"/>
    <x v="3"/>
    <x v="3"/>
    <x v="17"/>
    <x v="110"/>
    <x v="4"/>
    <n v="0.05"/>
    <x v="707"/>
    <x v="0"/>
  </r>
  <r>
    <x v="710"/>
    <x v="514"/>
    <x v="597"/>
    <x v="32"/>
    <s v="Zoya Dave"/>
    <x v="1"/>
    <x v="6"/>
    <x v="5"/>
    <x v="3"/>
    <x v="0"/>
    <x v="3"/>
    <x v="15"/>
    <x v="2"/>
    <n v="0"/>
    <x v="708"/>
    <x v="0"/>
  </r>
  <r>
    <x v="711"/>
    <x v="515"/>
    <x v="598"/>
    <x v="202"/>
    <s v="Vivaan Sheikh"/>
    <x v="2"/>
    <x v="1"/>
    <x v="0"/>
    <x v="0"/>
    <x v="2"/>
    <x v="5"/>
    <x v="13"/>
    <x v="6"/>
    <n v="0.1"/>
    <x v="709"/>
    <x v="3"/>
  </r>
  <r>
    <x v="712"/>
    <x v="216"/>
    <x v="599"/>
    <x v="42"/>
    <s v="Fatima Joshi"/>
    <x v="1"/>
    <x v="11"/>
    <x v="7"/>
    <x v="3"/>
    <x v="2"/>
    <x v="14"/>
    <x v="364"/>
    <x v="7"/>
    <n v="0.1"/>
    <x v="710"/>
    <x v="2"/>
  </r>
  <r>
    <x v="713"/>
    <x v="423"/>
    <x v="48"/>
    <x v="231"/>
    <s v="Kabir Sheikh"/>
    <x v="1"/>
    <x v="3"/>
    <x v="2"/>
    <x v="2"/>
    <x v="1"/>
    <x v="9"/>
    <x v="380"/>
    <x v="2"/>
    <n v="0.05"/>
    <x v="711"/>
    <x v="3"/>
  </r>
  <r>
    <x v="714"/>
    <x v="516"/>
    <x v="600"/>
    <x v="117"/>
    <s v="Arjun Trivedi"/>
    <x v="2"/>
    <x v="7"/>
    <x v="4"/>
    <x v="0"/>
    <x v="3"/>
    <x v="16"/>
    <x v="381"/>
    <x v="7"/>
    <n v="0.2"/>
    <x v="712"/>
    <x v="3"/>
  </r>
  <r>
    <x v="715"/>
    <x v="333"/>
    <x v="589"/>
    <x v="232"/>
    <s v="Krish Patel"/>
    <x v="1"/>
    <x v="11"/>
    <x v="7"/>
    <x v="3"/>
    <x v="2"/>
    <x v="10"/>
    <x v="14"/>
    <x v="7"/>
    <n v="0"/>
    <x v="713"/>
    <x v="0"/>
  </r>
  <r>
    <x v="716"/>
    <x v="129"/>
    <x v="248"/>
    <x v="233"/>
    <s v="Arjun Trivedi"/>
    <x v="1"/>
    <x v="13"/>
    <x v="0"/>
    <x v="0"/>
    <x v="0"/>
    <x v="3"/>
    <x v="382"/>
    <x v="7"/>
    <n v="0.2"/>
    <x v="714"/>
    <x v="2"/>
  </r>
  <r>
    <x v="717"/>
    <x v="517"/>
    <x v="601"/>
    <x v="168"/>
    <s v="Anaya Patel"/>
    <x v="1"/>
    <x v="4"/>
    <x v="3"/>
    <x v="1"/>
    <x v="0"/>
    <x v="11"/>
    <x v="355"/>
    <x v="2"/>
    <n v="0.15"/>
    <x v="715"/>
    <x v="0"/>
  </r>
  <r>
    <x v="718"/>
    <x v="357"/>
    <x v="602"/>
    <x v="62"/>
    <s v="Krish Iyer"/>
    <x v="2"/>
    <x v="7"/>
    <x v="4"/>
    <x v="0"/>
    <x v="3"/>
    <x v="17"/>
    <x v="177"/>
    <x v="6"/>
    <n v="0.2"/>
    <x v="716"/>
    <x v="1"/>
  </r>
  <r>
    <x v="719"/>
    <x v="518"/>
    <x v="603"/>
    <x v="87"/>
    <s v="Aarav Desai"/>
    <x v="2"/>
    <x v="0"/>
    <x v="0"/>
    <x v="0"/>
    <x v="1"/>
    <x v="18"/>
    <x v="12"/>
    <x v="1"/>
    <n v="0.2"/>
    <x v="717"/>
    <x v="2"/>
  </r>
  <r>
    <x v="720"/>
    <x v="361"/>
    <x v="12"/>
    <x v="199"/>
    <s v="Aarav Shah"/>
    <x v="1"/>
    <x v="7"/>
    <x v="4"/>
    <x v="0"/>
    <x v="1"/>
    <x v="18"/>
    <x v="160"/>
    <x v="3"/>
    <n v="0.1"/>
    <x v="718"/>
    <x v="2"/>
  </r>
  <r>
    <x v="721"/>
    <x v="519"/>
    <x v="107"/>
    <x v="155"/>
    <s v="Sara Dave"/>
    <x v="2"/>
    <x v="6"/>
    <x v="5"/>
    <x v="3"/>
    <x v="3"/>
    <x v="6"/>
    <x v="51"/>
    <x v="1"/>
    <n v="0.1"/>
    <x v="719"/>
    <x v="1"/>
  </r>
  <r>
    <x v="722"/>
    <x v="520"/>
    <x v="604"/>
    <x v="216"/>
    <s v="Kiara Joshi"/>
    <x v="1"/>
    <x v="1"/>
    <x v="0"/>
    <x v="0"/>
    <x v="3"/>
    <x v="6"/>
    <x v="119"/>
    <x v="7"/>
    <n v="0.2"/>
    <x v="720"/>
    <x v="0"/>
  </r>
  <r>
    <x v="723"/>
    <x v="299"/>
    <x v="605"/>
    <x v="170"/>
    <s v="Aditya Soni"/>
    <x v="1"/>
    <x v="11"/>
    <x v="7"/>
    <x v="3"/>
    <x v="3"/>
    <x v="13"/>
    <x v="180"/>
    <x v="1"/>
    <n v="0.15"/>
    <x v="721"/>
    <x v="4"/>
  </r>
  <r>
    <x v="724"/>
    <x v="47"/>
    <x v="265"/>
    <x v="144"/>
    <s v="Rohan Verma"/>
    <x v="2"/>
    <x v="7"/>
    <x v="4"/>
    <x v="0"/>
    <x v="3"/>
    <x v="16"/>
    <x v="383"/>
    <x v="7"/>
    <n v="0.15"/>
    <x v="722"/>
    <x v="1"/>
  </r>
  <r>
    <x v="725"/>
    <x v="363"/>
    <x v="606"/>
    <x v="56"/>
    <s v="Yusuf Sheikh"/>
    <x v="0"/>
    <x v="4"/>
    <x v="3"/>
    <x v="1"/>
    <x v="1"/>
    <x v="12"/>
    <x v="160"/>
    <x v="6"/>
    <n v="0.1"/>
    <x v="723"/>
    <x v="4"/>
  </r>
  <r>
    <x v="726"/>
    <x v="384"/>
    <x v="293"/>
    <x v="49"/>
    <s v="Aanya Rao"/>
    <x v="0"/>
    <x v="3"/>
    <x v="2"/>
    <x v="2"/>
    <x v="3"/>
    <x v="13"/>
    <x v="144"/>
    <x v="3"/>
    <n v="0.2"/>
    <x v="724"/>
    <x v="4"/>
  </r>
  <r>
    <x v="727"/>
    <x v="521"/>
    <x v="164"/>
    <x v="165"/>
    <s v="Fatima Mehta"/>
    <x v="1"/>
    <x v="2"/>
    <x v="1"/>
    <x v="1"/>
    <x v="1"/>
    <x v="9"/>
    <x v="278"/>
    <x v="0"/>
    <n v="0.05"/>
    <x v="725"/>
    <x v="2"/>
  </r>
  <r>
    <x v="728"/>
    <x v="70"/>
    <x v="607"/>
    <x v="198"/>
    <s v="Diya Patel"/>
    <x v="2"/>
    <x v="6"/>
    <x v="5"/>
    <x v="3"/>
    <x v="2"/>
    <x v="4"/>
    <x v="384"/>
    <x v="7"/>
    <n v="0.05"/>
    <x v="726"/>
    <x v="4"/>
  </r>
  <r>
    <x v="729"/>
    <x v="522"/>
    <x v="608"/>
    <x v="234"/>
    <s v="Meera Desai"/>
    <x v="1"/>
    <x v="8"/>
    <x v="0"/>
    <x v="0"/>
    <x v="1"/>
    <x v="9"/>
    <x v="163"/>
    <x v="1"/>
    <n v="0"/>
    <x v="727"/>
    <x v="3"/>
  </r>
  <r>
    <x v="730"/>
    <x v="523"/>
    <x v="609"/>
    <x v="219"/>
    <s v="Dev Dave"/>
    <x v="0"/>
    <x v="13"/>
    <x v="0"/>
    <x v="0"/>
    <x v="0"/>
    <x v="8"/>
    <x v="79"/>
    <x v="1"/>
    <n v="0.15"/>
    <x v="728"/>
    <x v="1"/>
  </r>
  <r>
    <x v="731"/>
    <x v="374"/>
    <x v="69"/>
    <x v="212"/>
    <s v="Anaya Rao"/>
    <x v="0"/>
    <x v="9"/>
    <x v="6"/>
    <x v="4"/>
    <x v="3"/>
    <x v="6"/>
    <x v="214"/>
    <x v="5"/>
    <n v="0"/>
    <x v="729"/>
    <x v="1"/>
  </r>
  <r>
    <x v="732"/>
    <x v="285"/>
    <x v="610"/>
    <x v="157"/>
    <s v="Rohan Iyer"/>
    <x v="0"/>
    <x v="8"/>
    <x v="0"/>
    <x v="0"/>
    <x v="2"/>
    <x v="2"/>
    <x v="65"/>
    <x v="6"/>
    <n v="0"/>
    <x v="730"/>
    <x v="0"/>
  </r>
  <r>
    <x v="733"/>
    <x v="261"/>
    <x v="102"/>
    <x v="155"/>
    <s v="Rohan Panjwani"/>
    <x v="1"/>
    <x v="1"/>
    <x v="0"/>
    <x v="0"/>
    <x v="1"/>
    <x v="15"/>
    <x v="385"/>
    <x v="6"/>
    <n v="0"/>
    <x v="731"/>
    <x v="2"/>
  </r>
  <r>
    <x v="734"/>
    <x v="329"/>
    <x v="206"/>
    <x v="137"/>
    <s v="Aanya Trivedi"/>
    <x v="0"/>
    <x v="6"/>
    <x v="5"/>
    <x v="3"/>
    <x v="0"/>
    <x v="8"/>
    <x v="187"/>
    <x v="4"/>
    <n v="0"/>
    <x v="732"/>
    <x v="2"/>
  </r>
  <r>
    <x v="735"/>
    <x v="397"/>
    <x v="611"/>
    <x v="83"/>
    <s v="Rohan Rao"/>
    <x v="0"/>
    <x v="2"/>
    <x v="1"/>
    <x v="1"/>
    <x v="3"/>
    <x v="13"/>
    <x v="386"/>
    <x v="4"/>
    <n v="0.1"/>
    <x v="733"/>
    <x v="4"/>
  </r>
  <r>
    <x v="736"/>
    <x v="524"/>
    <x v="312"/>
    <x v="235"/>
    <s v="Isha Panjwani"/>
    <x v="1"/>
    <x v="6"/>
    <x v="5"/>
    <x v="3"/>
    <x v="1"/>
    <x v="18"/>
    <x v="85"/>
    <x v="5"/>
    <n v="0"/>
    <x v="734"/>
    <x v="0"/>
  </r>
  <r>
    <x v="737"/>
    <x v="525"/>
    <x v="123"/>
    <x v="236"/>
    <s v="Dev Joshi"/>
    <x v="2"/>
    <x v="12"/>
    <x v="8"/>
    <x v="1"/>
    <x v="1"/>
    <x v="9"/>
    <x v="193"/>
    <x v="1"/>
    <n v="0.2"/>
    <x v="735"/>
    <x v="0"/>
  </r>
  <r>
    <x v="738"/>
    <x v="526"/>
    <x v="258"/>
    <x v="181"/>
    <s v="Dev Dave"/>
    <x v="1"/>
    <x v="4"/>
    <x v="3"/>
    <x v="1"/>
    <x v="0"/>
    <x v="8"/>
    <x v="20"/>
    <x v="6"/>
    <n v="0"/>
    <x v="736"/>
    <x v="0"/>
  </r>
  <r>
    <x v="739"/>
    <x v="514"/>
    <x v="612"/>
    <x v="39"/>
    <s v="Diya Soni"/>
    <x v="2"/>
    <x v="10"/>
    <x v="0"/>
    <x v="0"/>
    <x v="3"/>
    <x v="17"/>
    <x v="345"/>
    <x v="2"/>
    <n v="0"/>
    <x v="737"/>
    <x v="0"/>
  </r>
  <r>
    <x v="740"/>
    <x v="527"/>
    <x v="93"/>
    <x v="231"/>
    <s v="Sara Soni"/>
    <x v="2"/>
    <x v="4"/>
    <x v="3"/>
    <x v="1"/>
    <x v="1"/>
    <x v="9"/>
    <x v="284"/>
    <x v="3"/>
    <n v="0"/>
    <x v="738"/>
    <x v="2"/>
  </r>
  <r>
    <x v="741"/>
    <x v="160"/>
    <x v="613"/>
    <x v="70"/>
    <s v="Anaya Verma"/>
    <x v="1"/>
    <x v="9"/>
    <x v="6"/>
    <x v="4"/>
    <x v="0"/>
    <x v="0"/>
    <x v="0"/>
    <x v="3"/>
    <n v="0.2"/>
    <x v="739"/>
    <x v="4"/>
  </r>
  <r>
    <x v="742"/>
    <x v="414"/>
    <x v="539"/>
    <x v="17"/>
    <s v="Sara Dave"/>
    <x v="0"/>
    <x v="11"/>
    <x v="7"/>
    <x v="3"/>
    <x v="0"/>
    <x v="11"/>
    <x v="387"/>
    <x v="1"/>
    <n v="0.2"/>
    <x v="740"/>
    <x v="1"/>
  </r>
  <r>
    <x v="743"/>
    <x v="410"/>
    <x v="614"/>
    <x v="117"/>
    <s v="Yusuf Kapoor"/>
    <x v="1"/>
    <x v="10"/>
    <x v="0"/>
    <x v="0"/>
    <x v="1"/>
    <x v="15"/>
    <x v="196"/>
    <x v="3"/>
    <n v="0.05"/>
    <x v="741"/>
    <x v="0"/>
  </r>
  <r>
    <x v="744"/>
    <x v="528"/>
    <x v="615"/>
    <x v="69"/>
    <s v="Aanya Rao"/>
    <x v="2"/>
    <x v="10"/>
    <x v="0"/>
    <x v="0"/>
    <x v="2"/>
    <x v="14"/>
    <x v="388"/>
    <x v="0"/>
    <n v="0.05"/>
    <x v="742"/>
    <x v="1"/>
  </r>
  <r>
    <x v="745"/>
    <x v="529"/>
    <x v="616"/>
    <x v="0"/>
    <s v="Dev Panjwani"/>
    <x v="0"/>
    <x v="7"/>
    <x v="4"/>
    <x v="0"/>
    <x v="1"/>
    <x v="12"/>
    <x v="301"/>
    <x v="0"/>
    <n v="0.1"/>
    <x v="743"/>
    <x v="3"/>
  </r>
  <r>
    <x v="746"/>
    <x v="530"/>
    <x v="615"/>
    <x v="25"/>
    <s v="Fatima Verma"/>
    <x v="2"/>
    <x v="7"/>
    <x v="4"/>
    <x v="0"/>
    <x v="0"/>
    <x v="3"/>
    <x v="382"/>
    <x v="7"/>
    <n v="0.2"/>
    <x v="744"/>
    <x v="2"/>
  </r>
  <r>
    <x v="747"/>
    <x v="531"/>
    <x v="617"/>
    <x v="21"/>
    <s v="Anaya Verma"/>
    <x v="1"/>
    <x v="8"/>
    <x v="0"/>
    <x v="0"/>
    <x v="3"/>
    <x v="6"/>
    <x v="194"/>
    <x v="4"/>
    <n v="0.2"/>
    <x v="745"/>
    <x v="0"/>
  </r>
  <r>
    <x v="748"/>
    <x v="459"/>
    <x v="618"/>
    <x v="83"/>
    <s v="Anaya Shah"/>
    <x v="2"/>
    <x v="4"/>
    <x v="3"/>
    <x v="1"/>
    <x v="1"/>
    <x v="9"/>
    <x v="301"/>
    <x v="6"/>
    <n v="0"/>
    <x v="746"/>
    <x v="3"/>
  </r>
  <r>
    <x v="749"/>
    <x v="325"/>
    <x v="584"/>
    <x v="51"/>
    <s v="Sara Khan"/>
    <x v="1"/>
    <x v="11"/>
    <x v="7"/>
    <x v="3"/>
    <x v="1"/>
    <x v="18"/>
    <x v="164"/>
    <x v="6"/>
    <n v="0.05"/>
    <x v="747"/>
    <x v="2"/>
  </r>
  <r>
    <x v="750"/>
    <x v="436"/>
    <x v="617"/>
    <x v="156"/>
    <s v="Fatima Patel"/>
    <x v="1"/>
    <x v="14"/>
    <x v="9"/>
    <x v="3"/>
    <x v="3"/>
    <x v="16"/>
    <x v="389"/>
    <x v="3"/>
    <n v="0.05"/>
    <x v="748"/>
    <x v="3"/>
  </r>
  <r>
    <x v="751"/>
    <x v="532"/>
    <x v="619"/>
    <x v="54"/>
    <s v="Aditya Iyer"/>
    <x v="2"/>
    <x v="3"/>
    <x v="2"/>
    <x v="2"/>
    <x v="2"/>
    <x v="4"/>
    <x v="258"/>
    <x v="7"/>
    <n v="0.15"/>
    <x v="749"/>
    <x v="0"/>
  </r>
  <r>
    <x v="752"/>
    <x v="329"/>
    <x v="205"/>
    <x v="219"/>
    <s v="Aditya Shah"/>
    <x v="0"/>
    <x v="3"/>
    <x v="2"/>
    <x v="2"/>
    <x v="1"/>
    <x v="1"/>
    <x v="390"/>
    <x v="7"/>
    <n v="0.1"/>
    <x v="750"/>
    <x v="3"/>
  </r>
  <r>
    <x v="753"/>
    <x v="288"/>
    <x v="620"/>
    <x v="46"/>
    <s v="Arjun Kapoor"/>
    <x v="1"/>
    <x v="10"/>
    <x v="0"/>
    <x v="0"/>
    <x v="3"/>
    <x v="17"/>
    <x v="196"/>
    <x v="1"/>
    <n v="0.2"/>
    <x v="751"/>
    <x v="2"/>
  </r>
  <r>
    <x v="754"/>
    <x v="533"/>
    <x v="70"/>
    <x v="188"/>
    <s v="Meera Soni"/>
    <x v="0"/>
    <x v="14"/>
    <x v="9"/>
    <x v="3"/>
    <x v="0"/>
    <x v="3"/>
    <x v="282"/>
    <x v="5"/>
    <n v="0.2"/>
    <x v="752"/>
    <x v="1"/>
  </r>
  <r>
    <x v="755"/>
    <x v="327"/>
    <x v="330"/>
    <x v="14"/>
    <s v="Isha Patel"/>
    <x v="2"/>
    <x v="11"/>
    <x v="7"/>
    <x v="3"/>
    <x v="1"/>
    <x v="12"/>
    <x v="22"/>
    <x v="1"/>
    <n v="0"/>
    <x v="753"/>
    <x v="2"/>
  </r>
  <r>
    <x v="756"/>
    <x v="534"/>
    <x v="621"/>
    <x v="121"/>
    <s v="Aarav Trivedi"/>
    <x v="2"/>
    <x v="4"/>
    <x v="3"/>
    <x v="1"/>
    <x v="3"/>
    <x v="16"/>
    <x v="183"/>
    <x v="6"/>
    <n v="0.1"/>
    <x v="754"/>
    <x v="2"/>
  </r>
  <r>
    <x v="757"/>
    <x v="272"/>
    <x v="503"/>
    <x v="24"/>
    <s v="Kiara Mehta"/>
    <x v="2"/>
    <x v="3"/>
    <x v="2"/>
    <x v="2"/>
    <x v="0"/>
    <x v="19"/>
    <x v="318"/>
    <x v="3"/>
    <n v="0"/>
    <x v="755"/>
    <x v="2"/>
  </r>
  <r>
    <x v="758"/>
    <x v="424"/>
    <x v="601"/>
    <x v="218"/>
    <s v="Meera Trivedi"/>
    <x v="1"/>
    <x v="2"/>
    <x v="1"/>
    <x v="1"/>
    <x v="2"/>
    <x v="2"/>
    <x v="130"/>
    <x v="3"/>
    <n v="0.1"/>
    <x v="756"/>
    <x v="1"/>
  </r>
  <r>
    <x v="759"/>
    <x v="535"/>
    <x v="76"/>
    <x v="64"/>
    <s v="Arjun Panjwani"/>
    <x v="1"/>
    <x v="13"/>
    <x v="0"/>
    <x v="0"/>
    <x v="3"/>
    <x v="16"/>
    <x v="270"/>
    <x v="6"/>
    <n v="0"/>
    <x v="757"/>
    <x v="1"/>
  </r>
  <r>
    <x v="760"/>
    <x v="536"/>
    <x v="622"/>
    <x v="124"/>
    <s v="Rohan Soni"/>
    <x v="2"/>
    <x v="2"/>
    <x v="1"/>
    <x v="1"/>
    <x v="1"/>
    <x v="12"/>
    <x v="212"/>
    <x v="2"/>
    <n v="0"/>
    <x v="758"/>
    <x v="1"/>
  </r>
  <r>
    <x v="761"/>
    <x v="537"/>
    <x v="623"/>
    <x v="225"/>
    <s v="Anaya Desai"/>
    <x v="0"/>
    <x v="7"/>
    <x v="4"/>
    <x v="0"/>
    <x v="1"/>
    <x v="18"/>
    <x v="356"/>
    <x v="3"/>
    <n v="0.15"/>
    <x v="759"/>
    <x v="2"/>
  </r>
  <r>
    <x v="762"/>
    <x v="99"/>
    <x v="624"/>
    <x v="183"/>
    <s v="Myra Soni"/>
    <x v="2"/>
    <x v="7"/>
    <x v="4"/>
    <x v="0"/>
    <x v="3"/>
    <x v="16"/>
    <x v="45"/>
    <x v="0"/>
    <n v="0"/>
    <x v="760"/>
    <x v="3"/>
  </r>
  <r>
    <x v="763"/>
    <x v="104"/>
    <x v="593"/>
    <x v="178"/>
    <s v="Diya Sheikh"/>
    <x v="2"/>
    <x v="0"/>
    <x v="0"/>
    <x v="0"/>
    <x v="3"/>
    <x v="7"/>
    <x v="257"/>
    <x v="3"/>
    <n v="0.2"/>
    <x v="761"/>
    <x v="4"/>
  </r>
  <r>
    <x v="764"/>
    <x v="347"/>
    <x v="625"/>
    <x v="204"/>
    <s v="Diya Mehta"/>
    <x v="0"/>
    <x v="3"/>
    <x v="2"/>
    <x v="2"/>
    <x v="3"/>
    <x v="17"/>
    <x v="329"/>
    <x v="0"/>
    <n v="0.15"/>
    <x v="762"/>
    <x v="3"/>
  </r>
  <r>
    <x v="765"/>
    <x v="538"/>
    <x v="626"/>
    <x v="133"/>
    <s v="Aanya Desai"/>
    <x v="0"/>
    <x v="13"/>
    <x v="0"/>
    <x v="0"/>
    <x v="2"/>
    <x v="4"/>
    <x v="21"/>
    <x v="5"/>
    <n v="0"/>
    <x v="763"/>
    <x v="3"/>
  </r>
  <r>
    <x v="766"/>
    <x v="327"/>
    <x v="332"/>
    <x v="64"/>
    <s v="Aditya Desai"/>
    <x v="2"/>
    <x v="5"/>
    <x v="4"/>
    <x v="0"/>
    <x v="0"/>
    <x v="8"/>
    <x v="391"/>
    <x v="7"/>
    <n v="0.05"/>
    <x v="764"/>
    <x v="3"/>
  </r>
  <r>
    <x v="767"/>
    <x v="298"/>
    <x v="627"/>
    <x v="225"/>
    <s v="Isha Panjwani"/>
    <x v="0"/>
    <x v="9"/>
    <x v="6"/>
    <x v="4"/>
    <x v="1"/>
    <x v="18"/>
    <x v="51"/>
    <x v="7"/>
    <n v="0"/>
    <x v="765"/>
    <x v="0"/>
  </r>
  <r>
    <x v="768"/>
    <x v="539"/>
    <x v="129"/>
    <x v="118"/>
    <s v="Zoya Rao"/>
    <x v="2"/>
    <x v="11"/>
    <x v="7"/>
    <x v="3"/>
    <x v="2"/>
    <x v="10"/>
    <x v="392"/>
    <x v="1"/>
    <n v="0.2"/>
    <x v="766"/>
    <x v="3"/>
  </r>
  <r>
    <x v="769"/>
    <x v="254"/>
    <x v="628"/>
    <x v="153"/>
    <s v="Aarav Desai"/>
    <x v="0"/>
    <x v="8"/>
    <x v="0"/>
    <x v="0"/>
    <x v="2"/>
    <x v="10"/>
    <x v="393"/>
    <x v="7"/>
    <n v="0.05"/>
    <x v="767"/>
    <x v="1"/>
  </r>
  <r>
    <x v="770"/>
    <x v="540"/>
    <x v="124"/>
    <x v="233"/>
    <s v="Myra Desai"/>
    <x v="2"/>
    <x v="12"/>
    <x v="8"/>
    <x v="1"/>
    <x v="0"/>
    <x v="0"/>
    <x v="394"/>
    <x v="5"/>
    <n v="0.15"/>
    <x v="768"/>
    <x v="4"/>
  </r>
  <r>
    <x v="771"/>
    <x v="449"/>
    <x v="543"/>
    <x v="208"/>
    <s v="Arjun Dave"/>
    <x v="0"/>
    <x v="6"/>
    <x v="5"/>
    <x v="3"/>
    <x v="1"/>
    <x v="18"/>
    <x v="42"/>
    <x v="0"/>
    <n v="0.2"/>
    <x v="769"/>
    <x v="0"/>
  </r>
  <r>
    <x v="772"/>
    <x v="541"/>
    <x v="629"/>
    <x v="201"/>
    <s v="Yusuf Rao"/>
    <x v="1"/>
    <x v="10"/>
    <x v="0"/>
    <x v="0"/>
    <x v="1"/>
    <x v="18"/>
    <x v="48"/>
    <x v="4"/>
    <n v="0.2"/>
    <x v="770"/>
    <x v="3"/>
  </r>
  <r>
    <x v="773"/>
    <x v="275"/>
    <x v="98"/>
    <x v="11"/>
    <s v="Aarav Panjwani"/>
    <x v="0"/>
    <x v="13"/>
    <x v="0"/>
    <x v="0"/>
    <x v="1"/>
    <x v="18"/>
    <x v="242"/>
    <x v="3"/>
    <n v="0.2"/>
    <x v="771"/>
    <x v="1"/>
  </r>
  <r>
    <x v="774"/>
    <x v="542"/>
    <x v="222"/>
    <x v="154"/>
    <s v="Zoya Soni"/>
    <x v="1"/>
    <x v="7"/>
    <x v="4"/>
    <x v="0"/>
    <x v="3"/>
    <x v="17"/>
    <x v="239"/>
    <x v="5"/>
    <n v="0.2"/>
    <x v="772"/>
    <x v="2"/>
  </r>
  <r>
    <x v="775"/>
    <x v="543"/>
    <x v="630"/>
    <x v="188"/>
    <s v="Aditya Shah"/>
    <x v="0"/>
    <x v="9"/>
    <x v="6"/>
    <x v="4"/>
    <x v="3"/>
    <x v="7"/>
    <x v="69"/>
    <x v="7"/>
    <n v="0.05"/>
    <x v="773"/>
    <x v="1"/>
  </r>
  <r>
    <x v="776"/>
    <x v="371"/>
    <x v="102"/>
    <x v="79"/>
    <s v="Kabir Kapoor"/>
    <x v="0"/>
    <x v="4"/>
    <x v="3"/>
    <x v="1"/>
    <x v="3"/>
    <x v="16"/>
    <x v="45"/>
    <x v="0"/>
    <n v="0"/>
    <x v="774"/>
    <x v="1"/>
  </r>
  <r>
    <x v="777"/>
    <x v="133"/>
    <x v="631"/>
    <x v="128"/>
    <s v="Myra Trivedi"/>
    <x v="1"/>
    <x v="7"/>
    <x v="4"/>
    <x v="0"/>
    <x v="2"/>
    <x v="5"/>
    <x v="395"/>
    <x v="6"/>
    <n v="0.05"/>
    <x v="775"/>
    <x v="4"/>
  </r>
  <r>
    <x v="778"/>
    <x v="528"/>
    <x v="557"/>
    <x v="237"/>
    <s v="Anaya Shah"/>
    <x v="1"/>
    <x v="10"/>
    <x v="0"/>
    <x v="0"/>
    <x v="2"/>
    <x v="5"/>
    <x v="169"/>
    <x v="7"/>
    <n v="0"/>
    <x v="776"/>
    <x v="1"/>
  </r>
  <r>
    <x v="779"/>
    <x v="544"/>
    <x v="632"/>
    <x v="212"/>
    <s v="Aanya Shah"/>
    <x v="1"/>
    <x v="9"/>
    <x v="6"/>
    <x v="4"/>
    <x v="2"/>
    <x v="2"/>
    <x v="175"/>
    <x v="1"/>
    <n v="0.1"/>
    <x v="777"/>
    <x v="1"/>
  </r>
  <r>
    <x v="780"/>
    <x v="181"/>
    <x v="633"/>
    <x v="108"/>
    <s v="Meera Iyer"/>
    <x v="0"/>
    <x v="13"/>
    <x v="0"/>
    <x v="0"/>
    <x v="3"/>
    <x v="6"/>
    <x v="347"/>
    <x v="5"/>
    <n v="0.15"/>
    <x v="778"/>
    <x v="3"/>
  </r>
  <r>
    <x v="781"/>
    <x v="350"/>
    <x v="634"/>
    <x v="225"/>
    <s v="Aarav Khan"/>
    <x v="0"/>
    <x v="7"/>
    <x v="4"/>
    <x v="0"/>
    <x v="3"/>
    <x v="6"/>
    <x v="239"/>
    <x v="5"/>
    <n v="0.05"/>
    <x v="779"/>
    <x v="4"/>
  </r>
  <r>
    <x v="782"/>
    <x v="238"/>
    <x v="635"/>
    <x v="188"/>
    <s v="Yusuf Mehta"/>
    <x v="0"/>
    <x v="1"/>
    <x v="0"/>
    <x v="0"/>
    <x v="2"/>
    <x v="10"/>
    <x v="396"/>
    <x v="5"/>
    <n v="0.15"/>
    <x v="780"/>
    <x v="3"/>
  </r>
  <r>
    <x v="783"/>
    <x v="545"/>
    <x v="636"/>
    <x v="236"/>
    <s v="Diya Patel"/>
    <x v="1"/>
    <x v="7"/>
    <x v="4"/>
    <x v="0"/>
    <x v="3"/>
    <x v="7"/>
    <x v="16"/>
    <x v="7"/>
    <n v="0"/>
    <x v="781"/>
    <x v="4"/>
  </r>
  <r>
    <x v="784"/>
    <x v="546"/>
    <x v="637"/>
    <x v="63"/>
    <s v="Aditya Joshi"/>
    <x v="2"/>
    <x v="11"/>
    <x v="7"/>
    <x v="3"/>
    <x v="0"/>
    <x v="8"/>
    <x v="187"/>
    <x v="4"/>
    <n v="0"/>
    <x v="782"/>
    <x v="1"/>
  </r>
  <r>
    <x v="785"/>
    <x v="351"/>
    <x v="638"/>
    <x v="91"/>
    <s v="Diya Panjwani"/>
    <x v="2"/>
    <x v="12"/>
    <x v="8"/>
    <x v="1"/>
    <x v="1"/>
    <x v="18"/>
    <x v="397"/>
    <x v="0"/>
    <n v="0.15"/>
    <x v="783"/>
    <x v="2"/>
  </r>
  <r>
    <x v="786"/>
    <x v="472"/>
    <x v="346"/>
    <x v="190"/>
    <s v="Rohan Dave"/>
    <x v="0"/>
    <x v="12"/>
    <x v="8"/>
    <x v="1"/>
    <x v="1"/>
    <x v="18"/>
    <x v="44"/>
    <x v="6"/>
    <n v="0"/>
    <x v="784"/>
    <x v="4"/>
  </r>
  <r>
    <x v="787"/>
    <x v="547"/>
    <x v="222"/>
    <x v="92"/>
    <s v="Rohan Sheikh"/>
    <x v="1"/>
    <x v="14"/>
    <x v="9"/>
    <x v="3"/>
    <x v="0"/>
    <x v="3"/>
    <x v="71"/>
    <x v="3"/>
    <n v="0.1"/>
    <x v="785"/>
    <x v="0"/>
  </r>
  <r>
    <x v="788"/>
    <x v="7"/>
    <x v="639"/>
    <x v="110"/>
    <s v="Aditya Iyer"/>
    <x v="0"/>
    <x v="12"/>
    <x v="8"/>
    <x v="1"/>
    <x v="1"/>
    <x v="1"/>
    <x v="99"/>
    <x v="7"/>
    <n v="0.15"/>
    <x v="786"/>
    <x v="0"/>
  </r>
  <r>
    <x v="789"/>
    <x v="429"/>
    <x v="640"/>
    <x v="198"/>
    <s v="Anaya Mehta"/>
    <x v="2"/>
    <x v="8"/>
    <x v="0"/>
    <x v="0"/>
    <x v="2"/>
    <x v="14"/>
    <x v="73"/>
    <x v="1"/>
    <n v="0"/>
    <x v="787"/>
    <x v="0"/>
  </r>
  <r>
    <x v="790"/>
    <x v="548"/>
    <x v="641"/>
    <x v="167"/>
    <s v="Myra Sheikh"/>
    <x v="2"/>
    <x v="14"/>
    <x v="9"/>
    <x v="3"/>
    <x v="0"/>
    <x v="11"/>
    <x v="133"/>
    <x v="1"/>
    <n v="0"/>
    <x v="788"/>
    <x v="2"/>
  </r>
  <r>
    <x v="791"/>
    <x v="549"/>
    <x v="642"/>
    <x v="187"/>
    <s v="Anaya Patel"/>
    <x v="0"/>
    <x v="11"/>
    <x v="7"/>
    <x v="3"/>
    <x v="1"/>
    <x v="1"/>
    <x v="207"/>
    <x v="0"/>
    <n v="0"/>
    <x v="789"/>
    <x v="2"/>
  </r>
  <r>
    <x v="792"/>
    <x v="52"/>
    <x v="528"/>
    <x v="85"/>
    <s v="Zoya Kapoor"/>
    <x v="1"/>
    <x v="2"/>
    <x v="1"/>
    <x v="1"/>
    <x v="2"/>
    <x v="14"/>
    <x v="388"/>
    <x v="0"/>
    <n v="0.05"/>
    <x v="790"/>
    <x v="3"/>
  </r>
  <r>
    <x v="793"/>
    <x v="394"/>
    <x v="352"/>
    <x v="214"/>
    <s v="Reyansh Desai"/>
    <x v="0"/>
    <x v="14"/>
    <x v="9"/>
    <x v="3"/>
    <x v="3"/>
    <x v="16"/>
    <x v="323"/>
    <x v="5"/>
    <n v="0"/>
    <x v="791"/>
    <x v="0"/>
  </r>
  <r>
    <x v="794"/>
    <x v="227"/>
    <x v="59"/>
    <x v="101"/>
    <s v="Kiara Joshi"/>
    <x v="1"/>
    <x v="5"/>
    <x v="4"/>
    <x v="0"/>
    <x v="3"/>
    <x v="13"/>
    <x v="180"/>
    <x v="1"/>
    <n v="0.15"/>
    <x v="792"/>
    <x v="4"/>
  </r>
  <r>
    <x v="795"/>
    <x v="489"/>
    <x v="544"/>
    <x v="130"/>
    <s v="Fatima Iyer"/>
    <x v="0"/>
    <x v="12"/>
    <x v="8"/>
    <x v="1"/>
    <x v="0"/>
    <x v="0"/>
    <x v="398"/>
    <x v="7"/>
    <n v="0"/>
    <x v="793"/>
    <x v="3"/>
  </r>
  <r>
    <x v="796"/>
    <x v="550"/>
    <x v="643"/>
    <x v="58"/>
    <s v="Aditya Verma"/>
    <x v="2"/>
    <x v="11"/>
    <x v="7"/>
    <x v="3"/>
    <x v="3"/>
    <x v="7"/>
    <x v="63"/>
    <x v="6"/>
    <n v="0.1"/>
    <x v="794"/>
    <x v="3"/>
  </r>
  <r>
    <x v="797"/>
    <x v="227"/>
    <x v="60"/>
    <x v="131"/>
    <s v="Yusuf Kapoor"/>
    <x v="1"/>
    <x v="4"/>
    <x v="3"/>
    <x v="1"/>
    <x v="3"/>
    <x v="6"/>
    <x v="399"/>
    <x v="3"/>
    <n v="0.15"/>
    <x v="795"/>
    <x v="2"/>
  </r>
  <r>
    <x v="798"/>
    <x v="7"/>
    <x v="487"/>
    <x v="132"/>
    <s v="Yusuf Mehta"/>
    <x v="2"/>
    <x v="6"/>
    <x v="5"/>
    <x v="3"/>
    <x v="1"/>
    <x v="12"/>
    <x v="332"/>
    <x v="0"/>
    <n v="0.05"/>
    <x v="796"/>
    <x v="4"/>
  </r>
  <r>
    <x v="799"/>
    <x v="193"/>
    <x v="644"/>
    <x v="182"/>
    <s v="Diya Khan"/>
    <x v="0"/>
    <x v="8"/>
    <x v="0"/>
    <x v="0"/>
    <x v="2"/>
    <x v="14"/>
    <x v="400"/>
    <x v="7"/>
    <n v="0.15"/>
    <x v="797"/>
    <x v="3"/>
  </r>
  <r>
    <x v="800"/>
    <x v="551"/>
    <x v="645"/>
    <x v="124"/>
    <s v="Arjun Panjwani"/>
    <x v="1"/>
    <x v="6"/>
    <x v="5"/>
    <x v="3"/>
    <x v="3"/>
    <x v="6"/>
    <x v="234"/>
    <x v="2"/>
    <n v="0.05"/>
    <x v="798"/>
    <x v="2"/>
  </r>
  <r>
    <x v="801"/>
    <x v="552"/>
    <x v="646"/>
    <x v="140"/>
    <s v="Kiara Kapoor"/>
    <x v="1"/>
    <x v="13"/>
    <x v="0"/>
    <x v="0"/>
    <x v="2"/>
    <x v="14"/>
    <x v="401"/>
    <x v="5"/>
    <n v="0.05"/>
    <x v="799"/>
    <x v="4"/>
  </r>
  <r>
    <x v="802"/>
    <x v="314"/>
    <x v="295"/>
    <x v="71"/>
    <s v="Reyansh Kapoor"/>
    <x v="2"/>
    <x v="1"/>
    <x v="0"/>
    <x v="0"/>
    <x v="2"/>
    <x v="10"/>
    <x v="98"/>
    <x v="6"/>
    <n v="0"/>
    <x v="800"/>
    <x v="4"/>
  </r>
  <r>
    <x v="803"/>
    <x v="553"/>
    <x v="647"/>
    <x v="120"/>
    <s v="Arjun Patel"/>
    <x v="2"/>
    <x v="3"/>
    <x v="2"/>
    <x v="2"/>
    <x v="0"/>
    <x v="0"/>
    <x v="402"/>
    <x v="4"/>
    <n v="0.2"/>
    <x v="801"/>
    <x v="4"/>
  </r>
  <r>
    <x v="804"/>
    <x v="222"/>
    <x v="190"/>
    <x v="238"/>
    <s v="Vivaan Rao"/>
    <x v="2"/>
    <x v="2"/>
    <x v="1"/>
    <x v="1"/>
    <x v="3"/>
    <x v="6"/>
    <x v="51"/>
    <x v="1"/>
    <n v="0.1"/>
    <x v="802"/>
    <x v="2"/>
  </r>
  <r>
    <x v="805"/>
    <x v="554"/>
    <x v="648"/>
    <x v="231"/>
    <s v="Rohan Verma"/>
    <x v="2"/>
    <x v="4"/>
    <x v="3"/>
    <x v="1"/>
    <x v="1"/>
    <x v="12"/>
    <x v="315"/>
    <x v="0"/>
    <n v="0.15"/>
    <x v="803"/>
    <x v="4"/>
  </r>
  <r>
    <x v="806"/>
    <x v="555"/>
    <x v="156"/>
    <x v="101"/>
    <s v="Kiara Patel"/>
    <x v="2"/>
    <x v="5"/>
    <x v="4"/>
    <x v="0"/>
    <x v="1"/>
    <x v="12"/>
    <x v="212"/>
    <x v="2"/>
    <n v="0"/>
    <x v="804"/>
    <x v="2"/>
  </r>
  <r>
    <x v="807"/>
    <x v="418"/>
    <x v="649"/>
    <x v="81"/>
    <s v="Myra Panjwani"/>
    <x v="2"/>
    <x v="8"/>
    <x v="0"/>
    <x v="0"/>
    <x v="0"/>
    <x v="11"/>
    <x v="403"/>
    <x v="7"/>
    <n v="0.2"/>
    <x v="805"/>
    <x v="0"/>
  </r>
  <r>
    <x v="808"/>
    <x v="556"/>
    <x v="133"/>
    <x v="31"/>
    <s v="Vivaan Mehta"/>
    <x v="2"/>
    <x v="4"/>
    <x v="3"/>
    <x v="1"/>
    <x v="0"/>
    <x v="8"/>
    <x v="79"/>
    <x v="1"/>
    <n v="0.15"/>
    <x v="806"/>
    <x v="3"/>
  </r>
  <r>
    <x v="809"/>
    <x v="216"/>
    <x v="650"/>
    <x v="175"/>
    <s v="Reyansh Khan"/>
    <x v="1"/>
    <x v="14"/>
    <x v="9"/>
    <x v="3"/>
    <x v="3"/>
    <x v="6"/>
    <x v="404"/>
    <x v="0"/>
    <n v="0.1"/>
    <x v="807"/>
    <x v="4"/>
  </r>
  <r>
    <x v="810"/>
    <x v="557"/>
    <x v="651"/>
    <x v="58"/>
    <s v="Diya Rao"/>
    <x v="0"/>
    <x v="12"/>
    <x v="8"/>
    <x v="1"/>
    <x v="0"/>
    <x v="11"/>
    <x v="337"/>
    <x v="4"/>
    <n v="0"/>
    <x v="808"/>
    <x v="3"/>
  </r>
  <r>
    <x v="811"/>
    <x v="558"/>
    <x v="652"/>
    <x v="172"/>
    <s v="Dev Shah"/>
    <x v="2"/>
    <x v="8"/>
    <x v="0"/>
    <x v="0"/>
    <x v="1"/>
    <x v="18"/>
    <x v="405"/>
    <x v="2"/>
    <n v="0.05"/>
    <x v="809"/>
    <x v="1"/>
  </r>
  <r>
    <x v="812"/>
    <x v="97"/>
    <x v="653"/>
    <x v="139"/>
    <s v="Vivaan Soni"/>
    <x v="2"/>
    <x v="0"/>
    <x v="0"/>
    <x v="0"/>
    <x v="1"/>
    <x v="15"/>
    <x v="362"/>
    <x v="2"/>
    <n v="0.1"/>
    <x v="810"/>
    <x v="0"/>
  </r>
  <r>
    <x v="813"/>
    <x v="29"/>
    <x v="106"/>
    <x v="157"/>
    <s v="Fatima Mehta"/>
    <x v="0"/>
    <x v="7"/>
    <x v="4"/>
    <x v="0"/>
    <x v="1"/>
    <x v="1"/>
    <x v="406"/>
    <x v="0"/>
    <n v="0.05"/>
    <x v="811"/>
    <x v="3"/>
  </r>
  <r>
    <x v="814"/>
    <x v="508"/>
    <x v="309"/>
    <x v="145"/>
    <s v="Rohan Shah"/>
    <x v="2"/>
    <x v="14"/>
    <x v="9"/>
    <x v="3"/>
    <x v="1"/>
    <x v="9"/>
    <x v="64"/>
    <x v="7"/>
    <n v="0.05"/>
    <x v="812"/>
    <x v="3"/>
  </r>
  <r>
    <x v="815"/>
    <x v="19"/>
    <x v="173"/>
    <x v="210"/>
    <s v="Kabir Joshi"/>
    <x v="0"/>
    <x v="11"/>
    <x v="7"/>
    <x v="3"/>
    <x v="0"/>
    <x v="3"/>
    <x v="128"/>
    <x v="7"/>
    <n v="0.1"/>
    <x v="813"/>
    <x v="0"/>
  </r>
  <r>
    <x v="816"/>
    <x v="559"/>
    <x v="654"/>
    <x v="181"/>
    <s v="Meera Verma"/>
    <x v="2"/>
    <x v="3"/>
    <x v="2"/>
    <x v="2"/>
    <x v="0"/>
    <x v="19"/>
    <x v="322"/>
    <x v="4"/>
    <n v="0.1"/>
    <x v="814"/>
    <x v="0"/>
  </r>
  <r>
    <x v="817"/>
    <x v="91"/>
    <x v="655"/>
    <x v="43"/>
    <s v="Arjun Sheikh"/>
    <x v="0"/>
    <x v="8"/>
    <x v="0"/>
    <x v="0"/>
    <x v="2"/>
    <x v="4"/>
    <x v="52"/>
    <x v="1"/>
    <n v="0"/>
    <x v="815"/>
    <x v="3"/>
  </r>
  <r>
    <x v="818"/>
    <x v="560"/>
    <x v="656"/>
    <x v="231"/>
    <s v="Anaya Trivedi"/>
    <x v="1"/>
    <x v="9"/>
    <x v="6"/>
    <x v="4"/>
    <x v="2"/>
    <x v="2"/>
    <x v="407"/>
    <x v="7"/>
    <n v="0.1"/>
    <x v="816"/>
    <x v="1"/>
  </r>
  <r>
    <x v="819"/>
    <x v="561"/>
    <x v="657"/>
    <x v="70"/>
    <s v="Diya Khan"/>
    <x v="1"/>
    <x v="2"/>
    <x v="1"/>
    <x v="1"/>
    <x v="0"/>
    <x v="19"/>
    <x v="327"/>
    <x v="7"/>
    <n v="0"/>
    <x v="817"/>
    <x v="1"/>
  </r>
  <r>
    <x v="820"/>
    <x v="0"/>
    <x v="5"/>
    <x v="188"/>
    <s v="Krish Patel"/>
    <x v="1"/>
    <x v="12"/>
    <x v="8"/>
    <x v="1"/>
    <x v="3"/>
    <x v="6"/>
    <x v="408"/>
    <x v="6"/>
    <n v="0.2"/>
    <x v="818"/>
    <x v="4"/>
  </r>
  <r>
    <x v="821"/>
    <x v="562"/>
    <x v="591"/>
    <x v="39"/>
    <s v="Kiara Kapoor"/>
    <x v="1"/>
    <x v="9"/>
    <x v="6"/>
    <x v="4"/>
    <x v="1"/>
    <x v="15"/>
    <x v="409"/>
    <x v="7"/>
    <n v="0.1"/>
    <x v="819"/>
    <x v="0"/>
  </r>
  <r>
    <x v="822"/>
    <x v="337"/>
    <x v="658"/>
    <x v="58"/>
    <s v="Sara Shah"/>
    <x v="0"/>
    <x v="3"/>
    <x v="2"/>
    <x v="2"/>
    <x v="0"/>
    <x v="0"/>
    <x v="410"/>
    <x v="4"/>
    <n v="0"/>
    <x v="820"/>
    <x v="0"/>
  </r>
  <r>
    <x v="823"/>
    <x v="563"/>
    <x v="659"/>
    <x v="2"/>
    <s v="Diya Sheikh"/>
    <x v="0"/>
    <x v="12"/>
    <x v="8"/>
    <x v="1"/>
    <x v="2"/>
    <x v="14"/>
    <x v="411"/>
    <x v="4"/>
    <n v="0.1"/>
    <x v="821"/>
    <x v="3"/>
  </r>
  <r>
    <x v="824"/>
    <x v="564"/>
    <x v="639"/>
    <x v="153"/>
    <s v="Diya Dave"/>
    <x v="1"/>
    <x v="4"/>
    <x v="3"/>
    <x v="1"/>
    <x v="2"/>
    <x v="5"/>
    <x v="321"/>
    <x v="5"/>
    <n v="0.1"/>
    <x v="822"/>
    <x v="1"/>
  </r>
  <r>
    <x v="825"/>
    <x v="565"/>
    <x v="139"/>
    <x v="115"/>
    <s v="Aanya Patel"/>
    <x v="1"/>
    <x v="2"/>
    <x v="1"/>
    <x v="1"/>
    <x v="1"/>
    <x v="1"/>
    <x v="242"/>
    <x v="6"/>
    <n v="0"/>
    <x v="823"/>
    <x v="4"/>
  </r>
  <r>
    <x v="826"/>
    <x v="276"/>
    <x v="187"/>
    <x v="158"/>
    <s v="Diya Panjwani"/>
    <x v="0"/>
    <x v="12"/>
    <x v="8"/>
    <x v="1"/>
    <x v="2"/>
    <x v="2"/>
    <x v="196"/>
    <x v="5"/>
    <n v="0.2"/>
    <x v="824"/>
    <x v="1"/>
  </r>
  <r>
    <x v="827"/>
    <x v="209"/>
    <x v="183"/>
    <x v="113"/>
    <s v="Anaya Desai"/>
    <x v="1"/>
    <x v="5"/>
    <x v="4"/>
    <x v="0"/>
    <x v="1"/>
    <x v="9"/>
    <x v="308"/>
    <x v="0"/>
    <n v="0.15"/>
    <x v="825"/>
    <x v="1"/>
  </r>
  <r>
    <x v="828"/>
    <x v="522"/>
    <x v="660"/>
    <x v="239"/>
    <s v="Myra Shah"/>
    <x v="0"/>
    <x v="8"/>
    <x v="0"/>
    <x v="0"/>
    <x v="2"/>
    <x v="4"/>
    <x v="271"/>
    <x v="6"/>
    <n v="0"/>
    <x v="826"/>
    <x v="4"/>
  </r>
  <r>
    <x v="829"/>
    <x v="361"/>
    <x v="15"/>
    <x v="240"/>
    <s v="Fatima Shah"/>
    <x v="0"/>
    <x v="5"/>
    <x v="4"/>
    <x v="0"/>
    <x v="2"/>
    <x v="10"/>
    <x v="291"/>
    <x v="0"/>
    <n v="0.1"/>
    <x v="827"/>
    <x v="3"/>
  </r>
  <r>
    <x v="830"/>
    <x v="555"/>
    <x v="162"/>
    <x v="241"/>
    <s v="Krish Kapoor"/>
    <x v="0"/>
    <x v="14"/>
    <x v="9"/>
    <x v="3"/>
    <x v="1"/>
    <x v="15"/>
    <x v="198"/>
    <x v="5"/>
    <n v="0.15"/>
    <x v="828"/>
    <x v="2"/>
  </r>
  <r>
    <x v="831"/>
    <x v="566"/>
    <x v="604"/>
    <x v="120"/>
    <s v="Yusuf Khan"/>
    <x v="2"/>
    <x v="12"/>
    <x v="8"/>
    <x v="1"/>
    <x v="0"/>
    <x v="19"/>
    <x v="232"/>
    <x v="5"/>
    <n v="0.05"/>
    <x v="829"/>
    <x v="3"/>
  </r>
  <r>
    <x v="832"/>
    <x v="567"/>
    <x v="6"/>
    <x v="118"/>
    <s v="Sara Desai"/>
    <x v="0"/>
    <x v="10"/>
    <x v="0"/>
    <x v="0"/>
    <x v="2"/>
    <x v="2"/>
    <x v="275"/>
    <x v="1"/>
    <n v="0.15"/>
    <x v="830"/>
    <x v="0"/>
  </r>
  <r>
    <x v="833"/>
    <x v="308"/>
    <x v="122"/>
    <x v="155"/>
    <s v="Vivaan Panjwani"/>
    <x v="1"/>
    <x v="14"/>
    <x v="9"/>
    <x v="3"/>
    <x v="2"/>
    <x v="10"/>
    <x v="358"/>
    <x v="4"/>
    <n v="0.05"/>
    <x v="831"/>
    <x v="1"/>
  </r>
  <r>
    <x v="834"/>
    <x v="247"/>
    <x v="661"/>
    <x v="80"/>
    <s v="Diya Soni"/>
    <x v="2"/>
    <x v="14"/>
    <x v="9"/>
    <x v="3"/>
    <x v="3"/>
    <x v="17"/>
    <x v="110"/>
    <x v="4"/>
    <n v="0.05"/>
    <x v="832"/>
    <x v="4"/>
  </r>
  <r>
    <x v="835"/>
    <x v="568"/>
    <x v="114"/>
    <x v="142"/>
    <s v="Myra Iyer"/>
    <x v="0"/>
    <x v="10"/>
    <x v="0"/>
    <x v="0"/>
    <x v="0"/>
    <x v="8"/>
    <x v="59"/>
    <x v="0"/>
    <n v="0"/>
    <x v="833"/>
    <x v="2"/>
  </r>
  <r>
    <x v="836"/>
    <x v="471"/>
    <x v="662"/>
    <x v="208"/>
    <s v="Fatima Shah"/>
    <x v="1"/>
    <x v="7"/>
    <x v="4"/>
    <x v="0"/>
    <x v="0"/>
    <x v="0"/>
    <x v="412"/>
    <x v="7"/>
    <n v="0.2"/>
    <x v="834"/>
    <x v="1"/>
  </r>
  <r>
    <x v="837"/>
    <x v="569"/>
    <x v="650"/>
    <x v="112"/>
    <s v="Reyansh Desai"/>
    <x v="0"/>
    <x v="10"/>
    <x v="0"/>
    <x v="0"/>
    <x v="1"/>
    <x v="18"/>
    <x v="413"/>
    <x v="4"/>
    <n v="0.15"/>
    <x v="835"/>
    <x v="1"/>
  </r>
  <r>
    <x v="838"/>
    <x v="570"/>
    <x v="663"/>
    <x v="123"/>
    <s v="Myra Joshi"/>
    <x v="2"/>
    <x v="6"/>
    <x v="5"/>
    <x v="3"/>
    <x v="0"/>
    <x v="0"/>
    <x v="0"/>
    <x v="0"/>
    <n v="0"/>
    <x v="836"/>
    <x v="3"/>
  </r>
  <r>
    <x v="839"/>
    <x v="134"/>
    <x v="664"/>
    <x v="158"/>
    <s v="Fatima Khan"/>
    <x v="2"/>
    <x v="10"/>
    <x v="0"/>
    <x v="0"/>
    <x v="0"/>
    <x v="19"/>
    <x v="232"/>
    <x v="5"/>
    <n v="0.05"/>
    <x v="837"/>
    <x v="3"/>
  </r>
  <r>
    <x v="840"/>
    <x v="59"/>
    <x v="665"/>
    <x v="39"/>
    <s v="Sara Dave"/>
    <x v="0"/>
    <x v="7"/>
    <x v="4"/>
    <x v="0"/>
    <x v="1"/>
    <x v="12"/>
    <x v="414"/>
    <x v="1"/>
    <n v="0.1"/>
    <x v="838"/>
    <x v="2"/>
  </r>
  <r>
    <x v="841"/>
    <x v="571"/>
    <x v="666"/>
    <x v="132"/>
    <s v="Kiara Dave"/>
    <x v="2"/>
    <x v="8"/>
    <x v="0"/>
    <x v="0"/>
    <x v="0"/>
    <x v="19"/>
    <x v="65"/>
    <x v="7"/>
    <n v="0.05"/>
    <x v="839"/>
    <x v="1"/>
  </r>
  <r>
    <x v="842"/>
    <x v="520"/>
    <x v="667"/>
    <x v="59"/>
    <s v="Dev Verma"/>
    <x v="0"/>
    <x v="4"/>
    <x v="3"/>
    <x v="1"/>
    <x v="3"/>
    <x v="13"/>
    <x v="212"/>
    <x v="4"/>
    <n v="0"/>
    <x v="840"/>
    <x v="4"/>
  </r>
  <r>
    <x v="843"/>
    <x v="67"/>
    <x v="668"/>
    <x v="104"/>
    <s v="Yusuf Shah"/>
    <x v="2"/>
    <x v="9"/>
    <x v="6"/>
    <x v="4"/>
    <x v="3"/>
    <x v="6"/>
    <x v="415"/>
    <x v="6"/>
    <n v="0.1"/>
    <x v="841"/>
    <x v="1"/>
  </r>
  <r>
    <x v="844"/>
    <x v="384"/>
    <x v="289"/>
    <x v="205"/>
    <s v="Zoya Soni"/>
    <x v="0"/>
    <x v="7"/>
    <x v="4"/>
    <x v="0"/>
    <x v="1"/>
    <x v="1"/>
    <x v="416"/>
    <x v="2"/>
    <n v="0.05"/>
    <x v="842"/>
    <x v="0"/>
  </r>
  <r>
    <x v="845"/>
    <x v="572"/>
    <x v="1"/>
    <x v="196"/>
    <s v="Diya Sheikh"/>
    <x v="2"/>
    <x v="5"/>
    <x v="4"/>
    <x v="0"/>
    <x v="2"/>
    <x v="4"/>
    <x v="417"/>
    <x v="2"/>
    <n v="0.2"/>
    <x v="843"/>
    <x v="1"/>
  </r>
  <r>
    <x v="846"/>
    <x v="573"/>
    <x v="65"/>
    <x v="174"/>
    <s v="Meera Dave"/>
    <x v="0"/>
    <x v="12"/>
    <x v="8"/>
    <x v="1"/>
    <x v="1"/>
    <x v="15"/>
    <x v="77"/>
    <x v="7"/>
    <n v="0.2"/>
    <x v="844"/>
    <x v="2"/>
  </r>
  <r>
    <x v="847"/>
    <x v="302"/>
    <x v="669"/>
    <x v="181"/>
    <s v="Kabir Soni"/>
    <x v="1"/>
    <x v="2"/>
    <x v="1"/>
    <x v="1"/>
    <x v="2"/>
    <x v="4"/>
    <x v="417"/>
    <x v="2"/>
    <n v="0.2"/>
    <x v="845"/>
    <x v="0"/>
  </r>
  <r>
    <x v="848"/>
    <x v="574"/>
    <x v="670"/>
    <x v="72"/>
    <s v="Kabir Shah"/>
    <x v="0"/>
    <x v="7"/>
    <x v="4"/>
    <x v="0"/>
    <x v="0"/>
    <x v="8"/>
    <x v="418"/>
    <x v="2"/>
    <n v="0.15"/>
    <x v="846"/>
    <x v="3"/>
  </r>
  <r>
    <x v="849"/>
    <x v="575"/>
    <x v="147"/>
    <x v="207"/>
    <s v="Aarav Mehta"/>
    <x v="2"/>
    <x v="5"/>
    <x v="4"/>
    <x v="0"/>
    <x v="1"/>
    <x v="15"/>
    <x v="247"/>
    <x v="0"/>
    <n v="0.2"/>
    <x v="847"/>
    <x v="1"/>
  </r>
  <r>
    <x v="850"/>
    <x v="3"/>
    <x v="671"/>
    <x v="38"/>
    <s v="Isha Mehta"/>
    <x v="2"/>
    <x v="2"/>
    <x v="1"/>
    <x v="1"/>
    <x v="3"/>
    <x v="7"/>
    <x v="419"/>
    <x v="2"/>
    <n v="0.2"/>
    <x v="848"/>
    <x v="2"/>
  </r>
  <r>
    <x v="851"/>
    <x v="232"/>
    <x v="67"/>
    <x v="55"/>
    <s v="Isha Desai"/>
    <x v="1"/>
    <x v="10"/>
    <x v="0"/>
    <x v="0"/>
    <x v="3"/>
    <x v="13"/>
    <x v="109"/>
    <x v="5"/>
    <n v="0.1"/>
    <x v="849"/>
    <x v="2"/>
  </r>
  <r>
    <x v="852"/>
    <x v="486"/>
    <x v="180"/>
    <x v="82"/>
    <s v="Isha Shah"/>
    <x v="2"/>
    <x v="10"/>
    <x v="0"/>
    <x v="0"/>
    <x v="0"/>
    <x v="19"/>
    <x v="114"/>
    <x v="7"/>
    <n v="0.2"/>
    <x v="850"/>
    <x v="1"/>
  </r>
  <r>
    <x v="853"/>
    <x v="544"/>
    <x v="672"/>
    <x v="96"/>
    <s v="Anaya Patel"/>
    <x v="1"/>
    <x v="13"/>
    <x v="0"/>
    <x v="0"/>
    <x v="2"/>
    <x v="14"/>
    <x v="310"/>
    <x v="1"/>
    <n v="0.15"/>
    <x v="851"/>
    <x v="4"/>
  </r>
  <r>
    <x v="854"/>
    <x v="304"/>
    <x v="115"/>
    <x v="132"/>
    <s v="Meera Soni"/>
    <x v="2"/>
    <x v="12"/>
    <x v="8"/>
    <x v="1"/>
    <x v="2"/>
    <x v="10"/>
    <x v="361"/>
    <x v="0"/>
    <n v="0.15"/>
    <x v="852"/>
    <x v="0"/>
  </r>
  <r>
    <x v="855"/>
    <x v="459"/>
    <x v="553"/>
    <x v="151"/>
    <s v="Myra Trivedi"/>
    <x v="0"/>
    <x v="5"/>
    <x v="4"/>
    <x v="0"/>
    <x v="3"/>
    <x v="17"/>
    <x v="177"/>
    <x v="6"/>
    <n v="0.2"/>
    <x v="853"/>
    <x v="0"/>
  </r>
  <r>
    <x v="856"/>
    <x v="576"/>
    <x v="673"/>
    <x v="195"/>
    <s v="Krish Verma"/>
    <x v="1"/>
    <x v="0"/>
    <x v="0"/>
    <x v="0"/>
    <x v="0"/>
    <x v="8"/>
    <x v="374"/>
    <x v="5"/>
    <n v="0"/>
    <x v="854"/>
    <x v="1"/>
  </r>
  <r>
    <x v="857"/>
    <x v="577"/>
    <x v="590"/>
    <x v="242"/>
    <s v="Fatima Soni"/>
    <x v="2"/>
    <x v="3"/>
    <x v="2"/>
    <x v="2"/>
    <x v="0"/>
    <x v="0"/>
    <x v="420"/>
    <x v="6"/>
    <n v="0.1"/>
    <x v="855"/>
    <x v="2"/>
  </r>
  <r>
    <x v="858"/>
    <x v="503"/>
    <x v="674"/>
    <x v="46"/>
    <s v="Aditya Kapoor"/>
    <x v="2"/>
    <x v="3"/>
    <x v="2"/>
    <x v="2"/>
    <x v="0"/>
    <x v="11"/>
    <x v="421"/>
    <x v="6"/>
    <n v="0"/>
    <x v="856"/>
    <x v="2"/>
  </r>
  <r>
    <x v="859"/>
    <x v="578"/>
    <x v="675"/>
    <x v="87"/>
    <s v="Anaya Verma"/>
    <x v="2"/>
    <x v="7"/>
    <x v="4"/>
    <x v="0"/>
    <x v="2"/>
    <x v="14"/>
    <x v="422"/>
    <x v="2"/>
    <n v="0.1"/>
    <x v="857"/>
    <x v="4"/>
  </r>
  <r>
    <x v="860"/>
    <x v="578"/>
    <x v="676"/>
    <x v="165"/>
    <s v="Sara Rao"/>
    <x v="0"/>
    <x v="4"/>
    <x v="3"/>
    <x v="1"/>
    <x v="1"/>
    <x v="9"/>
    <x v="163"/>
    <x v="1"/>
    <n v="0"/>
    <x v="858"/>
    <x v="3"/>
  </r>
  <r>
    <x v="861"/>
    <x v="579"/>
    <x v="244"/>
    <x v="150"/>
    <s v="Reyansh Mehta"/>
    <x v="0"/>
    <x v="8"/>
    <x v="0"/>
    <x v="0"/>
    <x v="3"/>
    <x v="16"/>
    <x v="381"/>
    <x v="7"/>
    <n v="0.2"/>
    <x v="859"/>
    <x v="1"/>
  </r>
  <r>
    <x v="862"/>
    <x v="422"/>
    <x v="523"/>
    <x v="56"/>
    <s v="Arjun Kapoor"/>
    <x v="2"/>
    <x v="4"/>
    <x v="3"/>
    <x v="1"/>
    <x v="2"/>
    <x v="2"/>
    <x v="319"/>
    <x v="6"/>
    <n v="0.1"/>
    <x v="860"/>
    <x v="1"/>
  </r>
  <r>
    <x v="863"/>
    <x v="580"/>
    <x v="28"/>
    <x v="97"/>
    <s v="Meera Shah"/>
    <x v="0"/>
    <x v="9"/>
    <x v="6"/>
    <x v="4"/>
    <x v="3"/>
    <x v="16"/>
    <x v="270"/>
    <x v="6"/>
    <n v="0"/>
    <x v="861"/>
    <x v="4"/>
  </r>
  <r>
    <x v="864"/>
    <x v="544"/>
    <x v="673"/>
    <x v="234"/>
    <s v="Sara Shah"/>
    <x v="1"/>
    <x v="4"/>
    <x v="3"/>
    <x v="1"/>
    <x v="3"/>
    <x v="7"/>
    <x v="174"/>
    <x v="2"/>
    <n v="0"/>
    <x v="862"/>
    <x v="1"/>
  </r>
  <r>
    <x v="865"/>
    <x v="426"/>
    <x v="642"/>
    <x v="135"/>
    <s v="Krish Dave"/>
    <x v="0"/>
    <x v="14"/>
    <x v="9"/>
    <x v="3"/>
    <x v="1"/>
    <x v="18"/>
    <x v="44"/>
    <x v="6"/>
    <n v="0"/>
    <x v="863"/>
    <x v="1"/>
  </r>
  <r>
    <x v="866"/>
    <x v="79"/>
    <x v="677"/>
    <x v="236"/>
    <s v="Vivaan Soni"/>
    <x v="0"/>
    <x v="14"/>
    <x v="9"/>
    <x v="3"/>
    <x v="1"/>
    <x v="12"/>
    <x v="189"/>
    <x v="2"/>
    <n v="0.05"/>
    <x v="864"/>
    <x v="3"/>
  </r>
  <r>
    <x v="867"/>
    <x v="581"/>
    <x v="678"/>
    <x v="146"/>
    <s v="Sara Rao"/>
    <x v="1"/>
    <x v="1"/>
    <x v="0"/>
    <x v="0"/>
    <x v="3"/>
    <x v="16"/>
    <x v="74"/>
    <x v="7"/>
    <n v="0.05"/>
    <x v="865"/>
    <x v="0"/>
  </r>
  <r>
    <x v="868"/>
    <x v="11"/>
    <x v="45"/>
    <x v="102"/>
    <s v="Anaya Joshi"/>
    <x v="0"/>
    <x v="8"/>
    <x v="0"/>
    <x v="0"/>
    <x v="0"/>
    <x v="0"/>
    <x v="105"/>
    <x v="1"/>
    <n v="0.15"/>
    <x v="866"/>
    <x v="3"/>
  </r>
  <r>
    <x v="869"/>
    <x v="582"/>
    <x v="679"/>
    <x v="218"/>
    <s v="Aditya Mehta"/>
    <x v="0"/>
    <x v="3"/>
    <x v="2"/>
    <x v="2"/>
    <x v="1"/>
    <x v="12"/>
    <x v="127"/>
    <x v="3"/>
    <n v="0.2"/>
    <x v="867"/>
    <x v="2"/>
  </r>
  <r>
    <x v="870"/>
    <x v="583"/>
    <x v="219"/>
    <x v="60"/>
    <s v="Isha Patel"/>
    <x v="0"/>
    <x v="9"/>
    <x v="6"/>
    <x v="4"/>
    <x v="1"/>
    <x v="18"/>
    <x v="304"/>
    <x v="4"/>
    <n v="0.1"/>
    <x v="868"/>
    <x v="0"/>
  </r>
  <r>
    <x v="871"/>
    <x v="451"/>
    <x v="680"/>
    <x v="34"/>
    <s v="Sara Joshi"/>
    <x v="0"/>
    <x v="12"/>
    <x v="8"/>
    <x v="1"/>
    <x v="3"/>
    <x v="17"/>
    <x v="172"/>
    <x v="2"/>
    <n v="0.1"/>
    <x v="869"/>
    <x v="2"/>
  </r>
  <r>
    <x v="872"/>
    <x v="584"/>
    <x v="69"/>
    <x v="237"/>
    <s v="Diya Rao"/>
    <x v="0"/>
    <x v="11"/>
    <x v="7"/>
    <x v="3"/>
    <x v="3"/>
    <x v="16"/>
    <x v="217"/>
    <x v="4"/>
    <n v="0.05"/>
    <x v="870"/>
    <x v="4"/>
  </r>
  <r>
    <x v="873"/>
    <x v="27"/>
    <x v="681"/>
    <x v="184"/>
    <s v="Reyansh Iyer"/>
    <x v="0"/>
    <x v="8"/>
    <x v="0"/>
    <x v="0"/>
    <x v="1"/>
    <x v="12"/>
    <x v="139"/>
    <x v="7"/>
    <n v="0.05"/>
    <x v="871"/>
    <x v="2"/>
  </r>
  <r>
    <x v="874"/>
    <x v="585"/>
    <x v="103"/>
    <x v="87"/>
    <s v="Vivaan Panjwani"/>
    <x v="2"/>
    <x v="0"/>
    <x v="0"/>
    <x v="0"/>
    <x v="0"/>
    <x v="3"/>
    <x v="282"/>
    <x v="5"/>
    <n v="0.2"/>
    <x v="872"/>
    <x v="2"/>
  </r>
  <r>
    <x v="875"/>
    <x v="314"/>
    <x v="294"/>
    <x v="140"/>
    <s v="Aditya Dave"/>
    <x v="2"/>
    <x v="1"/>
    <x v="0"/>
    <x v="0"/>
    <x v="0"/>
    <x v="19"/>
    <x v="265"/>
    <x v="4"/>
    <n v="0"/>
    <x v="873"/>
    <x v="2"/>
  </r>
  <r>
    <x v="876"/>
    <x v="10"/>
    <x v="682"/>
    <x v="51"/>
    <s v="Meera Mehta"/>
    <x v="0"/>
    <x v="7"/>
    <x v="4"/>
    <x v="0"/>
    <x v="1"/>
    <x v="18"/>
    <x v="85"/>
    <x v="5"/>
    <n v="0"/>
    <x v="874"/>
    <x v="0"/>
  </r>
  <r>
    <x v="877"/>
    <x v="135"/>
    <x v="145"/>
    <x v="153"/>
    <s v="Zoya Patel"/>
    <x v="1"/>
    <x v="2"/>
    <x v="1"/>
    <x v="1"/>
    <x v="2"/>
    <x v="4"/>
    <x v="96"/>
    <x v="2"/>
    <n v="0.05"/>
    <x v="875"/>
    <x v="1"/>
  </r>
  <r>
    <x v="878"/>
    <x v="200"/>
    <x v="683"/>
    <x v="243"/>
    <s v="Yusuf Mehta"/>
    <x v="2"/>
    <x v="6"/>
    <x v="5"/>
    <x v="3"/>
    <x v="1"/>
    <x v="18"/>
    <x v="246"/>
    <x v="7"/>
    <n v="0.05"/>
    <x v="876"/>
    <x v="0"/>
  </r>
  <r>
    <x v="879"/>
    <x v="586"/>
    <x v="11"/>
    <x v="244"/>
    <s v="Kiara Mehta"/>
    <x v="2"/>
    <x v="7"/>
    <x v="4"/>
    <x v="0"/>
    <x v="0"/>
    <x v="3"/>
    <x v="40"/>
    <x v="4"/>
    <n v="0"/>
    <x v="877"/>
    <x v="1"/>
  </r>
  <r>
    <x v="880"/>
    <x v="406"/>
    <x v="504"/>
    <x v="176"/>
    <s v="Anaya Mehta"/>
    <x v="0"/>
    <x v="3"/>
    <x v="2"/>
    <x v="2"/>
    <x v="3"/>
    <x v="16"/>
    <x v="323"/>
    <x v="5"/>
    <n v="0"/>
    <x v="878"/>
    <x v="2"/>
  </r>
  <r>
    <x v="881"/>
    <x v="171"/>
    <x v="684"/>
    <x v="41"/>
    <s v="Isha Shah"/>
    <x v="0"/>
    <x v="6"/>
    <x v="5"/>
    <x v="3"/>
    <x v="0"/>
    <x v="11"/>
    <x v="133"/>
    <x v="1"/>
    <n v="0"/>
    <x v="879"/>
    <x v="4"/>
  </r>
  <r>
    <x v="882"/>
    <x v="25"/>
    <x v="223"/>
    <x v="183"/>
    <s v="Aanya Kapoor"/>
    <x v="1"/>
    <x v="0"/>
    <x v="0"/>
    <x v="0"/>
    <x v="2"/>
    <x v="10"/>
    <x v="423"/>
    <x v="3"/>
    <n v="0.05"/>
    <x v="880"/>
    <x v="2"/>
  </r>
  <r>
    <x v="883"/>
    <x v="415"/>
    <x v="685"/>
    <x v="190"/>
    <s v="Aditya Soni"/>
    <x v="2"/>
    <x v="11"/>
    <x v="7"/>
    <x v="3"/>
    <x v="0"/>
    <x v="3"/>
    <x v="159"/>
    <x v="7"/>
    <n v="0"/>
    <x v="881"/>
    <x v="3"/>
  </r>
  <r>
    <x v="884"/>
    <x v="490"/>
    <x v="686"/>
    <x v="60"/>
    <s v="Reyansh Mehta"/>
    <x v="0"/>
    <x v="10"/>
    <x v="0"/>
    <x v="0"/>
    <x v="2"/>
    <x v="10"/>
    <x v="149"/>
    <x v="0"/>
    <n v="0"/>
    <x v="882"/>
    <x v="3"/>
  </r>
  <r>
    <x v="885"/>
    <x v="564"/>
    <x v="487"/>
    <x v="201"/>
    <s v="Krish Kapoor"/>
    <x v="1"/>
    <x v="5"/>
    <x v="4"/>
    <x v="0"/>
    <x v="0"/>
    <x v="0"/>
    <x v="424"/>
    <x v="2"/>
    <n v="0"/>
    <x v="883"/>
    <x v="0"/>
  </r>
  <r>
    <x v="886"/>
    <x v="587"/>
    <x v="512"/>
    <x v="177"/>
    <s v="Reyansh Verma"/>
    <x v="2"/>
    <x v="13"/>
    <x v="0"/>
    <x v="0"/>
    <x v="3"/>
    <x v="13"/>
    <x v="144"/>
    <x v="0"/>
    <n v="0"/>
    <x v="884"/>
    <x v="3"/>
  </r>
  <r>
    <x v="887"/>
    <x v="380"/>
    <x v="24"/>
    <x v="75"/>
    <s v="Krish Patel"/>
    <x v="0"/>
    <x v="3"/>
    <x v="2"/>
    <x v="2"/>
    <x v="1"/>
    <x v="12"/>
    <x v="140"/>
    <x v="4"/>
    <n v="0.05"/>
    <x v="885"/>
    <x v="2"/>
  </r>
  <r>
    <x v="888"/>
    <x v="588"/>
    <x v="687"/>
    <x v="165"/>
    <s v="Zoya Sheikh"/>
    <x v="2"/>
    <x v="1"/>
    <x v="0"/>
    <x v="0"/>
    <x v="2"/>
    <x v="5"/>
    <x v="425"/>
    <x v="2"/>
    <n v="0"/>
    <x v="886"/>
    <x v="4"/>
  </r>
  <r>
    <x v="889"/>
    <x v="589"/>
    <x v="688"/>
    <x v="73"/>
    <s v="Myra Panjwani"/>
    <x v="1"/>
    <x v="2"/>
    <x v="1"/>
    <x v="1"/>
    <x v="1"/>
    <x v="15"/>
    <x v="348"/>
    <x v="1"/>
    <n v="0"/>
    <x v="887"/>
    <x v="1"/>
  </r>
  <r>
    <x v="890"/>
    <x v="590"/>
    <x v="689"/>
    <x v="93"/>
    <s v="Yusuf Rao"/>
    <x v="2"/>
    <x v="4"/>
    <x v="3"/>
    <x v="1"/>
    <x v="0"/>
    <x v="3"/>
    <x v="159"/>
    <x v="7"/>
    <n v="0"/>
    <x v="888"/>
    <x v="3"/>
  </r>
  <r>
    <x v="891"/>
    <x v="63"/>
    <x v="690"/>
    <x v="233"/>
    <s v="Kiara Soni"/>
    <x v="0"/>
    <x v="1"/>
    <x v="0"/>
    <x v="0"/>
    <x v="2"/>
    <x v="2"/>
    <x v="319"/>
    <x v="6"/>
    <n v="0.1"/>
    <x v="889"/>
    <x v="0"/>
  </r>
  <r>
    <x v="892"/>
    <x v="591"/>
    <x v="691"/>
    <x v="132"/>
    <s v="Yusuf Verma"/>
    <x v="2"/>
    <x v="8"/>
    <x v="0"/>
    <x v="0"/>
    <x v="0"/>
    <x v="11"/>
    <x v="349"/>
    <x v="4"/>
    <n v="0.2"/>
    <x v="890"/>
    <x v="1"/>
  </r>
  <r>
    <x v="893"/>
    <x v="319"/>
    <x v="291"/>
    <x v="25"/>
    <s v="Zoya Iyer"/>
    <x v="2"/>
    <x v="12"/>
    <x v="8"/>
    <x v="1"/>
    <x v="0"/>
    <x v="0"/>
    <x v="274"/>
    <x v="2"/>
    <n v="0.2"/>
    <x v="891"/>
    <x v="3"/>
  </r>
  <r>
    <x v="894"/>
    <x v="313"/>
    <x v="692"/>
    <x v="151"/>
    <s v="Kabir Kapoor"/>
    <x v="1"/>
    <x v="7"/>
    <x v="4"/>
    <x v="0"/>
    <x v="1"/>
    <x v="15"/>
    <x v="243"/>
    <x v="5"/>
    <n v="0.05"/>
    <x v="892"/>
    <x v="1"/>
  </r>
  <r>
    <x v="895"/>
    <x v="235"/>
    <x v="94"/>
    <x v="231"/>
    <s v="Fatima Iyer"/>
    <x v="1"/>
    <x v="1"/>
    <x v="0"/>
    <x v="0"/>
    <x v="1"/>
    <x v="9"/>
    <x v="163"/>
    <x v="1"/>
    <n v="0"/>
    <x v="893"/>
    <x v="0"/>
  </r>
  <r>
    <x v="896"/>
    <x v="215"/>
    <x v="43"/>
    <x v="0"/>
    <s v="Kiara Verma"/>
    <x v="1"/>
    <x v="9"/>
    <x v="6"/>
    <x v="4"/>
    <x v="1"/>
    <x v="12"/>
    <x v="426"/>
    <x v="7"/>
    <n v="0.15"/>
    <x v="894"/>
    <x v="0"/>
  </r>
  <r>
    <x v="897"/>
    <x v="592"/>
    <x v="693"/>
    <x v="4"/>
    <s v="Dev Kapoor"/>
    <x v="0"/>
    <x v="10"/>
    <x v="0"/>
    <x v="0"/>
    <x v="2"/>
    <x v="4"/>
    <x v="271"/>
    <x v="6"/>
    <n v="0"/>
    <x v="895"/>
    <x v="1"/>
  </r>
  <r>
    <x v="898"/>
    <x v="578"/>
    <x v="675"/>
    <x v="140"/>
    <s v="Zoya Patel"/>
    <x v="2"/>
    <x v="8"/>
    <x v="0"/>
    <x v="0"/>
    <x v="1"/>
    <x v="1"/>
    <x v="233"/>
    <x v="5"/>
    <n v="0.05"/>
    <x v="896"/>
    <x v="0"/>
  </r>
  <r>
    <x v="899"/>
    <x v="52"/>
    <x v="495"/>
    <x v="87"/>
    <s v="Anaya Joshi"/>
    <x v="2"/>
    <x v="5"/>
    <x v="4"/>
    <x v="0"/>
    <x v="2"/>
    <x v="14"/>
    <x v="213"/>
    <x v="0"/>
    <n v="0.15"/>
    <x v="897"/>
    <x v="0"/>
  </r>
  <r>
    <x v="900"/>
    <x v="593"/>
    <x v="694"/>
    <x v="13"/>
    <s v="Dev Rao"/>
    <x v="1"/>
    <x v="10"/>
    <x v="0"/>
    <x v="0"/>
    <x v="2"/>
    <x v="5"/>
    <x v="425"/>
    <x v="2"/>
    <n v="0"/>
    <x v="898"/>
    <x v="0"/>
  </r>
  <r>
    <x v="901"/>
    <x v="460"/>
    <x v="263"/>
    <x v="189"/>
    <s v="Sara Trivedi"/>
    <x v="1"/>
    <x v="3"/>
    <x v="2"/>
    <x v="2"/>
    <x v="3"/>
    <x v="16"/>
    <x v="270"/>
    <x v="6"/>
    <n v="0"/>
    <x v="899"/>
    <x v="1"/>
  </r>
  <r>
    <x v="902"/>
    <x v="594"/>
    <x v="695"/>
    <x v="99"/>
    <s v="Kabir Soni"/>
    <x v="0"/>
    <x v="8"/>
    <x v="0"/>
    <x v="0"/>
    <x v="3"/>
    <x v="17"/>
    <x v="143"/>
    <x v="1"/>
    <n v="0"/>
    <x v="900"/>
    <x v="2"/>
  </r>
  <r>
    <x v="903"/>
    <x v="435"/>
    <x v="696"/>
    <x v="141"/>
    <s v="Krish Trivedi"/>
    <x v="2"/>
    <x v="9"/>
    <x v="6"/>
    <x v="4"/>
    <x v="3"/>
    <x v="16"/>
    <x v="427"/>
    <x v="4"/>
    <n v="0.2"/>
    <x v="901"/>
    <x v="4"/>
  </r>
  <r>
    <x v="904"/>
    <x v="9"/>
    <x v="697"/>
    <x v="6"/>
    <s v="Vivaan Trivedi"/>
    <x v="0"/>
    <x v="11"/>
    <x v="7"/>
    <x v="3"/>
    <x v="0"/>
    <x v="11"/>
    <x v="403"/>
    <x v="7"/>
    <n v="0.2"/>
    <x v="902"/>
    <x v="0"/>
  </r>
  <r>
    <x v="905"/>
    <x v="171"/>
    <x v="698"/>
    <x v="168"/>
    <s v="Aanya Verma"/>
    <x v="2"/>
    <x v="9"/>
    <x v="6"/>
    <x v="4"/>
    <x v="1"/>
    <x v="18"/>
    <x v="64"/>
    <x v="0"/>
    <n v="0.05"/>
    <x v="903"/>
    <x v="1"/>
  </r>
  <r>
    <x v="906"/>
    <x v="263"/>
    <x v="699"/>
    <x v="154"/>
    <s v="Vivaan Trivedi"/>
    <x v="2"/>
    <x v="10"/>
    <x v="0"/>
    <x v="0"/>
    <x v="3"/>
    <x v="17"/>
    <x v="116"/>
    <x v="5"/>
    <n v="0.1"/>
    <x v="904"/>
    <x v="3"/>
  </r>
  <r>
    <x v="907"/>
    <x v="82"/>
    <x v="94"/>
    <x v="143"/>
    <s v="Vivaan Trivedi"/>
    <x v="0"/>
    <x v="3"/>
    <x v="2"/>
    <x v="2"/>
    <x v="3"/>
    <x v="13"/>
    <x v="182"/>
    <x v="5"/>
    <n v="0"/>
    <x v="905"/>
    <x v="1"/>
  </r>
  <r>
    <x v="908"/>
    <x v="55"/>
    <x v="136"/>
    <x v="75"/>
    <s v="Fatima Joshi"/>
    <x v="2"/>
    <x v="10"/>
    <x v="0"/>
    <x v="0"/>
    <x v="2"/>
    <x v="14"/>
    <x v="33"/>
    <x v="2"/>
    <n v="0.15"/>
    <x v="906"/>
    <x v="0"/>
  </r>
  <r>
    <x v="909"/>
    <x v="200"/>
    <x v="563"/>
    <x v="174"/>
    <s v="Arjun Iyer"/>
    <x v="1"/>
    <x v="7"/>
    <x v="4"/>
    <x v="0"/>
    <x v="1"/>
    <x v="9"/>
    <x v="18"/>
    <x v="4"/>
    <n v="0.2"/>
    <x v="907"/>
    <x v="4"/>
  </r>
  <r>
    <x v="910"/>
    <x v="584"/>
    <x v="64"/>
    <x v="92"/>
    <s v="Dev Dave"/>
    <x v="1"/>
    <x v="12"/>
    <x v="8"/>
    <x v="1"/>
    <x v="3"/>
    <x v="13"/>
    <x v="138"/>
    <x v="7"/>
    <n v="0.2"/>
    <x v="908"/>
    <x v="2"/>
  </r>
  <r>
    <x v="911"/>
    <x v="5"/>
    <x v="225"/>
    <x v="213"/>
    <s v="Reyansh Sheikh"/>
    <x v="1"/>
    <x v="12"/>
    <x v="8"/>
    <x v="1"/>
    <x v="1"/>
    <x v="1"/>
    <x v="231"/>
    <x v="5"/>
    <n v="0"/>
    <x v="909"/>
    <x v="0"/>
  </r>
  <r>
    <x v="912"/>
    <x v="595"/>
    <x v="700"/>
    <x v="93"/>
    <s v="Myra Desai"/>
    <x v="2"/>
    <x v="10"/>
    <x v="0"/>
    <x v="0"/>
    <x v="2"/>
    <x v="10"/>
    <x v="184"/>
    <x v="2"/>
    <n v="0.1"/>
    <x v="910"/>
    <x v="0"/>
  </r>
  <r>
    <x v="913"/>
    <x v="596"/>
    <x v="553"/>
    <x v="133"/>
    <s v="Zoya Verma"/>
    <x v="2"/>
    <x v="11"/>
    <x v="7"/>
    <x v="3"/>
    <x v="3"/>
    <x v="16"/>
    <x v="185"/>
    <x v="3"/>
    <n v="0"/>
    <x v="911"/>
    <x v="2"/>
  </r>
  <r>
    <x v="914"/>
    <x v="597"/>
    <x v="701"/>
    <x v="55"/>
    <s v="Sara Khan"/>
    <x v="2"/>
    <x v="8"/>
    <x v="0"/>
    <x v="0"/>
    <x v="2"/>
    <x v="10"/>
    <x v="392"/>
    <x v="1"/>
    <n v="0.2"/>
    <x v="912"/>
    <x v="3"/>
  </r>
  <r>
    <x v="915"/>
    <x v="598"/>
    <x v="702"/>
    <x v="243"/>
    <s v="Aarav Kapoor"/>
    <x v="0"/>
    <x v="8"/>
    <x v="0"/>
    <x v="0"/>
    <x v="0"/>
    <x v="19"/>
    <x v="130"/>
    <x v="6"/>
    <n v="0.05"/>
    <x v="913"/>
    <x v="2"/>
  </r>
  <r>
    <x v="916"/>
    <x v="412"/>
    <x v="604"/>
    <x v="184"/>
    <s v="Yusuf Panjwani"/>
    <x v="1"/>
    <x v="4"/>
    <x v="3"/>
    <x v="1"/>
    <x v="0"/>
    <x v="3"/>
    <x v="97"/>
    <x v="6"/>
    <n v="0"/>
    <x v="914"/>
    <x v="1"/>
  </r>
  <r>
    <x v="917"/>
    <x v="229"/>
    <x v="703"/>
    <x v="31"/>
    <s v="Anaya Shah"/>
    <x v="0"/>
    <x v="4"/>
    <x v="3"/>
    <x v="1"/>
    <x v="2"/>
    <x v="10"/>
    <x v="149"/>
    <x v="0"/>
    <n v="0"/>
    <x v="915"/>
    <x v="3"/>
  </r>
  <r>
    <x v="918"/>
    <x v="599"/>
    <x v="642"/>
    <x v="125"/>
    <s v="Kiara Verma"/>
    <x v="2"/>
    <x v="4"/>
    <x v="3"/>
    <x v="1"/>
    <x v="3"/>
    <x v="13"/>
    <x v="212"/>
    <x v="4"/>
    <n v="0"/>
    <x v="916"/>
    <x v="3"/>
  </r>
  <r>
    <x v="919"/>
    <x v="600"/>
    <x v="346"/>
    <x v="125"/>
    <s v="Dev Sheikh"/>
    <x v="0"/>
    <x v="9"/>
    <x v="6"/>
    <x v="4"/>
    <x v="0"/>
    <x v="19"/>
    <x v="294"/>
    <x v="5"/>
    <n v="0.1"/>
    <x v="917"/>
    <x v="1"/>
  </r>
  <r>
    <x v="920"/>
    <x v="491"/>
    <x v="583"/>
    <x v="73"/>
    <s v="Reyansh Verma"/>
    <x v="2"/>
    <x v="13"/>
    <x v="0"/>
    <x v="0"/>
    <x v="1"/>
    <x v="15"/>
    <x v="428"/>
    <x v="1"/>
    <n v="0.15"/>
    <x v="918"/>
    <x v="0"/>
  </r>
  <r>
    <x v="921"/>
    <x v="427"/>
    <x v="51"/>
    <x v="109"/>
    <s v="Krish Panjwani"/>
    <x v="0"/>
    <x v="3"/>
    <x v="2"/>
    <x v="2"/>
    <x v="2"/>
    <x v="2"/>
    <x v="329"/>
    <x v="7"/>
    <n v="0.15"/>
    <x v="919"/>
    <x v="4"/>
  </r>
  <r>
    <x v="922"/>
    <x v="601"/>
    <x v="704"/>
    <x v="179"/>
    <s v="Dev Khan"/>
    <x v="0"/>
    <x v="0"/>
    <x v="0"/>
    <x v="0"/>
    <x v="1"/>
    <x v="9"/>
    <x v="308"/>
    <x v="0"/>
    <n v="0.15"/>
    <x v="920"/>
    <x v="3"/>
  </r>
  <r>
    <x v="923"/>
    <x v="414"/>
    <x v="705"/>
    <x v="61"/>
    <s v="Diya Soni"/>
    <x v="1"/>
    <x v="3"/>
    <x v="2"/>
    <x v="2"/>
    <x v="1"/>
    <x v="15"/>
    <x v="429"/>
    <x v="3"/>
    <n v="0.15"/>
    <x v="921"/>
    <x v="4"/>
  </r>
  <r>
    <x v="924"/>
    <x v="395"/>
    <x v="706"/>
    <x v="174"/>
    <s v="Reyansh Soni"/>
    <x v="1"/>
    <x v="8"/>
    <x v="0"/>
    <x v="0"/>
    <x v="0"/>
    <x v="0"/>
    <x v="430"/>
    <x v="3"/>
    <n v="0"/>
    <x v="922"/>
    <x v="1"/>
  </r>
  <r>
    <x v="925"/>
    <x v="257"/>
    <x v="12"/>
    <x v="187"/>
    <s v="Vivaan Panjwani"/>
    <x v="0"/>
    <x v="12"/>
    <x v="8"/>
    <x v="1"/>
    <x v="0"/>
    <x v="8"/>
    <x v="121"/>
    <x v="5"/>
    <n v="0.2"/>
    <x v="923"/>
    <x v="4"/>
  </r>
  <r>
    <x v="926"/>
    <x v="602"/>
    <x v="707"/>
    <x v="58"/>
    <s v="Arjun Patel"/>
    <x v="0"/>
    <x v="12"/>
    <x v="8"/>
    <x v="1"/>
    <x v="2"/>
    <x v="14"/>
    <x v="54"/>
    <x v="0"/>
    <n v="0.2"/>
    <x v="924"/>
    <x v="3"/>
  </r>
  <r>
    <x v="927"/>
    <x v="422"/>
    <x v="708"/>
    <x v="177"/>
    <s v="Reyansh Dave"/>
    <x v="0"/>
    <x v="4"/>
    <x v="3"/>
    <x v="1"/>
    <x v="3"/>
    <x v="17"/>
    <x v="407"/>
    <x v="0"/>
    <n v="0.1"/>
    <x v="925"/>
    <x v="0"/>
  </r>
  <r>
    <x v="928"/>
    <x v="115"/>
    <x v="709"/>
    <x v="105"/>
    <s v="Rohan Mehta"/>
    <x v="1"/>
    <x v="10"/>
    <x v="0"/>
    <x v="0"/>
    <x v="3"/>
    <x v="17"/>
    <x v="319"/>
    <x v="4"/>
    <n v="0.1"/>
    <x v="926"/>
    <x v="2"/>
  </r>
  <r>
    <x v="929"/>
    <x v="557"/>
    <x v="651"/>
    <x v="58"/>
    <s v="Krish Kapoor"/>
    <x v="0"/>
    <x v="4"/>
    <x v="3"/>
    <x v="1"/>
    <x v="1"/>
    <x v="15"/>
    <x v="204"/>
    <x v="1"/>
    <n v="0.05"/>
    <x v="927"/>
    <x v="2"/>
  </r>
  <r>
    <x v="930"/>
    <x v="603"/>
    <x v="710"/>
    <x v="24"/>
    <s v="Dev Mehta"/>
    <x v="0"/>
    <x v="1"/>
    <x v="0"/>
    <x v="0"/>
    <x v="3"/>
    <x v="13"/>
    <x v="138"/>
    <x v="7"/>
    <n v="0.2"/>
    <x v="928"/>
    <x v="1"/>
  </r>
  <r>
    <x v="931"/>
    <x v="189"/>
    <x v="711"/>
    <x v="104"/>
    <s v="Diya Mehta"/>
    <x v="1"/>
    <x v="7"/>
    <x v="4"/>
    <x v="0"/>
    <x v="3"/>
    <x v="16"/>
    <x v="323"/>
    <x v="5"/>
    <n v="0"/>
    <x v="929"/>
    <x v="1"/>
  </r>
  <r>
    <x v="932"/>
    <x v="604"/>
    <x v="712"/>
    <x v="81"/>
    <s v="Kabir Desai"/>
    <x v="1"/>
    <x v="12"/>
    <x v="8"/>
    <x v="1"/>
    <x v="2"/>
    <x v="10"/>
    <x v="396"/>
    <x v="5"/>
    <n v="0.15"/>
    <x v="930"/>
    <x v="0"/>
  </r>
  <r>
    <x v="933"/>
    <x v="525"/>
    <x v="127"/>
    <x v="150"/>
    <s v="Diya Soni"/>
    <x v="0"/>
    <x v="9"/>
    <x v="6"/>
    <x v="4"/>
    <x v="3"/>
    <x v="13"/>
    <x v="431"/>
    <x v="3"/>
    <n v="0.05"/>
    <x v="931"/>
    <x v="4"/>
  </r>
  <r>
    <x v="934"/>
    <x v="10"/>
    <x v="713"/>
    <x v="159"/>
    <s v="Aanya Mehta"/>
    <x v="1"/>
    <x v="1"/>
    <x v="0"/>
    <x v="0"/>
    <x v="2"/>
    <x v="10"/>
    <x v="396"/>
    <x v="5"/>
    <n v="0.15"/>
    <x v="932"/>
    <x v="2"/>
  </r>
  <r>
    <x v="935"/>
    <x v="440"/>
    <x v="714"/>
    <x v="131"/>
    <s v="Krish Kapoor"/>
    <x v="0"/>
    <x v="7"/>
    <x v="4"/>
    <x v="0"/>
    <x v="3"/>
    <x v="13"/>
    <x v="249"/>
    <x v="6"/>
    <n v="0.2"/>
    <x v="933"/>
    <x v="1"/>
  </r>
  <r>
    <x v="936"/>
    <x v="67"/>
    <x v="715"/>
    <x v="71"/>
    <s v="Anaya Trivedi"/>
    <x v="1"/>
    <x v="1"/>
    <x v="0"/>
    <x v="0"/>
    <x v="1"/>
    <x v="18"/>
    <x v="175"/>
    <x v="3"/>
    <n v="0.05"/>
    <x v="934"/>
    <x v="1"/>
  </r>
  <r>
    <x v="937"/>
    <x v="146"/>
    <x v="716"/>
    <x v="199"/>
    <s v="Vivaan Sheikh"/>
    <x v="0"/>
    <x v="8"/>
    <x v="0"/>
    <x v="0"/>
    <x v="3"/>
    <x v="7"/>
    <x v="432"/>
    <x v="6"/>
    <n v="0.15"/>
    <x v="935"/>
    <x v="4"/>
  </r>
  <r>
    <x v="938"/>
    <x v="605"/>
    <x v="717"/>
    <x v="30"/>
    <s v="Arjun Iyer"/>
    <x v="0"/>
    <x v="13"/>
    <x v="0"/>
    <x v="0"/>
    <x v="0"/>
    <x v="11"/>
    <x v="186"/>
    <x v="3"/>
    <n v="0.1"/>
    <x v="936"/>
    <x v="1"/>
  </r>
  <r>
    <x v="939"/>
    <x v="606"/>
    <x v="153"/>
    <x v="36"/>
    <s v="Fatima Rao"/>
    <x v="1"/>
    <x v="3"/>
    <x v="2"/>
    <x v="2"/>
    <x v="1"/>
    <x v="1"/>
    <x v="242"/>
    <x v="6"/>
    <n v="0"/>
    <x v="937"/>
    <x v="1"/>
  </r>
  <r>
    <x v="940"/>
    <x v="418"/>
    <x v="718"/>
    <x v="105"/>
    <s v="Krish Trivedi"/>
    <x v="2"/>
    <x v="4"/>
    <x v="3"/>
    <x v="1"/>
    <x v="0"/>
    <x v="0"/>
    <x v="433"/>
    <x v="5"/>
    <n v="0.05"/>
    <x v="938"/>
    <x v="0"/>
  </r>
  <r>
    <x v="941"/>
    <x v="607"/>
    <x v="719"/>
    <x v="41"/>
    <s v="Myra Panjwani"/>
    <x v="2"/>
    <x v="4"/>
    <x v="3"/>
    <x v="1"/>
    <x v="3"/>
    <x v="7"/>
    <x v="92"/>
    <x v="6"/>
    <n v="0"/>
    <x v="939"/>
    <x v="3"/>
  </r>
  <r>
    <x v="942"/>
    <x v="155"/>
    <x v="720"/>
    <x v="137"/>
    <s v="Aanya Soni"/>
    <x v="0"/>
    <x v="11"/>
    <x v="7"/>
    <x v="3"/>
    <x v="3"/>
    <x v="7"/>
    <x v="206"/>
    <x v="0"/>
    <n v="0.1"/>
    <x v="940"/>
    <x v="2"/>
  </r>
  <r>
    <x v="943"/>
    <x v="608"/>
    <x v="65"/>
    <x v="128"/>
    <s v="Vivaan Sheikh"/>
    <x v="1"/>
    <x v="10"/>
    <x v="0"/>
    <x v="0"/>
    <x v="0"/>
    <x v="11"/>
    <x v="20"/>
    <x v="0"/>
    <n v="0"/>
    <x v="941"/>
    <x v="1"/>
  </r>
  <r>
    <x v="944"/>
    <x v="315"/>
    <x v="281"/>
    <x v="231"/>
    <s v="Aanya Desai"/>
    <x v="1"/>
    <x v="5"/>
    <x v="4"/>
    <x v="0"/>
    <x v="1"/>
    <x v="15"/>
    <x v="434"/>
    <x v="7"/>
    <n v="0"/>
    <x v="942"/>
    <x v="2"/>
  </r>
  <r>
    <x v="945"/>
    <x v="609"/>
    <x v="721"/>
    <x v="53"/>
    <s v="Aanya Trivedi"/>
    <x v="1"/>
    <x v="8"/>
    <x v="0"/>
    <x v="0"/>
    <x v="2"/>
    <x v="2"/>
    <x v="11"/>
    <x v="2"/>
    <n v="0.2"/>
    <x v="943"/>
    <x v="1"/>
  </r>
  <r>
    <x v="946"/>
    <x v="101"/>
    <x v="28"/>
    <x v="145"/>
    <s v="Kabir Desai"/>
    <x v="1"/>
    <x v="1"/>
    <x v="0"/>
    <x v="0"/>
    <x v="3"/>
    <x v="7"/>
    <x v="435"/>
    <x v="4"/>
    <n v="0"/>
    <x v="944"/>
    <x v="1"/>
  </r>
  <r>
    <x v="947"/>
    <x v="610"/>
    <x v="520"/>
    <x v="245"/>
    <s v="Dev Verma"/>
    <x v="2"/>
    <x v="3"/>
    <x v="2"/>
    <x v="2"/>
    <x v="3"/>
    <x v="13"/>
    <x v="386"/>
    <x v="4"/>
    <n v="0.1"/>
    <x v="945"/>
    <x v="0"/>
  </r>
  <r>
    <x v="948"/>
    <x v="76"/>
    <x v="722"/>
    <x v="179"/>
    <s v="Diya Dave"/>
    <x v="1"/>
    <x v="5"/>
    <x v="4"/>
    <x v="0"/>
    <x v="3"/>
    <x v="16"/>
    <x v="185"/>
    <x v="3"/>
    <n v="0"/>
    <x v="946"/>
    <x v="3"/>
  </r>
  <r>
    <x v="949"/>
    <x v="263"/>
    <x v="607"/>
    <x v="157"/>
    <s v="Myra Panjwani"/>
    <x v="1"/>
    <x v="7"/>
    <x v="4"/>
    <x v="0"/>
    <x v="3"/>
    <x v="6"/>
    <x v="399"/>
    <x v="3"/>
    <n v="0.15"/>
    <x v="947"/>
    <x v="4"/>
  </r>
  <r>
    <x v="950"/>
    <x v="372"/>
    <x v="342"/>
    <x v="56"/>
    <s v="Krish Mehta"/>
    <x v="0"/>
    <x v="11"/>
    <x v="7"/>
    <x v="3"/>
    <x v="3"/>
    <x v="13"/>
    <x v="35"/>
    <x v="0"/>
    <n v="0.1"/>
    <x v="948"/>
    <x v="3"/>
  </r>
  <r>
    <x v="951"/>
    <x v="146"/>
    <x v="723"/>
    <x v="89"/>
    <s v="Krish Mehta"/>
    <x v="1"/>
    <x v="1"/>
    <x v="0"/>
    <x v="0"/>
    <x v="3"/>
    <x v="6"/>
    <x v="408"/>
    <x v="6"/>
    <n v="0.2"/>
    <x v="949"/>
    <x v="4"/>
  </r>
  <r>
    <x v="952"/>
    <x v="252"/>
    <x v="11"/>
    <x v="109"/>
    <s v="Aditya Patel"/>
    <x v="1"/>
    <x v="10"/>
    <x v="0"/>
    <x v="0"/>
    <x v="0"/>
    <x v="11"/>
    <x v="187"/>
    <x v="5"/>
    <n v="0"/>
    <x v="950"/>
    <x v="4"/>
  </r>
  <r>
    <x v="953"/>
    <x v="262"/>
    <x v="573"/>
    <x v="155"/>
    <s v="Diya Desai"/>
    <x v="2"/>
    <x v="1"/>
    <x v="0"/>
    <x v="0"/>
    <x v="2"/>
    <x v="2"/>
    <x v="7"/>
    <x v="1"/>
    <n v="0.05"/>
    <x v="951"/>
    <x v="1"/>
  </r>
  <r>
    <x v="954"/>
    <x v="394"/>
    <x v="350"/>
    <x v="215"/>
    <s v="Sara Patel"/>
    <x v="2"/>
    <x v="14"/>
    <x v="9"/>
    <x v="3"/>
    <x v="2"/>
    <x v="5"/>
    <x v="169"/>
    <x v="7"/>
    <n v="0"/>
    <x v="952"/>
    <x v="4"/>
  </r>
  <r>
    <x v="955"/>
    <x v="611"/>
    <x v="330"/>
    <x v="214"/>
    <s v="Anaya Trivedi"/>
    <x v="2"/>
    <x v="11"/>
    <x v="7"/>
    <x v="3"/>
    <x v="1"/>
    <x v="15"/>
    <x v="34"/>
    <x v="2"/>
    <n v="0.2"/>
    <x v="953"/>
    <x v="3"/>
  </r>
  <r>
    <x v="956"/>
    <x v="598"/>
    <x v="724"/>
    <x v="101"/>
    <s v="Diya Joshi"/>
    <x v="1"/>
    <x v="2"/>
    <x v="1"/>
    <x v="1"/>
    <x v="1"/>
    <x v="18"/>
    <x v="227"/>
    <x v="2"/>
    <n v="0.1"/>
    <x v="954"/>
    <x v="2"/>
  </r>
  <r>
    <x v="957"/>
    <x v="33"/>
    <x v="47"/>
    <x v="97"/>
    <s v="Isha Soni"/>
    <x v="0"/>
    <x v="1"/>
    <x v="0"/>
    <x v="0"/>
    <x v="2"/>
    <x v="2"/>
    <x v="239"/>
    <x v="0"/>
    <n v="0.2"/>
    <x v="955"/>
    <x v="3"/>
  </r>
  <r>
    <x v="958"/>
    <x v="612"/>
    <x v="17"/>
    <x v="66"/>
    <s v="Aanya Patel"/>
    <x v="0"/>
    <x v="9"/>
    <x v="6"/>
    <x v="4"/>
    <x v="0"/>
    <x v="19"/>
    <x v="251"/>
    <x v="4"/>
    <n v="0.05"/>
    <x v="956"/>
    <x v="0"/>
  </r>
  <r>
    <x v="959"/>
    <x v="454"/>
    <x v="547"/>
    <x v="145"/>
    <s v="Sara Soni"/>
    <x v="1"/>
    <x v="14"/>
    <x v="9"/>
    <x v="3"/>
    <x v="2"/>
    <x v="2"/>
    <x v="120"/>
    <x v="7"/>
    <n v="0"/>
    <x v="957"/>
    <x v="0"/>
  </r>
  <r>
    <x v="960"/>
    <x v="613"/>
    <x v="671"/>
    <x v="5"/>
    <s v="Zoya Shah"/>
    <x v="1"/>
    <x v="5"/>
    <x v="4"/>
    <x v="0"/>
    <x v="1"/>
    <x v="15"/>
    <x v="167"/>
    <x v="4"/>
    <n v="0"/>
    <x v="958"/>
    <x v="2"/>
  </r>
  <r>
    <x v="961"/>
    <x v="312"/>
    <x v="79"/>
    <x v="136"/>
    <s v="Anaya Dave"/>
    <x v="2"/>
    <x v="6"/>
    <x v="5"/>
    <x v="3"/>
    <x v="0"/>
    <x v="19"/>
    <x v="436"/>
    <x v="3"/>
    <n v="0.1"/>
    <x v="959"/>
    <x v="1"/>
  </r>
  <r>
    <x v="962"/>
    <x v="39"/>
    <x v="725"/>
    <x v="149"/>
    <s v="Meera Trivedi"/>
    <x v="2"/>
    <x v="13"/>
    <x v="0"/>
    <x v="0"/>
    <x v="3"/>
    <x v="6"/>
    <x v="437"/>
    <x v="4"/>
    <n v="0.1"/>
    <x v="960"/>
    <x v="1"/>
  </r>
  <r>
    <x v="963"/>
    <x v="33"/>
    <x v="47"/>
    <x v="20"/>
    <s v="Myra Verma"/>
    <x v="0"/>
    <x v="11"/>
    <x v="7"/>
    <x v="3"/>
    <x v="3"/>
    <x v="17"/>
    <x v="438"/>
    <x v="1"/>
    <n v="0.15"/>
    <x v="961"/>
    <x v="1"/>
  </r>
  <r>
    <x v="964"/>
    <x v="614"/>
    <x v="607"/>
    <x v="246"/>
    <s v="Myra Panjwani"/>
    <x v="2"/>
    <x v="1"/>
    <x v="0"/>
    <x v="0"/>
    <x v="0"/>
    <x v="19"/>
    <x v="145"/>
    <x v="4"/>
    <n v="0.15"/>
    <x v="962"/>
    <x v="1"/>
  </r>
  <r>
    <x v="965"/>
    <x v="532"/>
    <x v="654"/>
    <x v="111"/>
    <s v="Krish Iyer"/>
    <x v="2"/>
    <x v="6"/>
    <x v="5"/>
    <x v="3"/>
    <x v="3"/>
    <x v="16"/>
    <x v="323"/>
    <x v="5"/>
    <n v="0"/>
    <x v="963"/>
    <x v="2"/>
  </r>
  <r>
    <x v="966"/>
    <x v="164"/>
    <x v="726"/>
    <x v="128"/>
    <s v="Anaya Joshi"/>
    <x v="2"/>
    <x v="1"/>
    <x v="0"/>
    <x v="0"/>
    <x v="0"/>
    <x v="8"/>
    <x v="150"/>
    <x v="7"/>
    <n v="0"/>
    <x v="964"/>
    <x v="1"/>
  </r>
  <r>
    <x v="967"/>
    <x v="615"/>
    <x v="727"/>
    <x v="240"/>
    <s v="Krish Patel"/>
    <x v="2"/>
    <x v="6"/>
    <x v="5"/>
    <x v="3"/>
    <x v="1"/>
    <x v="1"/>
    <x v="397"/>
    <x v="6"/>
    <n v="0.15"/>
    <x v="965"/>
    <x v="0"/>
  </r>
  <r>
    <x v="968"/>
    <x v="459"/>
    <x v="728"/>
    <x v="58"/>
    <s v="Kabir Mehta"/>
    <x v="1"/>
    <x v="0"/>
    <x v="0"/>
    <x v="0"/>
    <x v="1"/>
    <x v="18"/>
    <x v="405"/>
    <x v="2"/>
    <n v="0.05"/>
    <x v="966"/>
    <x v="4"/>
  </r>
  <r>
    <x v="969"/>
    <x v="118"/>
    <x v="729"/>
    <x v="162"/>
    <s v="Diya Shah"/>
    <x v="2"/>
    <x v="13"/>
    <x v="0"/>
    <x v="0"/>
    <x v="3"/>
    <x v="6"/>
    <x v="439"/>
    <x v="0"/>
    <n v="0.2"/>
    <x v="967"/>
    <x v="4"/>
  </r>
  <r>
    <x v="970"/>
    <x v="499"/>
    <x v="338"/>
    <x v="3"/>
    <s v="Isha Verma"/>
    <x v="2"/>
    <x v="13"/>
    <x v="0"/>
    <x v="0"/>
    <x v="1"/>
    <x v="1"/>
    <x v="296"/>
    <x v="6"/>
    <n v="0.1"/>
    <x v="968"/>
    <x v="4"/>
  </r>
  <r>
    <x v="971"/>
    <x v="89"/>
    <x v="285"/>
    <x v="237"/>
    <s v="Meera Mehta"/>
    <x v="2"/>
    <x v="14"/>
    <x v="9"/>
    <x v="3"/>
    <x v="3"/>
    <x v="16"/>
    <x v="45"/>
    <x v="0"/>
    <n v="0"/>
    <x v="969"/>
    <x v="4"/>
  </r>
  <r>
    <x v="972"/>
    <x v="592"/>
    <x v="730"/>
    <x v="73"/>
    <s v="Aanya Joshi"/>
    <x v="0"/>
    <x v="9"/>
    <x v="6"/>
    <x v="4"/>
    <x v="3"/>
    <x v="13"/>
    <x v="354"/>
    <x v="7"/>
    <n v="0.05"/>
    <x v="970"/>
    <x v="1"/>
  </r>
  <r>
    <x v="973"/>
    <x v="506"/>
    <x v="512"/>
    <x v="86"/>
    <s v="Aanya Verma"/>
    <x v="0"/>
    <x v="3"/>
    <x v="2"/>
    <x v="2"/>
    <x v="1"/>
    <x v="12"/>
    <x v="211"/>
    <x v="5"/>
    <n v="0"/>
    <x v="971"/>
    <x v="2"/>
  </r>
  <r>
    <x v="974"/>
    <x v="280"/>
    <x v="731"/>
    <x v="52"/>
    <s v="Zoya Rao"/>
    <x v="2"/>
    <x v="10"/>
    <x v="0"/>
    <x v="0"/>
    <x v="0"/>
    <x v="0"/>
    <x v="440"/>
    <x v="0"/>
    <n v="0.2"/>
    <x v="972"/>
    <x v="1"/>
  </r>
  <r>
    <x v="975"/>
    <x v="553"/>
    <x v="517"/>
    <x v="100"/>
    <s v="Kiara Panjwani"/>
    <x v="0"/>
    <x v="11"/>
    <x v="7"/>
    <x v="3"/>
    <x v="2"/>
    <x v="4"/>
    <x v="49"/>
    <x v="7"/>
    <n v="0.1"/>
    <x v="973"/>
    <x v="4"/>
  </r>
  <r>
    <x v="976"/>
    <x v="616"/>
    <x v="732"/>
    <x v="18"/>
    <s v="Aanya Panjwani"/>
    <x v="2"/>
    <x v="6"/>
    <x v="5"/>
    <x v="3"/>
    <x v="3"/>
    <x v="17"/>
    <x v="441"/>
    <x v="4"/>
    <n v="0.15"/>
    <x v="974"/>
    <x v="0"/>
  </r>
  <r>
    <x v="977"/>
    <x v="569"/>
    <x v="733"/>
    <x v="129"/>
    <s v="Aanya Shah"/>
    <x v="2"/>
    <x v="4"/>
    <x v="3"/>
    <x v="1"/>
    <x v="2"/>
    <x v="10"/>
    <x v="228"/>
    <x v="5"/>
    <n v="0"/>
    <x v="975"/>
    <x v="3"/>
  </r>
  <r>
    <x v="978"/>
    <x v="617"/>
    <x v="299"/>
    <x v="125"/>
    <s v="Reyansh Desai"/>
    <x v="2"/>
    <x v="1"/>
    <x v="0"/>
    <x v="0"/>
    <x v="3"/>
    <x v="7"/>
    <x v="442"/>
    <x v="1"/>
    <n v="0.2"/>
    <x v="976"/>
    <x v="3"/>
  </r>
  <r>
    <x v="979"/>
    <x v="431"/>
    <x v="734"/>
    <x v="33"/>
    <s v="Krish Patel"/>
    <x v="2"/>
    <x v="10"/>
    <x v="0"/>
    <x v="0"/>
    <x v="3"/>
    <x v="16"/>
    <x v="183"/>
    <x v="6"/>
    <n v="0.1"/>
    <x v="977"/>
    <x v="2"/>
  </r>
  <r>
    <x v="980"/>
    <x v="285"/>
    <x v="735"/>
    <x v="181"/>
    <s v="Aanya Patel"/>
    <x v="1"/>
    <x v="13"/>
    <x v="0"/>
    <x v="0"/>
    <x v="0"/>
    <x v="8"/>
    <x v="443"/>
    <x v="2"/>
    <n v="0.2"/>
    <x v="978"/>
    <x v="1"/>
  </r>
  <r>
    <x v="981"/>
    <x v="618"/>
    <x v="736"/>
    <x v="23"/>
    <s v="Kiara Panjwani"/>
    <x v="1"/>
    <x v="5"/>
    <x v="4"/>
    <x v="0"/>
    <x v="0"/>
    <x v="8"/>
    <x v="37"/>
    <x v="4"/>
    <n v="0.15"/>
    <x v="979"/>
    <x v="3"/>
  </r>
  <r>
    <x v="982"/>
    <x v="495"/>
    <x v="8"/>
    <x v="19"/>
    <s v="Isha Panjwani"/>
    <x v="2"/>
    <x v="3"/>
    <x v="2"/>
    <x v="2"/>
    <x v="2"/>
    <x v="5"/>
    <x v="425"/>
    <x v="2"/>
    <n v="0"/>
    <x v="980"/>
    <x v="3"/>
  </r>
  <r>
    <x v="983"/>
    <x v="124"/>
    <x v="737"/>
    <x v="161"/>
    <s v="Arjun Rao"/>
    <x v="0"/>
    <x v="10"/>
    <x v="0"/>
    <x v="0"/>
    <x v="2"/>
    <x v="2"/>
    <x v="196"/>
    <x v="5"/>
    <n v="0.2"/>
    <x v="981"/>
    <x v="2"/>
  </r>
  <r>
    <x v="984"/>
    <x v="258"/>
    <x v="319"/>
    <x v="28"/>
    <s v="Yusuf Mehta"/>
    <x v="1"/>
    <x v="10"/>
    <x v="0"/>
    <x v="0"/>
    <x v="2"/>
    <x v="10"/>
    <x v="360"/>
    <x v="1"/>
    <n v="0.1"/>
    <x v="982"/>
    <x v="3"/>
  </r>
  <r>
    <x v="985"/>
    <x v="533"/>
    <x v="74"/>
    <x v="214"/>
    <s v="Rohan Kapoor"/>
    <x v="0"/>
    <x v="9"/>
    <x v="6"/>
    <x v="4"/>
    <x v="2"/>
    <x v="5"/>
    <x v="425"/>
    <x v="2"/>
    <n v="0"/>
    <x v="983"/>
    <x v="4"/>
  </r>
  <r>
    <x v="986"/>
    <x v="267"/>
    <x v="524"/>
    <x v="247"/>
    <s v="Krish Iyer"/>
    <x v="2"/>
    <x v="12"/>
    <x v="8"/>
    <x v="1"/>
    <x v="1"/>
    <x v="15"/>
    <x v="444"/>
    <x v="0"/>
    <n v="0.15"/>
    <x v="984"/>
    <x v="1"/>
  </r>
  <r>
    <x v="987"/>
    <x v="92"/>
    <x v="690"/>
    <x v="166"/>
    <s v="Anaya Shah"/>
    <x v="1"/>
    <x v="9"/>
    <x v="6"/>
    <x v="4"/>
    <x v="1"/>
    <x v="18"/>
    <x v="85"/>
    <x v="5"/>
    <n v="0"/>
    <x v="985"/>
    <x v="4"/>
  </r>
  <r>
    <x v="988"/>
    <x v="148"/>
    <x v="514"/>
    <x v="121"/>
    <s v="Aarav Panjwani"/>
    <x v="1"/>
    <x v="1"/>
    <x v="0"/>
    <x v="0"/>
    <x v="2"/>
    <x v="4"/>
    <x v="271"/>
    <x v="6"/>
    <n v="0"/>
    <x v="986"/>
    <x v="0"/>
  </r>
  <r>
    <x v="989"/>
    <x v="381"/>
    <x v="333"/>
    <x v="54"/>
    <s v="Isha Mehta"/>
    <x v="2"/>
    <x v="1"/>
    <x v="0"/>
    <x v="0"/>
    <x v="1"/>
    <x v="12"/>
    <x v="189"/>
    <x v="2"/>
    <n v="0.05"/>
    <x v="987"/>
    <x v="1"/>
  </r>
  <r>
    <x v="990"/>
    <x v="131"/>
    <x v="272"/>
    <x v="129"/>
    <s v="Meera Soni"/>
    <x v="1"/>
    <x v="12"/>
    <x v="8"/>
    <x v="1"/>
    <x v="2"/>
    <x v="10"/>
    <x v="298"/>
    <x v="6"/>
    <n v="0.05"/>
    <x v="988"/>
    <x v="2"/>
  </r>
  <r>
    <x v="991"/>
    <x v="619"/>
    <x v="738"/>
    <x v="140"/>
    <s v="Vivaan Desai"/>
    <x v="2"/>
    <x v="13"/>
    <x v="0"/>
    <x v="0"/>
    <x v="2"/>
    <x v="2"/>
    <x v="275"/>
    <x v="1"/>
    <n v="0.15"/>
    <x v="989"/>
    <x v="1"/>
  </r>
  <r>
    <x v="992"/>
    <x v="620"/>
    <x v="267"/>
    <x v="37"/>
    <s v="Vivaan Joshi"/>
    <x v="2"/>
    <x v="0"/>
    <x v="0"/>
    <x v="0"/>
    <x v="0"/>
    <x v="0"/>
    <x v="0"/>
    <x v="0"/>
    <n v="0"/>
    <x v="990"/>
    <x v="0"/>
  </r>
  <r>
    <x v="993"/>
    <x v="54"/>
    <x v="641"/>
    <x v="235"/>
    <s v="Reyansh Joshi"/>
    <x v="1"/>
    <x v="5"/>
    <x v="4"/>
    <x v="0"/>
    <x v="0"/>
    <x v="19"/>
    <x v="445"/>
    <x v="7"/>
    <n v="0.1"/>
    <x v="991"/>
    <x v="2"/>
  </r>
  <r>
    <x v="994"/>
    <x v="71"/>
    <x v="55"/>
    <x v="98"/>
    <s v="Sara Mehta"/>
    <x v="1"/>
    <x v="9"/>
    <x v="6"/>
    <x v="4"/>
    <x v="0"/>
    <x v="19"/>
    <x v="340"/>
    <x v="5"/>
    <n v="0.15"/>
    <x v="992"/>
    <x v="0"/>
  </r>
  <r>
    <x v="995"/>
    <x v="58"/>
    <x v="739"/>
    <x v="155"/>
    <s v="Yusuf Trivedi"/>
    <x v="2"/>
    <x v="7"/>
    <x v="4"/>
    <x v="0"/>
    <x v="0"/>
    <x v="8"/>
    <x v="446"/>
    <x v="5"/>
    <n v="0.15"/>
    <x v="993"/>
    <x v="1"/>
  </r>
  <r>
    <x v="996"/>
    <x v="158"/>
    <x v="612"/>
    <x v="63"/>
    <s v="Dev Trivedi"/>
    <x v="2"/>
    <x v="9"/>
    <x v="6"/>
    <x v="4"/>
    <x v="2"/>
    <x v="5"/>
    <x v="253"/>
    <x v="3"/>
    <n v="0.15"/>
    <x v="994"/>
    <x v="1"/>
  </r>
  <r>
    <x v="997"/>
    <x v="562"/>
    <x v="740"/>
    <x v="2"/>
    <s v="Zoya Trivedi"/>
    <x v="1"/>
    <x v="2"/>
    <x v="1"/>
    <x v="1"/>
    <x v="0"/>
    <x v="19"/>
    <x v="251"/>
    <x v="4"/>
    <n v="0.05"/>
    <x v="995"/>
    <x v="4"/>
  </r>
  <r>
    <x v="998"/>
    <x v="621"/>
    <x v="596"/>
    <x v="64"/>
    <s v="Myra Soni"/>
    <x v="1"/>
    <x v="5"/>
    <x v="4"/>
    <x v="0"/>
    <x v="2"/>
    <x v="14"/>
    <x v="447"/>
    <x v="0"/>
    <n v="0.1"/>
    <x v="996"/>
    <x v="0"/>
  </r>
  <r>
    <x v="999"/>
    <x v="622"/>
    <x v="741"/>
    <x v="29"/>
    <s v="Kabir Dave"/>
    <x v="0"/>
    <x v="10"/>
    <x v="0"/>
    <x v="0"/>
    <x v="1"/>
    <x v="18"/>
    <x v="242"/>
    <x v="3"/>
    <n v="0.2"/>
    <x v="9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9F74C-5491-476C-968F-3B68278E3207}" name="PivotTable10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38:O43" firstHeaderRow="1" firstDataRow="1" firstDataCol="1"/>
  <pivotFields count="16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numFmtId="9" outline="0" showAll="0"/>
    <pivotField dataField="1" compact="0" numFmtId="165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4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576EA-E56B-4F9D-A032-B7C5002C376D}" name="PivotTable5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W3:X8" firstHeaderRow="1" firstDataRow="1" firstDataCol="1"/>
  <pivotFields count="16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dataField="1" compact="0" numFmtId="164" outline="0" showAll="0">
      <items count="449">
        <item x="193"/>
        <item x="379"/>
        <item x="163"/>
        <item x="1"/>
        <item x="330"/>
        <item x="162"/>
        <item x="414"/>
        <item x="12"/>
        <item x="22"/>
        <item x="328"/>
        <item x="442"/>
        <item x="226"/>
        <item x="285"/>
        <item x="181"/>
        <item x="290"/>
        <item x="168"/>
        <item x="41"/>
        <item x="18"/>
        <item x="31"/>
        <item x="233"/>
        <item x="197"/>
        <item x="231"/>
        <item x="38"/>
        <item x="129"/>
        <item x="148"/>
        <item x="428"/>
        <item x="180"/>
        <item x="211"/>
        <item x="204"/>
        <item x="308"/>
        <item x="348"/>
        <item x="55"/>
        <item x="32"/>
        <item x="278"/>
        <item x="100"/>
        <item x="85"/>
        <item x="205"/>
        <item x="161"/>
        <item x="10"/>
        <item x="378"/>
        <item x="266"/>
        <item x="140"/>
        <item x="48"/>
        <item x="146"/>
        <item x="284"/>
        <item x="406"/>
        <item x="413"/>
        <item x="207"/>
        <item x="304"/>
        <item x="115"/>
        <item x="229"/>
        <item x="315"/>
        <item x="200"/>
        <item x="269"/>
        <item x="392"/>
        <item x="301"/>
        <item x="198"/>
        <item x="52"/>
        <item x="316"/>
        <item x="343"/>
        <item x="67"/>
        <item x="332"/>
        <item x="42"/>
        <item x="360"/>
        <item x="380"/>
        <item x="127"/>
        <item x="243"/>
        <item x="397"/>
        <item x="302"/>
        <item x="109"/>
        <item x="317"/>
        <item x="353"/>
        <item x="296"/>
        <item x="17"/>
        <item x="435"/>
        <item x="125"/>
        <item x="237"/>
        <item x="75"/>
        <item x="64"/>
        <item x="182"/>
        <item x="255"/>
        <item x="147"/>
        <item x="242"/>
        <item x="240"/>
        <item x="373"/>
        <item x="356"/>
        <item x="313"/>
        <item x="206"/>
        <item x="416"/>
        <item x="275"/>
        <item x="160"/>
        <item x="99"/>
        <item x="192"/>
        <item x="80"/>
        <item x="175"/>
        <item x="390"/>
        <item x="257"/>
        <item x="376"/>
        <item x="268"/>
        <item x="7"/>
        <item x="220"/>
        <item x="230"/>
        <item x="386"/>
        <item x="167"/>
        <item x="72"/>
        <item x="189"/>
        <item x="210"/>
        <item x="426"/>
        <item x="247"/>
        <item x="164"/>
        <item x="245"/>
        <item x="212"/>
        <item x="371"/>
        <item x="44"/>
        <item x="444"/>
        <item x="21"/>
        <item x="396"/>
        <item x="432"/>
        <item x="227"/>
        <item x="139"/>
        <item x="94"/>
        <item x="223"/>
        <item x="297"/>
        <item x="63"/>
        <item x="154"/>
        <item x="405"/>
        <item x="103"/>
        <item x="350"/>
        <item x="419"/>
        <item x="310"/>
        <item x="241"/>
        <item x="35"/>
        <item x="340"/>
        <item x="43"/>
        <item x="228"/>
        <item x="46"/>
        <item x="92"/>
        <item x="23"/>
        <item x="294"/>
        <item x="429"/>
        <item x="246"/>
        <item x="235"/>
        <item x="144"/>
        <item x="232"/>
        <item x="51"/>
        <item x="73"/>
        <item x="215"/>
        <item x="264"/>
        <item x="256"/>
        <item x="196"/>
        <item x="174"/>
        <item x="157"/>
        <item x="155"/>
        <item x="47"/>
        <item x="203"/>
        <item x="76"/>
        <item x="438"/>
        <item x="191"/>
        <item x="325"/>
        <item x="259"/>
        <item x="431"/>
        <item x="69"/>
        <item x="249"/>
        <item x="178"/>
        <item x="375"/>
        <item x="363"/>
        <item x="16"/>
        <item x="152"/>
        <item x="34"/>
        <item x="289"/>
        <item x="295"/>
        <item x="358"/>
        <item x="143"/>
        <item x="145"/>
        <item x="385"/>
        <item x="305"/>
        <item x="362"/>
        <item x="322"/>
        <item x="77"/>
        <item x="195"/>
        <item x="158"/>
        <item x="102"/>
        <item x="221"/>
        <item x="287"/>
        <item x="251"/>
        <item x="323"/>
        <item x="361"/>
        <item x="138"/>
        <item x="265"/>
        <item x="238"/>
        <item x="409"/>
        <item x="252"/>
        <item x="291"/>
        <item x="79"/>
        <item x="320"/>
        <item x="66"/>
        <item x="91"/>
        <item x="58"/>
        <item x="126"/>
        <item x="113"/>
        <item x="5"/>
        <item x="280"/>
        <item x="434"/>
        <item x="95"/>
        <item x="149"/>
        <item x="61"/>
        <item x="427"/>
        <item x="354"/>
        <item x="288"/>
        <item x="370"/>
        <item x="347"/>
        <item x="30"/>
        <item x="401"/>
        <item x="261"/>
        <item x="81"/>
        <item x="142"/>
        <item x="283"/>
        <item x="111"/>
        <item x="341"/>
        <item x="82"/>
        <item x="300"/>
        <item x="239"/>
        <item x="417"/>
        <item x="423"/>
        <item x="303"/>
        <item x="217"/>
        <item x="214"/>
        <item x="57"/>
        <item x="132"/>
        <item x="271"/>
        <item x="387"/>
        <item x="436"/>
        <item x="116"/>
        <item x="263"/>
        <item x="293"/>
        <item x="339"/>
        <item x="352"/>
        <item x="68"/>
        <item x="96"/>
        <item x="377"/>
        <item x="298"/>
        <item x="258"/>
        <item x="318"/>
        <item x="369"/>
        <item x="199"/>
        <item x="194"/>
        <item x="334"/>
        <item x="98"/>
        <item x="411"/>
        <item x="49"/>
        <item x="84"/>
        <item x="372"/>
        <item x="201"/>
        <item x="184"/>
        <item x="311"/>
        <item x="384"/>
        <item x="133"/>
        <item x="130"/>
        <item x="437"/>
        <item x="19"/>
        <item x="131"/>
        <item x="45"/>
        <item x="27"/>
        <item x="121"/>
        <item x="365"/>
        <item x="8"/>
        <item x="54"/>
        <item x="106"/>
        <item x="209"/>
        <item x="56"/>
        <item x="446"/>
        <item x="114"/>
        <item x="441"/>
        <item x="213"/>
        <item x="393"/>
        <item x="188"/>
        <item x="282"/>
        <item x="123"/>
        <item x="439"/>
        <item x="319"/>
        <item x="14"/>
        <item x="447"/>
        <item x="389"/>
        <item x="309"/>
        <item x="83"/>
        <item x="11"/>
        <item x="445"/>
        <item x="110"/>
        <item x="185"/>
        <item x="388"/>
        <item x="105"/>
        <item x="286"/>
        <item x="374"/>
        <item x="307"/>
        <item x="87"/>
        <item x="65"/>
        <item x="404"/>
        <item x="219"/>
        <item x="183"/>
        <item x="327"/>
        <item x="299"/>
        <item x="137"/>
        <item x="312"/>
        <item x="190"/>
        <item x="2"/>
        <item x="292"/>
        <item x="329"/>
        <item x="216"/>
        <item x="270"/>
        <item x="25"/>
        <item x="104"/>
        <item x="399"/>
        <item x="407"/>
        <item x="176"/>
        <item x="36"/>
        <item x="381"/>
        <item x="37"/>
        <item x="344"/>
        <item x="136"/>
        <item x="333"/>
        <item x="383"/>
        <item x="254"/>
        <item x="120"/>
        <item x="408"/>
        <item x="336"/>
        <item x="260"/>
        <item x="124"/>
        <item x="306"/>
        <item x="218"/>
        <item x="277"/>
        <item x="74"/>
        <item x="187"/>
        <item x="171"/>
        <item x="33"/>
        <item x="415"/>
        <item x="107"/>
        <item x="248"/>
        <item x="26"/>
        <item x="342"/>
        <item x="177"/>
        <item x="422"/>
        <item x="236"/>
        <item x="40"/>
        <item x="338"/>
        <item x="78"/>
        <item x="156"/>
        <item x="400"/>
        <item x="4"/>
        <item x="349"/>
        <item x="112"/>
        <item x="119"/>
        <item x="53"/>
        <item x="89"/>
        <item x="364"/>
        <item x="234"/>
        <item x="173"/>
        <item x="166"/>
        <item x="394"/>
        <item x="70"/>
        <item x="59"/>
        <item x="244"/>
        <item x="276"/>
        <item x="151"/>
        <item x="331"/>
        <item x="335"/>
        <item x="172"/>
        <item x="262"/>
        <item x="433"/>
        <item x="86"/>
        <item x="337"/>
        <item x="357"/>
        <item x="62"/>
        <item x="324"/>
        <item x="208"/>
        <item x="345"/>
        <item x="273"/>
        <item x="71"/>
        <item x="39"/>
        <item x="225"/>
        <item x="141"/>
        <item x="321"/>
        <item x="3"/>
        <item x="402"/>
        <item x="443"/>
        <item x="28"/>
        <item x="9"/>
        <item x="418"/>
        <item x="20"/>
        <item x="267"/>
        <item x="93"/>
        <item x="153"/>
        <item x="50"/>
        <item x="179"/>
        <item x="202"/>
        <item x="97"/>
        <item x="186"/>
        <item x="410"/>
        <item x="90"/>
        <item x="382"/>
        <item x="359"/>
        <item x="314"/>
        <item x="224"/>
        <item x="440"/>
        <item x="391"/>
        <item x="250"/>
        <item x="6"/>
        <item x="15"/>
        <item x="128"/>
        <item x="150"/>
        <item x="281"/>
        <item x="165"/>
        <item x="159"/>
        <item x="355"/>
        <item x="421"/>
        <item x="122"/>
        <item x="0"/>
        <item x="403"/>
        <item x="134"/>
        <item x="170"/>
        <item x="346"/>
        <item x="117"/>
        <item x="60"/>
        <item x="272"/>
        <item x="430"/>
        <item x="222"/>
        <item x="29"/>
        <item x="420"/>
        <item x="253"/>
        <item x="274"/>
        <item x="101"/>
        <item x="118"/>
        <item x="351"/>
        <item x="368"/>
        <item x="412"/>
        <item x="108"/>
        <item x="326"/>
        <item x="424"/>
        <item x="13"/>
        <item x="366"/>
        <item x="395"/>
        <item x="279"/>
        <item x="135"/>
        <item x="398"/>
        <item x="24"/>
        <item x="425"/>
        <item x="367"/>
        <item x="88"/>
        <item x="169"/>
        <item t="default"/>
      </items>
    </pivotField>
    <pivotField compact="0" outline="0" showAll="0"/>
    <pivotField compact="0" numFmtId="9" outline="0" showAll="0"/>
    <pivotField compact="0" numFmtId="165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B97F3-A9D2-44AB-BF08-C058F20E882F}" name="PivotTable6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C3:AD8" firstHeaderRow="1" firstDataRow="1" firstDataCol="1"/>
  <pivotFields count="16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numFmtId="164" outline="0" showAll="0"/>
    <pivotField dataField="1" compact="0" outline="0" showAll="0"/>
    <pivotField compact="0" numFmtId="9" outline="0" showAll="0"/>
    <pivotField compact="0" numFmtId="165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uantity" fld="12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3C3FF-F9AB-4759-B72B-E8794930FA5D}" name="PivotTable13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O3:AQ34" firstHeaderRow="1" firstDataRow="1" firstDataCol="2"/>
  <pivotFields count="16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numFmtId="9" outline="0" showAll="0"/>
    <pivotField compact="0" numFmtId="165" outline="0" showAll="0"/>
    <pivotField axis="axisRow" dataField="1" compact="0" outline="0" showAll="0">
      <items count="6">
        <item x="0"/>
        <item x="2"/>
        <item x="4"/>
        <item x="3"/>
        <item x="1"/>
        <item t="default"/>
      </items>
    </pivotField>
  </pivotFields>
  <rowFields count="2">
    <field x="8"/>
    <field x="15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dataFields count="1">
    <dataField name="Count of Payment Method" fld="15" subtotal="count" baseField="0" baseItem="0"/>
  </dataFields>
  <formats count="13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8" type="button" dataOnly="0" labelOnly="1" outline="0" axis="axisRow" fieldPosition="0"/>
    </format>
    <format dxfId="15">
      <pivotArea field="15" type="button" dataOnly="0" labelOnly="1" outline="0" axis="axisRow" fieldPosition="1"/>
    </format>
    <format dxfId="16">
      <pivotArea dataOnly="0" labelOnly="1" outline="0" fieldPosition="0">
        <references count="1">
          <reference field="8" count="0"/>
        </references>
      </pivotArea>
    </format>
    <format dxfId="17">
      <pivotArea dataOnly="0" labelOnly="1" outline="0" fieldPosition="0">
        <references count="1">
          <reference field="8" count="0" defaultSubtotal="1"/>
        </references>
      </pivotArea>
    </format>
    <format dxfId="18">
      <pivotArea dataOnly="0" labelOnly="1" grandRow="1" outline="0" fieldPosition="0"/>
    </format>
    <format dxfId="19">
      <pivotArea dataOnly="0" labelOnly="1" outline="0" fieldPosition="0">
        <references count="2">
          <reference field="8" count="1" selected="0">
            <x v="0"/>
          </reference>
          <reference field="15" count="0"/>
        </references>
      </pivotArea>
    </format>
    <format dxfId="20">
      <pivotArea dataOnly="0" labelOnly="1" outline="0" fieldPosition="0">
        <references count="2">
          <reference field="8" count="1" selected="0">
            <x v="1"/>
          </reference>
          <reference field="15" count="0"/>
        </references>
      </pivotArea>
    </format>
    <format dxfId="21">
      <pivotArea dataOnly="0" labelOnly="1" outline="0" fieldPosition="0">
        <references count="2">
          <reference field="8" count="1" selected="0">
            <x v="2"/>
          </reference>
          <reference field="15" count="0"/>
        </references>
      </pivotArea>
    </format>
    <format dxfId="22">
      <pivotArea dataOnly="0" labelOnly="1" outline="0" fieldPosition="0">
        <references count="2">
          <reference field="8" count="1" selected="0">
            <x v="3"/>
          </reference>
          <reference field="15" count="0"/>
        </references>
      </pivotArea>
    </format>
    <format dxfId="23">
      <pivotArea dataOnly="0" labelOnly="1" outline="0" fieldPosition="0">
        <references count="2">
          <reference field="8" count="1" selected="0">
            <x v="4"/>
          </reference>
          <reference field="15" count="0"/>
        </references>
      </pivotArea>
    </format>
    <format dxfId="2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64350-2D4C-4C47-B4DE-ABC7283BB03F}" name="PivotTable7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J3:AK9" firstHeaderRow="1" firstDataRow="1" firstDataCol="1"/>
  <pivotFields count="16">
    <pivotField compact="0" outline="0" showAll="0"/>
    <pivotField compact="0" numFmtId="14" outline="0" showAll="0"/>
    <pivotField compact="0" numFmtId="14" outline="0" showAll="0"/>
    <pivotField dataField="1" compact="0" outline="0" showAll="0">
      <items count="249">
        <item x="178"/>
        <item x="197"/>
        <item x="77"/>
        <item x="52"/>
        <item x="115"/>
        <item x="180"/>
        <item x="203"/>
        <item x="67"/>
        <item x="15"/>
        <item x="192"/>
        <item x="210"/>
        <item x="40"/>
        <item x="126"/>
        <item x="103"/>
        <item x="20"/>
        <item x="218"/>
        <item x="7"/>
        <item x="90"/>
        <item x="246"/>
        <item x="173"/>
        <item x="169"/>
        <item x="39"/>
        <item x="165"/>
        <item x="215"/>
        <item x="243"/>
        <item x="24"/>
        <item x="92"/>
        <item x="82"/>
        <item x="139"/>
        <item x="234"/>
        <item x="68"/>
        <item x="118"/>
        <item x="143"/>
        <item x="214"/>
        <item x="47"/>
        <item x="136"/>
        <item x="145"/>
        <item x="69"/>
        <item x="219"/>
        <item x="227"/>
        <item x="43"/>
        <item x="6"/>
        <item x="158"/>
        <item x="183"/>
        <item x="167"/>
        <item x="58"/>
        <item x="105"/>
        <item x="162"/>
        <item x="86"/>
        <item x="188"/>
        <item x="99"/>
        <item x="155"/>
        <item x="147"/>
        <item x="184"/>
        <item x="55"/>
        <item x="2"/>
        <item x="56"/>
        <item x="61"/>
        <item x="78"/>
        <item x="108"/>
        <item x="88"/>
        <item x="23"/>
        <item x="150"/>
        <item x="174"/>
        <item x="65"/>
        <item x="217"/>
        <item x="201"/>
        <item x="187"/>
        <item x="177"/>
        <item x="220"/>
        <item x="213"/>
        <item x="133"/>
        <item x="204"/>
        <item x="44"/>
        <item x="172"/>
        <item x="76"/>
        <item x="60"/>
        <item x="51"/>
        <item x="207"/>
        <item x="79"/>
        <item x="151"/>
        <item x="124"/>
        <item x="64"/>
        <item x="95"/>
        <item x="189"/>
        <item x="71"/>
        <item x="81"/>
        <item x="194"/>
        <item x="144"/>
        <item x="100"/>
        <item x="152"/>
        <item x="206"/>
        <item x="5"/>
        <item x="85"/>
        <item x="224"/>
        <item x="132"/>
        <item x="74"/>
        <item x="175"/>
        <item x="19"/>
        <item x="161"/>
        <item x="168"/>
        <item x="235"/>
        <item x="221"/>
        <item x="83"/>
        <item x="72"/>
        <item x="164"/>
        <item x="125"/>
        <item x="199"/>
        <item x="113"/>
        <item x="38"/>
        <item x="75"/>
        <item x="25"/>
        <item x="153"/>
        <item x="17"/>
        <item x="54"/>
        <item x="11"/>
        <item x="239"/>
        <item x="223"/>
        <item x="10"/>
        <item x="141"/>
        <item x="128"/>
        <item x="196"/>
        <item x="110"/>
        <item x="96"/>
        <item x="121"/>
        <item x="154"/>
        <item x="186"/>
        <item x="102"/>
        <item x="70"/>
        <item x="159"/>
        <item x="140"/>
        <item x="119"/>
        <item x="35"/>
        <item x="209"/>
        <item x="21"/>
        <item x="14"/>
        <item x="3"/>
        <item x="18"/>
        <item x="114"/>
        <item x="57"/>
        <item x="231"/>
        <item x="198"/>
        <item x="91"/>
        <item x="50"/>
        <item x="22"/>
        <item x="16"/>
        <item x="170"/>
        <item x="237"/>
        <item x="182"/>
        <item x="98"/>
        <item x="226"/>
        <item x="166"/>
        <item x="240"/>
        <item x="63"/>
        <item x="123"/>
        <item x="212"/>
        <item x="129"/>
        <item x="163"/>
        <item x="66"/>
        <item x="191"/>
        <item x="241"/>
        <item x="94"/>
        <item x="12"/>
        <item x="104"/>
        <item x="202"/>
        <item x="1"/>
        <item x="41"/>
        <item x="242"/>
        <item x="4"/>
        <item x="211"/>
        <item x="84"/>
        <item x="225"/>
        <item x="0"/>
        <item x="230"/>
        <item x="27"/>
        <item x="62"/>
        <item x="190"/>
        <item x="195"/>
        <item x="93"/>
        <item x="45"/>
        <item x="157"/>
        <item x="244"/>
        <item x="137"/>
        <item x="36"/>
        <item x="247"/>
        <item x="34"/>
        <item x="216"/>
        <item x="46"/>
        <item x="200"/>
        <item x="8"/>
        <item x="245"/>
        <item x="205"/>
        <item x="9"/>
        <item x="238"/>
        <item x="127"/>
        <item x="97"/>
        <item x="28"/>
        <item x="116"/>
        <item x="109"/>
        <item x="130"/>
        <item x="80"/>
        <item x="122"/>
        <item x="112"/>
        <item x="236"/>
        <item x="42"/>
        <item x="233"/>
        <item x="32"/>
        <item x="117"/>
        <item x="156"/>
        <item x="33"/>
        <item x="89"/>
        <item x="107"/>
        <item x="106"/>
        <item x="138"/>
        <item x="232"/>
        <item x="149"/>
        <item x="222"/>
        <item x="101"/>
        <item x="87"/>
        <item x="59"/>
        <item x="148"/>
        <item x="208"/>
        <item x="160"/>
        <item x="26"/>
        <item x="179"/>
        <item x="29"/>
        <item x="185"/>
        <item x="171"/>
        <item x="176"/>
        <item x="181"/>
        <item x="142"/>
        <item x="120"/>
        <item x="111"/>
        <item x="131"/>
        <item x="31"/>
        <item x="13"/>
        <item x="30"/>
        <item x="134"/>
        <item x="37"/>
        <item x="146"/>
        <item x="229"/>
        <item x="48"/>
        <item x="135"/>
        <item x="49"/>
        <item x="193"/>
        <item x="53"/>
        <item x="73"/>
        <item x="2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9" outline="0" showAll="0"/>
    <pivotField compact="0" numFmtId="165" outline="0" showAll="0"/>
    <pivotField axis="axisRow" compact="0" outline="0" showAll="0">
      <items count="6">
        <item x="0"/>
        <item x="2"/>
        <item x="4"/>
        <item x="3"/>
        <item x="1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I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476A-6C5B-4AFD-AD74-2E5D7390CCD8}" name="PivotTable3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T38:U42" firstHeaderRow="1" firstDataRow="1" firstDataCol="1"/>
  <pivotFields count="16">
    <pivotField compact="0" outline="0" showAll="0"/>
    <pivotField compact="0" numFmtId="14" outline="0" showAll="0">
      <items count="624">
        <item x="306"/>
        <item x="503"/>
        <item x="217"/>
        <item x="171"/>
        <item x="113"/>
        <item x="348"/>
        <item x="367"/>
        <item x="350"/>
        <item x="302"/>
        <item x="296"/>
        <item x="592"/>
        <item x="595"/>
        <item x="53"/>
        <item x="138"/>
        <item x="465"/>
        <item x="160"/>
        <item x="440"/>
        <item x="488"/>
        <item x="133"/>
        <item x="301"/>
        <item x="1"/>
        <item x="487"/>
        <item x="305"/>
        <item x="449"/>
        <item x="274"/>
        <item x="395"/>
        <item x="251"/>
        <item x="130"/>
        <item x="389"/>
        <item x="116"/>
        <item x="543"/>
        <item x="293"/>
        <item x="411"/>
        <item x="162"/>
        <item x="264"/>
        <item x="385"/>
        <item x="609"/>
        <item x="14"/>
        <item x="359"/>
        <item x="20"/>
        <item x="180"/>
        <item x="550"/>
        <item x="603"/>
        <item x="72"/>
        <item x="212"/>
        <item x="354"/>
        <item x="588"/>
        <item x="143"/>
        <item x="447"/>
        <item x="333"/>
        <item x="200"/>
        <item x="433"/>
        <item x="268"/>
        <item x="473"/>
        <item x="409"/>
        <item x="529"/>
        <item x="127"/>
        <item x="613"/>
        <item x="478"/>
        <item x="3"/>
        <item x="84"/>
        <item x="598"/>
        <item x="479"/>
        <item x="259"/>
        <item x="422"/>
        <item x="307"/>
        <item x="516"/>
        <item x="443"/>
        <item x="376"/>
        <item x="509"/>
        <item x="616"/>
        <item x="562"/>
        <item x="38"/>
        <item x="163"/>
        <item x="513"/>
        <item x="621"/>
        <item x="292"/>
        <item x="518"/>
        <item x="65"/>
        <item x="229"/>
        <item x="205"/>
        <item x="183"/>
        <item x="463"/>
        <item x="337"/>
        <item x="436"/>
        <item x="531"/>
        <item x="589"/>
        <item x="270"/>
        <item x="303"/>
        <item x="341"/>
        <item x="122"/>
        <item x="397"/>
        <item x="618"/>
        <item x="614"/>
        <item x="115"/>
        <item x="70"/>
        <item x="90"/>
        <item x="124"/>
        <item x="263"/>
        <item x="363"/>
        <item x="262"/>
        <item x="152"/>
        <item x="574"/>
        <item x="491"/>
        <item x="321"/>
        <item x="563"/>
        <item x="194"/>
        <item x="541"/>
        <item x="277"/>
        <item x="590"/>
        <item x="121"/>
        <item x="323"/>
        <item x="468"/>
        <item x="424"/>
        <item x="517"/>
        <item x="475"/>
        <item x="267"/>
        <item x="416"/>
        <item x="548"/>
        <item x="218"/>
        <item x="54"/>
        <item x="271"/>
        <item x="536"/>
        <item x="78"/>
        <item x="429"/>
        <item x="601"/>
        <item x="102"/>
        <item x="391"/>
        <item x="328"/>
        <item x="8"/>
        <item x="382"/>
        <item x="114"/>
        <item x="564"/>
        <item x="318"/>
        <item x="7"/>
        <item x="214"/>
        <item x="523"/>
        <item x="128"/>
        <item x="554"/>
        <item x="242"/>
        <item x="17"/>
        <item x="338"/>
        <item x="255"/>
        <item x="249"/>
        <item x="493"/>
        <item x="247"/>
        <item x="454"/>
        <item x="170"/>
        <item x="139"/>
        <item x="246"/>
        <item x="453"/>
        <item x="88"/>
        <item x="534"/>
        <item x="489"/>
        <item x="253"/>
        <item x="231"/>
        <item x="545"/>
        <item x="442"/>
        <item x="414"/>
        <item x="286"/>
        <item x="177"/>
        <item x="148"/>
        <item x="223"/>
        <item x="28"/>
        <item x="388"/>
        <item x="604"/>
        <item x="63"/>
        <item x="311"/>
        <item x="92"/>
        <item x="208"/>
        <item x="64"/>
        <item x="18"/>
        <item x="60"/>
        <item x="370"/>
        <item x="622"/>
        <item x="66"/>
        <item x="161"/>
        <item x="313"/>
        <item x="492"/>
        <item x="432"/>
        <item x="325"/>
        <item x="560"/>
        <item x="593"/>
        <item x="352"/>
        <item x="265"/>
        <item x="184"/>
        <item x="415"/>
        <item x="294"/>
        <item x="553"/>
        <item x="99"/>
        <item x="366"/>
        <item x="79"/>
        <item x="108"/>
        <item x="147"/>
        <item x="373"/>
        <item x="597"/>
        <item x="191"/>
        <item x="225"/>
        <item x="602"/>
        <item x="40"/>
        <item x="117"/>
        <item x="298"/>
        <item x="48"/>
        <item x="412"/>
        <item x="566"/>
        <item x="520"/>
        <item x="43"/>
        <item x="551"/>
        <item x="451"/>
        <item x="85"/>
        <item x="549"/>
        <item x="426"/>
        <item x="167"/>
        <item x="599"/>
        <item x="151"/>
        <item x="559"/>
        <item x="532"/>
        <item x="594"/>
        <item x="234"/>
        <item x="110"/>
        <item x="434"/>
        <item x="522"/>
        <item x="254"/>
        <item x="241"/>
        <item x="149"/>
        <item x="39"/>
        <item x="331"/>
        <item x="339"/>
        <item x="179"/>
        <item x="97"/>
        <item x="469"/>
        <item x="244"/>
        <item x="13"/>
        <item x="441"/>
        <item x="392"/>
        <item x="544"/>
        <item x="576"/>
        <item x="52"/>
        <item x="49"/>
        <item x="431"/>
        <item x="35"/>
        <item x="273"/>
        <item x="91"/>
        <item x="324"/>
        <item x="406"/>
        <item x="368"/>
        <item x="56"/>
        <item x="407"/>
        <item x="36"/>
        <item x="299"/>
        <item x="164"/>
        <item x="118"/>
        <item x="22"/>
        <item x="404"/>
        <item x="288"/>
        <item x="435"/>
        <item x="76"/>
        <item x="272"/>
        <item x="317"/>
        <item x="398"/>
        <item x="455"/>
        <item x="358"/>
        <item x="23"/>
        <item x="607"/>
        <item x="570"/>
        <item x="9"/>
        <item x="109"/>
        <item x="58"/>
        <item x="494"/>
        <item x="483"/>
        <item x="481"/>
        <item x="230"/>
        <item x="552"/>
        <item x="87"/>
        <item x="365"/>
        <item x="514"/>
        <item x="260"/>
        <item x="134"/>
        <item x="158"/>
        <item x="506"/>
        <item x="104"/>
        <item x="369"/>
        <item x="410"/>
        <item x="44"/>
        <item x="587"/>
        <item x="27"/>
        <item x="248"/>
        <item x="281"/>
        <item x="357"/>
        <item x="21"/>
        <item x="408"/>
        <item x="42"/>
        <item x="482"/>
        <item x="502"/>
        <item x="335"/>
        <item x="459"/>
        <item x="326"/>
        <item x="201"/>
        <item x="591"/>
        <item x="582"/>
        <item x="596"/>
        <item x="266"/>
        <item x="537"/>
        <item x="220"/>
        <item x="340"/>
        <item x="50"/>
        <item x="558"/>
        <item x="226"/>
        <item x="316"/>
        <item x="67"/>
        <item x="419"/>
        <item x="155"/>
        <item x="355"/>
        <item x="73"/>
        <item x="95"/>
        <item x="403"/>
        <item x="186"/>
        <item x="561"/>
        <item x="285"/>
        <item x="80"/>
        <item x="336"/>
        <item x="320"/>
        <item x="351"/>
        <item x="530"/>
        <item x="528"/>
        <item x="207"/>
        <item x="619"/>
        <item x="240"/>
        <item x="174"/>
        <item x="150"/>
        <item x="364"/>
        <item x="379"/>
        <item x="290"/>
        <item x="501"/>
        <item x="197"/>
        <item x="239"/>
        <item x="322"/>
        <item x="490"/>
        <item x="615"/>
        <item x="106"/>
        <item x="193"/>
        <item x="278"/>
        <item x="4"/>
        <item x="571"/>
        <item x="61"/>
        <item x="125"/>
        <item x="181"/>
        <item x="538"/>
        <item x="221"/>
        <item x="610"/>
        <item x="557"/>
        <item x="137"/>
        <item x="387"/>
        <item x="269"/>
        <item x="421"/>
        <item x="462"/>
        <item x="418"/>
        <item x="457"/>
        <item x="399"/>
        <item x="476"/>
        <item x="32"/>
        <item x="166"/>
        <item x="546"/>
        <item x="75"/>
        <item x="238"/>
        <item x="2"/>
        <item x="581"/>
        <item x="343"/>
        <item x="452"/>
        <item x="511"/>
        <item x="45"/>
        <item x="347"/>
        <item x="505"/>
        <item x="280"/>
        <item x="577"/>
        <item x="189"/>
        <item x="437"/>
        <item x="146"/>
        <item x="68"/>
        <item x="578"/>
        <item x="471"/>
        <item x="282"/>
        <item x="59"/>
        <item x="430"/>
        <item x="362"/>
        <item x="153"/>
        <item x="41"/>
        <item x="402"/>
        <item x="196"/>
        <item x="26"/>
        <item x="69"/>
        <item x="605"/>
        <item x="396"/>
        <item x="504"/>
        <item x="10"/>
        <item x="216"/>
        <item x="515"/>
        <item x="224"/>
        <item x="569"/>
        <item x="572"/>
        <item x="93"/>
        <item x="0"/>
        <item x="567"/>
        <item x="495"/>
        <item x="586"/>
        <item x="252"/>
        <item x="175"/>
        <item x="257"/>
        <item x="361"/>
        <item x="612"/>
        <item x="199"/>
        <item x="393"/>
        <item x="283"/>
        <item x="111"/>
        <item x="380"/>
        <item x="375"/>
        <item x="284"/>
        <item x="101"/>
        <item x="62"/>
        <item x="496"/>
        <item x="580"/>
        <item x="6"/>
        <item x="16"/>
        <item x="185"/>
        <item x="342"/>
        <item x="169"/>
        <item x="215"/>
        <item x="145"/>
        <item x="332"/>
        <item x="11"/>
        <item x="33"/>
        <item x="423"/>
        <item x="427"/>
        <item x="105"/>
        <item x="71"/>
        <item x="156"/>
        <item x="458"/>
        <item x="178"/>
        <item x="227"/>
        <item x="187"/>
        <item x="573"/>
        <item x="584"/>
        <item x="213"/>
        <item x="608"/>
        <item x="232"/>
        <item x="83"/>
        <item x="374"/>
        <item x="533"/>
        <item x="507"/>
        <item x="464"/>
        <item x="312"/>
        <item x="535"/>
        <item x="144"/>
        <item x="295"/>
        <item x="448"/>
        <item x="236"/>
        <item x="349"/>
        <item x="527"/>
        <item x="82"/>
        <item x="444"/>
        <item x="275"/>
        <item x="235"/>
        <item x="310"/>
        <item x="94"/>
        <item x="261"/>
        <item x="157"/>
        <item x="585"/>
        <item x="309"/>
        <item x="371"/>
        <item x="519"/>
        <item x="204"/>
        <item x="31"/>
        <item x="29"/>
        <item x="81"/>
        <item x="24"/>
        <item x="568"/>
        <item x="304"/>
        <item x="202"/>
        <item x="141"/>
        <item x="96"/>
        <item x="474"/>
        <item x="308"/>
        <item x="540"/>
        <item x="525"/>
        <item x="485"/>
        <item x="192"/>
        <item x="539"/>
        <item x="556"/>
        <item x="195"/>
        <item x="477"/>
        <item x="55"/>
        <item x="484"/>
        <item x="182"/>
        <item x="467"/>
        <item x="168"/>
        <item x="565"/>
        <item x="245"/>
        <item x="135"/>
        <item x="575"/>
        <item x="57"/>
        <item x="237"/>
        <item x="206"/>
        <item x="289"/>
        <item x="173"/>
        <item x="606"/>
        <item x="346"/>
        <item x="555"/>
        <item x="383"/>
        <item x="521"/>
        <item x="103"/>
        <item x="356"/>
        <item x="353"/>
        <item x="512"/>
        <item x="250"/>
        <item x="497"/>
        <item x="19"/>
        <item x="486"/>
        <item x="123"/>
        <item x="198"/>
        <item x="209"/>
        <item x="233"/>
        <item x="211"/>
        <item x="276"/>
        <item x="222"/>
        <item x="378"/>
        <item x="77"/>
        <item x="154"/>
        <item x="176"/>
        <item x="165"/>
        <item x="140"/>
        <item x="119"/>
        <item x="329"/>
        <item x="450"/>
        <item x="136"/>
        <item x="46"/>
        <item x="500"/>
        <item x="466"/>
        <item x="413"/>
        <item x="445"/>
        <item x="219"/>
        <item x="425"/>
        <item x="583"/>
        <item x="334"/>
        <item x="228"/>
        <item x="25"/>
        <item x="547"/>
        <item x="107"/>
        <item x="542"/>
        <item x="5"/>
        <item x="279"/>
        <item x="188"/>
        <item x="256"/>
        <item x="438"/>
        <item x="498"/>
        <item x="405"/>
        <item x="390"/>
        <item x="120"/>
        <item x="86"/>
        <item x="579"/>
        <item x="129"/>
        <item x="37"/>
        <item x="401"/>
        <item x="34"/>
        <item x="98"/>
        <item x="100"/>
        <item x="526"/>
        <item x="287"/>
        <item x="460"/>
        <item x="47"/>
        <item x="142"/>
        <item x="417"/>
        <item x="620"/>
        <item x="330"/>
        <item x="345"/>
        <item x="428"/>
        <item x="131"/>
        <item x="297"/>
        <item x="30"/>
        <item x="172"/>
        <item x="315"/>
        <item x="89"/>
        <item x="420"/>
        <item x="400"/>
        <item x="319"/>
        <item x="51"/>
        <item x="470"/>
        <item x="384"/>
        <item x="456"/>
        <item x="314"/>
        <item x="617"/>
        <item x="377"/>
        <item x="510"/>
        <item x="243"/>
        <item x="360"/>
        <item x="159"/>
        <item x="446"/>
        <item x="190"/>
        <item x="508"/>
        <item x="300"/>
        <item x="524"/>
        <item x="15"/>
        <item x="291"/>
        <item x="258"/>
        <item x="461"/>
        <item x="203"/>
        <item x="439"/>
        <item x="327"/>
        <item x="611"/>
        <item x="381"/>
        <item x="74"/>
        <item x="499"/>
        <item x="480"/>
        <item x="132"/>
        <item x="126"/>
        <item x="210"/>
        <item x="344"/>
        <item x="386"/>
        <item x="12"/>
        <item x="372"/>
        <item x="112"/>
        <item x="600"/>
        <item x="472"/>
        <item x="394"/>
        <item t="default"/>
      </items>
    </pivotField>
    <pivotField compact="0" numFmtId="14" outline="0" showAll="0">
      <items count="743">
        <item x="588"/>
        <item x="698"/>
        <item x="674"/>
        <item x="684"/>
        <item x="669"/>
        <item x="634"/>
        <item x="730"/>
        <item x="693"/>
        <item x="700"/>
        <item x="613"/>
        <item x="714"/>
        <item x="538"/>
        <item x="631"/>
        <item x="580"/>
        <item x="569"/>
        <item x="543"/>
        <item x="496"/>
        <item x="706"/>
        <item x="630"/>
        <item x="493"/>
        <item x="488"/>
        <item x="721"/>
        <item x="643"/>
        <item x="710"/>
        <item x="687"/>
        <item x="570"/>
        <item x="683"/>
        <item x="535"/>
        <item x="530"/>
        <item x="542"/>
        <item x="589"/>
        <item x="563"/>
        <item x="509"/>
        <item x="616"/>
        <item x="671"/>
        <item x="566"/>
        <item x="567"/>
        <item x="702"/>
        <item x="724"/>
        <item x="523"/>
        <item x="540"/>
        <item x="708"/>
        <item x="600"/>
        <item x="732"/>
        <item x="740"/>
        <item x="576"/>
        <item x="591"/>
        <item x="596"/>
        <item x="603"/>
        <item x="703"/>
        <item x="556"/>
        <item x="658"/>
        <item x="532"/>
        <item x="617"/>
        <item x="522"/>
        <item x="688"/>
        <item x="498"/>
        <item x="541"/>
        <item x="611"/>
        <item x="709"/>
        <item x="736"/>
        <item x="607"/>
        <item x="737"/>
        <item x="552"/>
        <item x="606"/>
        <item x="699"/>
        <item x="573"/>
        <item x="659"/>
        <item x="583"/>
        <item x="670"/>
        <item x="629"/>
        <item x="689"/>
        <item x="551"/>
        <item x="558"/>
        <item x="601"/>
        <item x="524"/>
        <item x="564"/>
        <item x="518"/>
        <item x="641"/>
        <item x="622"/>
        <item x="704"/>
        <item x="640"/>
        <item x="572"/>
        <item x="526"/>
        <item x="494"/>
        <item x="639"/>
        <item x="487"/>
        <item x="592"/>
        <item x="548"/>
        <item x="609"/>
        <item x="648"/>
        <item x="515"/>
        <item x="585"/>
        <item x="547"/>
        <item x="661"/>
        <item x="595"/>
        <item x="544"/>
        <item x="581"/>
        <item x="621"/>
        <item x="636"/>
        <item x="534"/>
        <item x="705"/>
        <item x="514"/>
        <item x="539"/>
        <item x="712"/>
        <item x="491"/>
        <item x="690"/>
        <item x="741"/>
        <item x="692"/>
        <item x="584"/>
        <item x="529"/>
        <item x="694"/>
        <item x="656"/>
        <item x="587"/>
        <item x="685"/>
        <item x="517"/>
        <item x="647"/>
        <item x="624"/>
        <item x="677"/>
        <item x="701"/>
        <item x="707"/>
        <item x="508"/>
        <item x="627"/>
        <item x="513"/>
        <item x="604"/>
        <item x="667"/>
        <item x="645"/>
        <item x="680"/>
        <item x="525"/>
        <item x="545"/>
        <item x="642"/>
        <item x="492"/>
        <item x="619"/>
        <item x="654"/>
        <item x="695"/>
        <item x="531"/>
        <item x="660"/>
        <item x="628"/>
        <item x="608"/>
        <item x="565"/>
        <item x="578"/>
        <item x="725"/>
        <item x="559"/>
        <item x="653"/>
        <item x="550"/>
        <item x="672"/>
        <item x="632"/>
        <item x="495"/>
        <item x="734"/>
        <item x="673"/>
        <item x="528"/>
        <item x="555"/>
        <item x="655"/>
        <item x="554"/>
        <item x="504"/>
        <item x="562"/>
        <item x="506"/>
        <item x="537"/>
        <item x="605"/>
        <item x="726"/>
        <item x="729"/>
        <item x="696"/>
        <item x="620"/>
        <item x="503"/>
        <item x="722"/>
        <item x="516"/>
        <item x="499"/>
        <item x="719"/>
        <item x="697"/>
        <item x="663"/>
        <item x="739"/>
        <item x="586"/>
        <item x="577"/>
        <item x="646"/>
        <item x="574"/>
        <item x="597"/>
        <item x="612"/>
        <item x="593"/>
        <item x="664"/>
        <item x="614"/>
        <item x="512"/>
        <item x="511"/>
        <item x="681"/>
        <item x="602"/>
        <item x="575"/>
        <item x="507"/>
        <item x="618"/>
        <item x="728"/>
        <item x="560"/>
        <item x="553"/>
        <item x="691"/>
        <item x="568"/>
        <item x="679"/>
        <item x="623"/>
        <item x="652"/>
        <item x="715"/>
        <item x="668"/>
        <item x="521"/>
        <item x="720"/>
        <item x="610"/>
        <item x="502"/>
        <item x="735"/>
        <item x="657"/>
        <item x="638"/>
        <item x="615"/>
        <item x="557"/>
        <item x="738"/>
        <item x="505"/>
        <item x="686"/>
        <item x="727"/>
        <item x="644"/>
        <item x="510"/>
        <item x="666"/>
        <item x="633"/>
        <item x="490"/>
        <item x="626"/>
        <item x="651"/>
        <item x="582"/>
        <item x="520"/>
        <item x="489"/>
        <item x="533"/>
        <item x="718"/>
        <item x="549"/>
        <item x="519"/>
        <item x="649"/>
        <item x="500"/>
        <item x="637"/>
        <item x="635"/>
        <item x="678"/>
        <item x="571"/>
        <item x="546"/>
        <item x="579"/>
        <item x="594"/>
        <item x="625"/>
        <item x="590"/>
        <item x="711"/>
        <item x="731"/>
        <item x="536"/>
        <item x="716"/>
        <item x="676"/>
        <item x="675"/>
        <item x="723"/>
        <item x="561"/>
        <item x="662"/>
        <item x="665"/>
        <item x="527"/>
        <item x="501"/>
        <item x="497"/>
        <item x="717"/>
        <item x="713"/>
        <item x="682"/>
        <item x="598"/>
        <item x="599"/>
        <item x="650"/>
        <item x="7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9" outline="0" showAll="0"/>
    <pivotField compact="0" numFmtId="165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ity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6ABAE-6220-45A0-AE66-9CED0640A9BF}" name="PivotTable1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3:D19" firstHeaderRow="1" firstDataRow="1" firstDataCol="1"/>
  <pivotFields count="16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0"/>
        <item x="12"/>
        <item x="1"/>
        <item x="4"/>
        <item x="11"/>
        <item x="2"/>
        <item x="9"/>
        <item x="6"/>
        <item x="3"/>
        <item x="14"/>
        <item x="5"/>
        <item x="7"/>
        <item x="13"/>
        <item x="8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>
      <items count="449">
        <item x="193"/>
        <item x="379"/>
        <item x="163"/>
        <item x="1"/>
        <item x="330"/>
        <item x="162"/>
        <item x="414"/>
        <item x="12"/>
        <item x="22"/>
        <item x="328"/>
        <item x="442"/>
        <item x="226"/>
        <item x="285"/>
        <item x="181"/>
        <item x="290"/>
        <item x="168"/>
        <item x="41"/>
        <item x="18"/>
        <item x="31"/>
        <item x="233"/>
        <item x="197"/>
        <item x="231"/>
        <item x="38"/>
        <item x="129"/>
        <item x="148"/>
        <item x="428"/>
        <item x="180"/>
        <item x="211"/>
        <item x="204"/>
        <item x="308"/>
        <item x="348"/>
        <item x="55"/>
        <item x="32"/>
        <item x="278"/>
        <item x="100"/>
        <item x="85"/>
        <item x="205"/>
        <item x="161"/>
        <item x="10"/>
        <item x="378"/>
        <item x="266"/>
        <item x="140"/>
        <item x="48"/>
        <item x="146"/>
        <item x="284"/>
        <item x="406"/>
        <item x="413"/>
        <item x="207"/>
        <item x="304"/>
        <item x="115"/>
        <item x="229"/>
        <item x="315"/>
        <item x="200"/>
        <item x="269"/>
        <item x="392"/>
        <item x="301"/>
        <item x="198"/>
        <item x="52"/>
        <item x="316"/>
        <item x="343"/>
        <item x="67"/>
        <item x="332"/>
        <item x="42"/>
        <item x="360"/>
        <item x="380"/>
        <item x="127"/>
        <item x="243"/>
        <item x="397"/>
        <item x="302"/>
        <item x="109"/>
        <item x="317"/>
        <item x="353"/>
        <item x="296"/>
        <item x="17"/>
        <item x="435"/>
        <item x="125"/>
        <item x="237"/>
        <item x="75"/>
        <item x="64"/>
        <item x="182"/>
        <item x="255"/>
        <item x="147"/>
        <item x="242"/>
        <item x="240"/>
        <item x="373"/>
        <item x="356"/>
        <item x="313"/>
        <item x="206"/>
        <item x="416"/>
        <item x="275"/>
        <item x="160"/>
        <item x="99"/>
        <item x="192"/>
        <item x="80"/>
        <item x="175"/>
        <item x="390"/>
        <item x="257"/>
        <item x="376"/>
        <item x="268"/>
        <item x="7"/>
        <item x="220"/>
        <item x="230"/>
        <item x="386"/>
        <item x="167"/>
        <item x="72"/>
        <item x="189"/>
        <item x="210"/>
        <item x="426"/>
        <item x="247"/>
        <item x="164"/>
        <item x="245"/>
        <item x="212"/>
        <item x="371"/>
        <item x="44"/>
        <item x="444"/>
        <item x="21"/>
        <item x="396"/>
        <item x="432"/>
        <item x="227"/>
        <item x="139"/>
        <item x="94"/>
        <item x="223"/>
        <item x="297"/>
        <item x="63"/>
        <item x="154"/>
        <item x="405"/>
        <item x="103"/>
        <item x="350"/>
        <item x="419"/>
        <item x="310"/>
        <item x="241"/>
        <item x="35"/>
        <item x="340"/>
        <item x="43"/>
        <item x="228"/>
        <item x="46"/>
        <item x="92"/>
        <item x="23"/>
        <item x="294"/>
        <item x="429"/>
        <item x="246"/>
        <item x="235"/>
        <item x="144"/>
        <item x="232"/>
        <item x="51"/>
        <item x="73"/>
        <item x="215"/>
        <item x="264"/>
        <item x="256"/>
        <item x="196"/>
        <item x="174"/>
        <item x="157"/>
        <item x="155"/>
        <item x="47"/>
        <item x="203"/>
        <item x="76"/>
        <item x="438"/>
        <item x="191"/>
        <item x="325"/>
        <item x="259"/>
        <item x="431"/>
        <item x="69"/>
        <item x="249"/>
        <item x="178"/>
        <item x="375"/>
        <item x="363"/>
        <item x="16"/>
        <item x="152"/>
        <item x="34"/>
        <item x="289"/>
        <item x="295"/>
        <item x="358"/>
        <item x="143"/>
        <item x="145"/>
        <item x="385"/>
        <item x="305"/>
        <item x="362"/>
        <item x="322"/>
        <item x="77"/>
        <item x="195"/>
        <item x="158"/>
        <item x="102"/>
        <item x="221"/>
        <item x="287"/>
        <item x="251"/>
        <item x="323"/>
        <item x="361"/>
        <item x="138"/>
        <item x="265"/>
        <item x="238"/>
        <item x="409"/>
        <item x="252"/>
        <item x="291"/>
        <item x="79"/>
        <item x="320"/>
        <item x="66"/>
        <item x="91"/>
        <item x="58"/>
        <item x="126"/>
        <item x="113"/>
        <item x="5"/>
        <item x="280"/>
        <item x="434"/>
        <item x="95"/>
        <item x="149"/>
        <item x="61"/>
        <item x="427"/>
        <item x="354"/>
        <item x="288"/>
        <item x="370"/>
        <item x="347"/>
        <item x="30"/>
        <item x="401"/>
        <item x="261"/>
        <item x="81"/>
        <item x="142"/>
        <item x="283"/>
        <item x="111"/>
        <item x="341"/>
        <item x="82"/>
        <item x="300"/>
        <item x="239"/>
        <item x="417"/>
        <item x="423"/>
        <item x="303"/>
        <item x="217"/>
        <item x="214"/>
        <item x="57"/>
        <item x="132"/>
        <item x="271"/>
        <item x="387"/>
        <item x="436"/>
        <item x="116"/>
        <item x="263"/>
        <item x="293"/>
        <item x="339"/>
        <item x="352"/>
        <item x="68"/>
        <item x="96"/>
        <item x="377"/>
        <item x="298"/>
        <item x="258"/>
        <item x="318"/>
        <item x="369"/>
        <item x="199"/>
        <item x="194"/>
        <item x="334"/>
        <item x="98"/>
        <item x="411"/>
        <item x="49"/>
        <item x="84"/>
        <item x="372"/>
        <item x="201"/>
        <item x="184"/>
        <item x="311"/>
        <item x="384"/>
        <item x="133"/>
        <item x="130"/>
        <item x="437"/>
        <item x="19"/>
        <item x="131"/>
        <item x="45"/>
        <item x="27"/>
        <item x="121"/>
        <item x="365"/>
        <item x="8"/>
        <item x="54"/>
        <item x="106"/>
        <item x="209"/>
        <item x="56"/>
        <item x="446"/>
        <item x="114"/>
        <item x="441"/>
        <item x="213"/>
        <item x="393"/>
        <item x="188"/>
        <item x="282"/>
        <item x="123"/>
        <item x="439"/>
        <item x="319"/>
        <item x="14"/>
        <item x="447"/>
        <item x="389"/>
        <item x="309"/>
        <item x="83"/>
        <item x="11"/>
        <item x="445"/>
        <item x="110"/>
        <item x="185"/>
        <item x="388"/>
        <item x="105"/>
        <item x="286"/>
        <item x="374"/>
        <item x="307"/>
        <item x="87"/>
        <item x="65"/>
        <item x="404"/>
        <item x="219"/>
        <item x="183"/>
        <item x="327"/>
        <item x="299"/>
        <item x="137"/>
        <item x="312"/>
        <item x="190"/>
        <item x="2"/>
        <item x="292"/>
        <item x="329"/>
        <item x="216"/>
        <item x="270"/>
        <item x="25"/>
        <item x="104"/>
        <item x="399"/>
        <item x="407"/>
        <item x="176"/>
        <item x="36"/>
        <item x="381"/>
        <item x="37"/>
        <item x="344"/>
        <item x="136"/>
        <item x="333"/>
        <item x="383"/>
        <item x="254"/>
        <item x="120"/>
        <item x="408"/>
        <item x="336"/>
        <item x="260"/>
        <item x="124"/>
        <item x="306"/>
        <item x="218"/>
        <item x="277"/>
        <item x="74"/>
        <item x="187"/>
        <item x="171"/>
        <item x="33"/>
        <item x="415"/>
        <item x="107"/>
        <item x="248"/>
        <item x="26"/>
        <item x="342"/>
        <item x="177"/>
        <item x="422"/>
        <item x="236"/>
        <item x="40"/>
        <item x="338"/>
        <item x="78"/>
        <item x="156"/>
        <item x="400"/>
        <item x="4"/>
        <item x="349"/>
        <item x="112"/>
        <item x="119"/>
        <item x="53"/>
        <item x="89"/>
        <item x="364"/>
        <item x="234"/>
        <item x="173"/>
        <item x="166"/>
        <item x="394"/>
        <item x="70"/>
        <item x="59"/>
        <item x="244"/>
        <item x="276"/>
        <item x="151"/>
        <item x="331"/>
        <item x="335"/>
        <item x="172"/>
        <item x="262"/>
        <item x="433"/>
        <item x="86"/>
        <item x="337"/>
        <item x="357"/>
        <item x="62"/>
        <item x="324"/>
        <item x="208"/>
        <item x="345"/>
        <item x="273"/>
        <item x="71"/>
        <item x="39"/>
        <item x="225"/>
        <item x="141"/>
        <item x="321"/>
        <item x="3"/>
        <item x="402"/>
        <item x="443"/>
        <item x="28"/>
        <item x="9"/>
        <item x="418"/>
        <item x="20"/>
        <item x="267"/>
        <item x="93"/>
        <item x="153"/>
        <item x="50"/>
        <item x="179"/>
        <item x="202"/>
        <item x="97"/>
        <item x="186"/>
        <item x="410"/>
        <item x="90"/>
        <item x="382"/>
        <item x="359"/>
        <item x="314"/>
        <item x="224"/>
        <item x="440"/>
        <item x="391"/>
        <item x="250"/>
        <item x="6"/>
        <item x="15"/>
        <item x="128"/>
        <item x="150"/>
        <item x="281"/>
        <item x="165"/>
        <item x="159"/>
        <item x="355"/>
        <item x="421"/>
        <item x="122"/>
        <item x="0"/>
        <item x="403"/>
        <item x="134"/>
        <item x="170"/>
        <item x="346"/>
        <item x="117"/>
        <item x="60"/>
        <item x="272"/>
        <item x="430"/>
        <item x="222"/>
        <item x="29"/>
        <item x="420"/>
        <item x="253"/>
        <item x="274"/>
        <item x="101"/>
        <item x="118"/>
        <item x="351"/>
        <item x="368"/>
        <item x="412"/>
        <item x="108"/>
        <item x="326"/>
        <item x="424"/>
        <item x="13"/>
        <item x="366"/>
        <item x="395"/>
        <item x="279"/>
        <item x="135"/>
        <item x="398"/>
        <item x="24"/>
        <item x="425"/>
        <item x="367"/>
        <item x="88"/>
        <item x="169"/>
        <item t="default"/>
      </items>
    </pivotField>
    <pivotField compact="0" outline="0" showAll="0"/>
    <pivotField compact="0" numFmtId="9" outline="0" showAll="0"/>
    <pivotField compact="0" numFmtId="165" outline="0" showAll="0"/>
    <pivotField compact="0" outline="0"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11" baseField="0" baseItem="0" numFmtId="164"/>
  </dataFields>
  <formats count="6">
    <format dxfId="6">
      <pivotArea field="6" type="button" dataOnly="0" labelOnly="1" outline="0" axis="axisRow" fieldPosition="0"/>
    </format>
    <format dxfId="7">
      <pivotArea field="6" type="button" dataOnly="0" labelOnly="1" outline="0" axis="axisRow" fieldPosition="0"/>
    </format>
    <format dxfId="8">
      <pivotArea field="6" type="button" dataOnly="0" labelOnly="1" outline="0" axis="axisRow" fieldPosition="0"/>
    </format>
    <format dxfId="9">
      <pivotArea field="6" type="button" dataOnly="0" labelOnly="1" outline="0" axis="axisRow" fieldPosition="0"/>
    </format>
    <format dxfId="10">
      <pivotArea dataOnly="0" labelOnly="1" outline="0" axis="axisValues" fieldPosition="0"/>
    </format>
    <format dxfId="1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04A9A-736D-44DF-B11A-E77FFF5303BB}" name="PivotTable8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38:D44" firstHeaderRow="1" firstDataRow="1" firstDataCol="1"/>
  <pivotFields count="16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numFmtId="9" outline="0" showAll="0"/>
    <pivotField compact="0" numFmtId="165" outline="0" showAll="0"/>
    <pivotField axis="axisRow" compact="0" outline="0" showAll="0">
      <items count="6">
        <item x="0"/>
        <item x="2"/>
        <item x="4"/>
        <item x="3"/>
        <item x="1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1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730C6-64A7-40FA-B877-DAD5FC41CEC0}" name="PivotTable4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Q3:R9" firstHeaderRow="1" firstDataRow="1" firstDataCol="1"/>
  <pivotFields count="16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2"/>
        <item x="3"/>
        <item x="1"/>
        <item x="0"/>
        <item t="default"/>
      </items>
    </pivotField>
    <pivotField compact="0" outline="0" showAll="0"/>
    <pivotField compact="0" outline="0" showAll="0"/>
    <pivotField dataField="1" compact="0" numFmtId="164" outline="0" showAll="0">
      <items count="449">
        <item x="193"/>
        <item x="379"/>
        <item x="163"/>
        <item x="1"/>
        <item x="330"/>
        <item x="162"/>
        <item x="414"/>
        <item x="12"/>
        <item x="22"/>
        <item x="328"/>
        <item x="442"/>
        <item x="226"/>
        <item x="285"/>
        <item x="181"/>
        <item x="290"/>
        <item x="168"/>
        <item x="41"/>
        <item x="18"/>
        <item x="31"/>
        <item x="233"/>
        <item x="197"/>
        <item x="231"/>
        <item x="38"/>
        <item x="129"/>
        <item x="148"/>
        <item x="428"/>
        <item x="180"/>
        <item x="211"/>
        <item x="204"/>
        <item x="308"/>
        <item x="348"/>
        <item x="55"/>
        <item x="32"/>
        <item x="278"/>
        <item x="100"/>
        <item x="85"/>
        <item x="205"/>
        <item x="161"/>
        <item x="10"/>
        <item x="378"/>
        <item x="266"/>
        <item x="140"/>
        <item x="48"/>
        <item x="146"/>
        <item x="284"/>
        <item x="406"/>
        <item x="413"/>
        <item x="207"/>
        <item x="304"/>
        <item x="115"/>
        <item x="229"/>
        <item x="315"/>
        <item x="200"/>
        <item x="269"/>
        <item x="392"/>
        <item x="301"/>
        <item x="198"/>
        <item x="52"/>
        <item x="316"/>
        <item x="343"/>
        <item x="67"/>
        <item x="332"/>
        <item x="42"/>
        <item x="360"/>
        <item x="380"/>
        <item x="127"/>
        <item x="243"/>
        <item x="397"/>
        <item x="302"/>
        <item x="109"/>
        <item x="317"/>
        <item x="353"/>
        <item x="296"/>
        <item x="17"/>
        <item x="435"/>
        <item x="125"/>
        <item x="237"/>
        <item x="75"/>
        <item x="64"/>
        <item x="182"/>
        <item x="255"/>
        <item x="147"/>
        <item x="242"/>
        <item x="240"/>
        <item x="373"/>
        <item x="356"/>
        <item x="313"/>
        <item x="206"/>
        <item x="416"/>
        <item x="275"/>
        <item x="160"/>
        <item x="99"/>
        <item x="192"/>
        <item x="80"/>
        <item x="175"/>
        <item x="390"/>
        <item x="257"/>
        <item x="376"/>
        <item x="268"/>
        <item x="7"/>
        <item x="220"/>
        <item x="230"/>
        <item x="386"/>
        <item x="167"/>
        <item x="72"/>
        <item x="189"/>
        <item x="210"/>
        <item x="426"/>
        <item x="247"/>
        <item x="164"/>
        <item x="245"/>
        <item x="212"/>
        <item x="371"/>
        <item x="44"/>
        <item x="444"/>
        <item x="21"/>
        <item x="396"/>
        <item x="432"/>
        <item x="227"/>
        <item x="139"/>
        <item x="94"/>
        <item x="223"/>
        <item x="297"/>
        <item x="63"/>
        <item x="154"/>
        <item x="405"/>
        <item x="103"/>
        <item x="350"/>
        <item x="419"/>
        <item x="310"/>
        <item x="241"/>
        <item x="35"/>
        <item x="340"/>
        <item x="43"/>
        <item x="228"/>
        <item x="46"/>
        <item x="92"/>
        <item x="23"/>
        <item x="294"/>
        <item x="429"/>
        <item x="246"/>
        <item x="235"/>
        <item x="144"/>
        <item x="232"/>
        <item x="51"/>
        <item x="73"/>
        <item x="215"/>
        <item x="264"/>
        <item x="256"/>
        <item x="196"/>
        <item x="174"/>
        <item x="157"/>
        <item x="155"/>
        <item x="47"/>
        <item x="203"/>
        <item x="76"/>
        <item x="438"/>
        <item x="191"/>
        <item x="325"/>
        <item x="259"/>
        <item x="431"/>
        <item x="69"/>
        <item x="249"/>
        <item x="178"/>
        <item x="375"/>
        <item x="363"/>
        <item x="16"/>
        <item x="152"/>
        <item x="34"/>
        <item x="289"/>
        <item x="295"/>
        <item x="358"/>
        <item x="143"/>
        <item x="145"/>
        <item x="385"/>
        <item x="305"/>
        <item x="362"/>
        <item x="322"/>
        <item x="77"/>
        <item x="195"/>
        <item x="158"/>
        <item x="102"/>
        <item x="221"/>
        <item x="287"/>
        <item x="251"/>
        <item x="323"/>
        <item x="361"/>
        <item x="138"/>
        <item x="265"/>
        <item x="238"/>
        <item x="409"/>
        <item x="252"/>
        <item x="291"/>
        <item x="79"/>
        <item x="320"/>
        <item x="66"/>
        <item x="91"/>
        <item x="58"/>
        <item x="126"/>
        <item x="113"/>
        <item x="5"/>
        <item x="280"/>
        <item x="434"/>
        <item x="95"/>
        <item x="149"/>
        <item x="61"/>
        <item x="427"/>
        <item x="354"/>
        <item x="288"/>
        <item x="370"/>
        <item x="347"/>
        <item x="30"/>
        <item x="401"/>
        <item x="261"/>
        <item x="81"/>
        <item x="142"/>
        <item x="283"/>
        <item x="111"/>
        <item x="341"/>
        <item x="82"/>
        <item x="300"/>
        <item x="239"/>
        <item x="417"/>
        <item x="423"/>
        <item x="303"/>
        <item x="217"/>
        <item x="214"/>
        <item x="57"/>
        <item x="132"/>
        <item x="271"/>
        <item x="387"/>
        <item x="436"/>
        <item x="116"/>
        <item x="263"/>
        <item x="293"/>
        <item x="339"/>
        <item x="352"/>
        <item x="68"/>
        <item x="96"/>
        <item x="377"/>
        <item x="298"/>
        <item x="258"/>
        <item x="318"/>
        <item x="369"/>
        <item x="199"/>
        <item x="194"/>
        <item x="334"/>
        <item x="98"/>
        <item x="411"/>
        <item x="49"/>
        <item x="84"/>
        <item x="372"/>
        <item x="201"/>
        <item x="184"/>
        <item x="311"/>
        <item x="384"/>
        <item x="133"/>
        <item x="130"/>
        <item x="437"/>
        <item x="19"/>
        <item x="131"/>
        <item x="45"/>
        <item x="27"/>
        <item x="121"/>
        <item x="365"/>
        <item x="8"/>
        <item x="54"/>
        <item x="106"/>
        <item x="209"/>
        <item x="56"/>
        <item x="446"/>
        <item x="114"/>
        <item x="441"/>
        <item x="213"/>
        <item x="393"/>
        <item x="188"/>
        <item x="282"/>
        <item x="123"/>
        <item x="439"/>
        <item x="319"/>
        <item x="14"/>
        <item x="447"/>
        <item x="389"/>
        <item x="309"/>
        <item x="83"/>
        <item x="11"/>
        <item x="445"/>
        <item x="110"/>
        <item x="185"/>
        <item x="388"/>
        <item x="105"/>
        <item x="286"/>
        <item x="374"/>
        <item x="307"/>
        <item x="87"/>
        <item x="65"/>
        <item x="404"/>
        <item x="219"/>
        <item x="183"/>
        <item x="327"/>
        <item x="299"/>
        <item x="137"/>
        <item x="312"/>
        <item x="190"/>
        <item x="2"/>
        <item x="292"/>
        <item x="329"/>
        <item x="216"/>
        <item x="270"/>
        <item x="25"/>
        <item x="104"/>
        <item x="399"/>
        <item x="407"/>
        <item x="176"/>
        <item x="36"/>
        <item x="381"/>
        <item x="37"/>
        <item x="344"/>
        <item x="136"/>
        <item x="333"/>
        <item x="383"/>
        <item x="254"/>
        <item x="120"/>
        <item x="408"/>
        <item x="336"/>
        <item x="260"/>
        <item x="124"/>
        <item x="306"/>
        <item x="218"/>
        <item x="277"/>
        <item x="74"/>
        <item x="187"/>
        <item x="171"/>
        <item x="33"/>
        <item x="415"/>
        <item x="107"/>
        <item x="248"/>
        <item x="26"/>
        <item x="342"/>
        <item x="177"/>
        <item x="422"/>
        <item x="236"/>
        <item x="40"/>
        <item x="338"/>
        <item x="78"/>
        <item x="156"/>
        <item x="400"/>
        <item x="4"/>
        <item x="349"/>
        <item x="112"/>
        <item x="119"/>
        <item x="53"/>
        <item x="89"/>
        <item x="364"/>
        <item x="234"/>
        <item x="173"/>
        <item x="166"/>
        <item x="394"/>
        <item x="70"/>
        <item x="59"/>
        <item x="244"/>
        <item x="276"/>
        <item x="151"/>
        <item x="331"/>
        <item x="335"/>
        <item x="172"/>
        <item x="262"/>
        <item x="433"/>
        <item x="86"/>
        <item x="337"/>
        <item x="357"/>
        <item x="62"/>
        <item x="324"/>
        <item x="208"/>
        <item x="345"/>
        <item x="273"/>
        <item x="71"/>
        <item x="39"/>
        <item x="225"/>
        <item x="141"/>
        <item x="321"/>
        <item x="3"/>
        <item x="402"/>
        <item x="443"/>
        <item x="28"/>
        <item x="9"/>
        <item x="418"/>
        <item x="20"/>
        <item x="267"/>
        <item x="93"/>
        <item x="153"/>
        <item x="50"/>
        <item x="179"/>
        <item x="202"/>
        <item x="97"/>
        <item x="186"/>
        <item x="410"/>
        <item x="90"/>
        <item x="382"/>
        <item x="359"/>
        <item x="314"/>
        <item x="224"/>
        <item x="440"/>
        <item x="391"/>
        <item x="250"/>
        <item x="6"/>
        <item x="15"/>
        <item x="128"/>
        <item x="150"/>
        <item x="281"/>
        <item x="165"/>
        <item x="159"/>
        <item x="355"/>
        <item x="421"/>
        <item x="122"/>
        <item x="0"/>
        <item x="403"/>
        <item x="134"/>
        <item x="170"/>
        <item x="346"/>
        <item x="117"/>
        <item x="60"/>
        <item x="272"/>
        <item x="430"/>
        <item x="222"/>
        <item x="29"/>
        <item x="420"/>
        <item x="253"/>
        <item x="274"/>
        <item x="101"/>
        <item x="118"/>
        <item x="351"/>
        <item x="368"/>
        <item x="412"/>
        <item x="108"/>
        <item x="326"/>
        <item x="424"/>
        <item x="13"/>
        <item x="366"/>
        <item x="395"/>
        <item x="279"/>
        <item x="135"/>
        <item x="398"/>
        <item x="24"/>
        <item x="425"/>
        <item x="367"/>
        <item x="88"/>
        <item x="169"/>
        <item t="default"/>
      </items>
    </pivotField>
    <pivotField compact="0" outline="0" showAll="0"/>
    <pivotField compact="0" numFmtId="9" outline="0" showAll="0"/>
    <pivotField compact="0" numFmtId="165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1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EB1A2-50D4-4249-ACEB-6CA5FC23A031}" name="PivotTable2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3:K14" firstHeaderRow="1" firstDataRow="1" firstDataCol="1"/>
  <pivotFields count="16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7"/>
        <item x="0"/>
        <item x="8"/>
        <item x="6"/>
        <item x="4"/>
        <item x="5"/>
        <item x="3"/>
        <item x="1"/>
        <item x="9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>
      <items count="449">
        <item x="193"/>
        <item x="379"/>
        <item x="163"/>
        <item x="1"/>
        <item x="330"/>
        <item x="162"/>
        <item x="414"/>
        <item x="12"/>
        <item x="22"/>
        <item x="328"/>
        <item x="442"/>
        <item x="226"/>
        <item x="285"/>
        <item x="181"/>
        <item x="290"/>
        <item x="168"/>
        <item x="41"/>
        <item x="18"/>
        <item x="31"/>
        <item x="233"/>
        <item x="197"/>
        <item x="231"/>
        <item x="38"/>
        <item x="129"/>
        <item x="148"/>
        <item x="428"/>
        <item x="180"/>
        <item x="211"/>
        <item x="204"/>
        <item x="308"/>
        <item x="348"/>
        <item x="55"/>
        <item x="32"/>
        <item x="278"/>
        <item x="100"/>
        <item x="85"/>
        <item x="205"/>
        <item x="161"/>
        <item x="10"/>
        <item x="378"/>
        <item x="266"/>
        <item x="140"/>
        <item x="48"/>
        <item x="146"/>
        <item x="284"/>
        <item x="406"/>
        <item x="413"/>
        <item x="207"/>
        <item x="304"/>
        <item x="115"/>
        <item x="229"/>
        <item x="315"/>
        <item x="200"/>
        <item x="269"/>
        <item x="392"/>
        <item x="301"/>
        <item x="198"/>
        <item x="52"/>
        <item x="316"/>
        <item x="343"/>
        <item x="67"/>
        <item x="332"/>
        <item x="42"/>
        <item x="360"/>
        <item x="380"/>
        <item x="127"/>
        <item x="243"/>
        <item x="397"/>
        <item x="302"/>
        <item x="109"/>
        <item x="317"/>
        <item x="353"/>
        <item x="296"/>
        <item x="17"/>
        <item x="435"/>
        <item x="125"/>
        <item x="237"/>
        <item x="75"/>
        <item x="64"/>
        <item x="182"/>
        <item x="255"/>
        <item x="147"/>
        <item x="242"/>
        <item x="240"/>
        <item x="373"/>
        <item x="356"/>
        <item x="313"/>
        <item x="206"/>
        <item x="416"/>
        <item x="275"/>
        <item x="160"/>
        <item x="99"/>
        <item x="192"/>
        <item x="80"/>
        <item x="175"/>
        <item x="390"/>
        <item x="257"/>
        <item x="376"/>
        <item x="268"/>
        <item x="7"/>
        <item x="220"/>
        <item x="230"/>
        <item x="386"/>
        <item x="167"/>
        <item x="72"/>
        <item x="189"/>
        <item x="210"/>
        <item x="426"/>
        <item x="247"/>
        <item x="164"/>
        <item x="245"/>
        <item x="212"/>
        <item x="371"/>
        <item x="44"/>
        <item x="444"/>
        <item x="21"/>
        <item x="396"/>
        <item x="432"/>
        <item x="227"/>
        <item x="139"/>
        <item x="94"/>
        <item x="223"/>
        <item x="297"/>
        <item x="63"/>
        <item x="154"/>
        <item x="405"/>
        <item x="103"/>
        <item x="350"/>
        <item x="419"/>
        <item x="310"/>
        <item x="241"/>
        <item x="35"/>
        <item x="340"/>
        <item x="43"/>
        <item x="228"/>
        <item x="46"/>
        <item x="92"/>
        <item x="23"/>
        <item x="294"/>
        <item x="429"/>
        <item x="246"/>
        <item x="235"/>
        <item x="144"/>
        <item x="232"/>
        <item x="51"/>
        <item x="73"/>
        <item x="215"/>
        <item x="264"/>
        <item x="256"/>
        <item x="196"/>
        <item x="174"/>
        <item x="157"/>
        <item x="155"/>
        <item x="47"/>
        <item x="203"/>
        <item x="76"/>
        <item x="438"/>
        <item x="191"/>
        <item x="325"/>
        <item x="259"/>
        <item x="431"/>
        <item x="69"/>
        <item x="249"/>
        <item x="178"/>
        <item x="375"/>
        <item x="363"/>
        <item x="16"/>
        <item x="152"/>
        <item x="34"/>
        <item x="289"/>
        <item x="295"/>
        <item x="358"/>
        <item x="143"/>
        <item x="145"/>
        <item x="385"/>
        <item x="305"/>
        <item x="362"/>
        <item x="322"/>
        <item x="77"/>
        <item x="195"/>
        <item x="158"/>
        <item x="102"/>
        <item x="221"/>
        <item x="287"/>
        <item x="251"/>
        <item x="323"/>
        <item x="361"/>
        <item x="138"/>
        <item x="265"/>
        <item x="238"/>
        <item x="409"/>
        <item x="252"/>
        <item x="291"/>
        <item x="79"/>
        <item x="320"/>
        <item x="66"/>
        <item x="91"/>
        <item x="58"/>
        <item x="126"/>
        <item x="113"/>
        <item x="5"/>
        <item x="280"/>
        <item x="434"/>
        <item x="95"/>
        <item x="149"/>
        <item x="61"/>
        <item x="427"/>
        <item x="354"/>
        <item x="288"/>
        <item x="370"/>
        <item x="347"/>
        <item x="30"/>
        <item x="401"/>
        <item x="261"/>
        <item x="81"/>
        <item x="142"/>
        <item x="283"/>
        <item x="111"/>
        <item x="341"/>
        <item x="82"/>
        <item x="300"/>
        <item x="239"/>
        <item x="417"/>
        <item x="423"/>
        <item x="303"/>
        <item x="217"/>
        <item x="214"/>
        <item x="57"/>
        <item x="132"/>
        <item x="271"/>
        <item x="387"/>
        <item x="436"/>
        <item x="116"/>
        <item x="263"/>
        <item x="293"/>
        <item x="339"/>
        <item x="352"/>
        <item x="68"/>
        <item x="96"/>
        <item x="377"/>
        <item x="298"/>
        <item x="258"/>
        <item x="318"/>
        <item x="369"/>
        <item x="199"/>
        <item x="194"/>
        <item x="334"/>
        <item x="98"/>
        <item x="411"/>
        <item x="49"/>
        <item x="84"/>
        <item x="372"/>
        <item x="201"/>
        <item x="184"/>
        <item x="311"/>
        <item x="384"/>
        <item x="133"/>
        <item x="130"/>
        <item x="437"/>
        <item x="19"/>
        <item x="131"/>
        <item x="45"/>
        <item x="27"/>
        <item x="121"/>
        <item x="365"/>
        <item x="8"/>
        <item x="54"/>
        <item x="106"/>
        <item x="209"/>
        <item x="56"/>
        <item x="446"/>
        <item x="114"/>
        <item x="441"/>
        <item x="213"/>
        <item x="393"/>
        <item x="188"/>
        <item x="282"/>
        <item x="123"/>
        <item x="439"/>
        <item x="319"/>
        <item x="14"/>
        <item x="447"/>
        <item x="389"/>
        <item x="309"/>
        <item x="83"/>
        <item x="11"/>
        <item x="445"/>
        <item x="110"/>
        <item x="185"/>
        <item x="388"/>
        <item x="105"/>
        <item x="286"/>
        <item x="374"/>
        <item x="307"/>
        <item x="87"/>
        <item x="65"/>
        <item x="404"/>
        <item x="219"/>
        <item x="183"/>
        <item x="327"/>
        <item x="299"/>
        <item x="137"/>
        <item x="312"/>
        <item x="190"/>
        <item x="2"/>
        <item x="292"/>
        <item x="329"/>
        <item x="216"/>
        <item x="270"/>
        <item x="25"/>
        <item x="104"/>
        <item x="399"/>
        <item x="407"/>
        <item x="176"/>
        <item x="36"/>
        <item x="381"/>
        <item x="37"/>
        <item x="344"/>
        <item x="136"/>
        <item x="333"/>
        <item x="383"/>
        <item x="254"/>
        <item x="120"/>
        <item x="408"/>
        <item x="336"/>
        <item x="260"/>
        <item x="124"/>
        <item x="306"/>
        <item x="218"/>
        <item x="277"/>
        <item x="74"/>
        <item x="187"/>
        <item x="171"/>
        <item x="33"/>
        <item x="415"/>
        <item x="107"/>
        <item x="248"/>
        <item x="26"/>
        <item x="342"/>
        <item x="177"/>
        <item x="422"/>
        <item x="236"/>
        <item x="40"/>
        <item x="338"/>
        <item x="78"/>
        <item x="156"/>
        <item x="400"/>
        <item x="4"/>
        <item x="349"/>
        <item x="112"/>
        <item x="119"/>
        <item x="53"/>
        <item x="89"/>
        <item x="364"/>
        <item x="234"/>
        <item x="173"/>
        <item x="166"/>
        <item x="394"/>
        <item x="70"/>
        <item x="59"/>
        <item x="244"/>
        <item x="276"/>
        <item x="151"/>
        <item x="331"/>
        <item x="335"/>
        <item x="172"/>
        <item x="262"/>
        <item x="433"/>
        <item x="86"/>
        <item x="337"/>
        <item x="357"/>
        <item x="62"/>
        <item x="324"/>
        <item x="208"/>
        <item x="345"/>
        <item x="273"/>
        <item x="71"/>
        <item x="39"/>
        <item x="225"/>
        <item x="141"/>
        <item x="321"/>
        <item x="3"/>
        <item x="402"/>
        <item x="443"/>
        <item x="28"/>
        <item x="9"/>
        <item x="418"/>
        <item x="20"/>
        <item x="267"/>
        <item x="93"/>
        <item x="153"/>
        <item x="50"/>
        <item x="179"/>
        <item x="202"/>
        <item x="97"/>
        <item x="186"/>
        <item x="410"/>
        <item x="90"/>
        <item x="382"/>
        <item x="359"/>
        <item x="314"/>
        <item x="224"/>
        <item x="440"/>
        <item x="391"/>
        <item x="250"/>
        <item x="6"/>
        <item x="15"/>
        <item x="128"/>
        <item x="150"/>
        <item x="281"/>
        <item x="165"/>
        <item x="159"/>
        <item x="355"/>
        <item x="421"/>
        <item x="122"/>
        <item x="0"/>
        <item x="403"/>
        <item x="134"/>
        <item x="170"/>
        <item x="346"/>
        <item x="117"/>
        <item x="60"/>
        <item x="272"/>
        <item x="430"/>
        <item x="222"/>
        <item x="29"/>
        <item x="420"/>
        <item x="253"/>
        <item x="274"/>
        <item x="101"/>
        <item x="118"/>
        <item x="351"/>
        <item x="368"/>
        <item x="412"/>
        <item x="108"/>
        <item x="326"/>
        <item x="424"/>
        <item x="13"/>
        <item x="366"/>
        <item x="395"/>
        <item x="279"/>
        <item x="135"/>
        <item x="398"/>
        <item x="24"/>
        <item x="425"/>
        <item x="367"/>
        <item x="88"/>
        <item x="169"/>
        <item t="default"/>
      </items>
    </pivotField>
    <pivotField compact="0" outline="0" showAll="0"/>
    <pivotField compact="0" numFmtId="9" outline="0" showAll="0"/>
    <pivotField compact="0" numFmtId="165" outline="0" showAll="0"/>
    <pivotField compact="0" outline="0"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1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426B2-C146-46BE-93EF-1B27B52A27D8}" name="PivotTable9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8:K59" firstHeaderRow="1" firstDataRow="1" firstDataCol="1"/>
  <pivotFields count="16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1">
        <item x="8"/>
        <item x="7"/>
        <item x="19"/>
        <item x="3"/>
        <item x="9"/>
        <item x="14"/>
        <item x="2"/>
        <item x="16"/>
        <item x="5"/>
        <item x="18"/>
        <item x="11"/>
        <item x="1"/>
        <item x="13"/>
        <item x="6"/>
        <item x="15"/>
        <item x="12"/>
        <item x="0"/>
        <item x="4"/>
        <item x="17"/>
        <item x="10"/>
        <item t="default"/>
      </items>
    </pivotField>
    <pivotField compact="0" numFmtId="164" outline="0" showAll="0"/>
    <pivotField dataField="1" compact="0" outline="0" showAll="0"/>
    <pivotField compact="0" numFmtId="9" outline="0" showAll="0"/>
    <pivotField compact="0" numFmtId="165" outline="0" showAll="0"/>
    <pivotField compact="0" outline="0"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Quantity" fld="1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1C667230-14D1-43F9-A361-45EF1ADE5618}" sourceName="City">
  <pivotTables>
    <pivotTable tabId="2" name="PivotTable1"/>
  </pivotTables>
  <data>
    <tabular pivotCacheId="658004885">
      <items count="15">
        <i x="0" s="1"/>
        <i x="12" s="1"/>
        <i x="1" s="1"/>
        <i x="4" s="1"/>
        <i x="11" s="1"/>
        <i x="2" s="1"/>
        <i x="9" s="1"/>
        <i x="6" s="1"/>
        <i x="3" s="1"/>
        <i x="14" s="1"/>
        <i x="5" s="1"/>
        <i x="7" s="1"/>
        <i x="13" s="1"/>
        <i x="8" s="1"/>
        <i x="1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401A357B-EC90-4115-B31B-15B80C0B15F8}" sourceName="State">
  <pivotTables>
    <pivotTable tabId="2" name="PivotTable2"/>
  </pivotTables>
  <data>
    <tabular pivotCacheId="658004885">
      <items count="10">
        <i x="7" s="1"/>
        <i x="0" s="1"/>
        <i x="8" s="1"/>
        <i x="6" s="1"/>
        <i x="4" s="1"/>
        <i x="5" s="1"/>
        <i x="3" s="1"/>
        <i x="1" s="1"/>
        <i x="9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86FF836-39A7-40AF-84CB-4AA9532E5941}" sourceName="Region">
  <pivotTables>
    <pivotTable tabId="2" name="PivotTable4"/>
  </pivotTables>
  <data>
    <tabular pivotCacheId="658004885">
      <items count="5">
        <i x="4" s="1"/>
        <i x="2" s="1"/>
        <i x="3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F1E0FF78-86BA-4841-9CE1-A3B4799AE702}" sourceName="Category">
  <pivotTables>
    <pivotTable tabId="2" name="PivotTable5"/>
  </pivotTables>
  <data>
    <tabular pivotCacheId="658004885">
      <items count="4">
        <i x="3" s="1"/>
        <i x="2" s="1"/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EA7CF57B-5689-4DDB-95E6-CE8560C185A1}" sourceName="Payment Method">
  <pivotTables>
    <pivotTable tabId="2" name="PivotTable7"/>
  </pivotTables>
  <data>
    <tabular pivotCacheId="658004885">
      <items count="5">
        <i x="0" s="1"/>
        <i x="2" s="1"/>
        <i x="4" s="1"/>
        <i x="3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54E073DE-6DFA-48B1-8465-EC7A9DB98D4D}" sourceName="Category">
  <pivotTables>
    <pivotTable tabId="2" name="PivotTable6"/>
  </pivotTables>
  <data>
    <tabular pivotCacheId="658004885">
      <items count="4">
        <i x="3" s="1"/>
        <i x="2" s="1"/>
        <i x="0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1" xr10:uid="{084D8986-E76F-4FB1-A6EE-C2EE922D51B0}" sourceName="Payment Method">
  <pivotTables>
    <pivotTable tabId="2" name="PivotTable8"/>
  </pivotTables>
  <data>
    <tabular pivotCacheId="658004885">
      <items count="5">
        <i x="0" s="1"/>
        <i x="2" s="1"/>
        <i x="4" s="1"/>
        <i x="3" s="1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Name" xr10:uid="{3A993D88-2739-4E8E-B960-D9819CE94E3D}" sourceName="Product Name">
  <pivotTables>
    <pivotTable tabId="2" name="PivotTable9"/>
  </pivotTables>
  <data>
    <tabular pivotCacheId="658004885">
      <items count="20">
        <i x="8" s="1"/>
        <i x="7" s="1"/>
        <i x="19" s="1"/>
        <i x="3" s="1"/>
        <i x="9" s="1"/>
        <i x="14" s="1"/>
        <i x="2" s="1"/>
        <i x="16" s="1"/>
        <i x="5" s="1"/>
        <i x="18" s="1"/>
        <i x="11" s="1"/>
        <i x="1" s="1"/>
        <i x="13" s="1"/>
        <i x="6" s="1"/>
        <i x="15" s="1"/>
        <i x="12" s="1"/>
        <i x="0" s="1"/>
        <i x="4" s="1"/>
        <i x="17" s="1"/>
        <i x="1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2" xr10:uid="{27823FD8-9C65-403D-9ED7-8450F48B6EFF}" sourceName="Category">
  <pivotTables>
    <pivotTable tabId="2" name="PivotTable10"/>
  </pivotTables>
  <data>
    <tabular pivotCacheId="658004885">
      <items count="4">
        <i x="3" s="1"/>
        <i x="2" s="1"/>
        <i x="0" s="1"/>
        <i x="1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E6C07EFA-D878-4C6A-89C8-917E697B09A8}" sourceName="Segment">
  <pivotTables>
    <pivotTable tabId="2" name="PivotTable3"/>
  </pivotTables>
  <data>
    <tabular pivotCacheId="658004885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3E4CB348-6323-4A6B-B65B-CAC0CFF7EA85}" cache="Slicer_City" caption="City" rowHeight="228600"/>
  <slicer name="State" xr10:uid="{E05F5B95-BB4C-4A87-A602-735BD239C6CC}" cache="Slicer_State" caption="State" rowHeight="228600"/>
  <slicer name="Region" xr10:uid="{27CF9C8F-F056-4F09-892C-328765C72B67}" cache="Slicer_Region" caption="Region" rowHeight="228600"/>
  <slicer name="Category" xr10:uid="{A8835FEF-707F-46FD-B83A-715ADDB80D88}" cache="Slicer_Category" caption="Category" rowHeight="228600"/>
  <slicer name="Payment Method" xr10:uid="{44474487-0E52-4A32-BA9A-DA305476CC8C}" cache="Slicer_Payment_Method" caption="Payment Method" rowHeight="228600"/>
  <slicer name="Category 1" xr10:uid="{74141D36-2D09-4FB1-A652-19F200E91FD2}" cache="Slicer_Category1" caption="Category" rowHeight="228600"/>
  <slicer name="Payment Method 1" xr10:uid="{72CDA151-655B-495A-B2A5-166ED6855CAC}" cache="Slicer_Payment_Method1" caption="Payment Method" rowHeight="228600"/>
  <slicer name="Product Name" xr10:uid="{8986EC79-288D-432A-9AEC-50BD05AF4CA4}" cache="Slicer_Product_Name" caption="Product Name" rowHeight="228600"/>
  <slicer name="Category 2" xr10:uid="{5719EAF6-0B22-4882-B013-7B94256C9CC7}" cache="Slicer_Category2" caption="Category" rowHeight="228600"/>
  <slicer name="Segment" xr10:uid="{2C340FBF-18E9-457B-A19C-26D94D39ECC5}" cache="Slicer_Segment" caption="Segmen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>
      <selection activeCell="G1" sqref="G1:G1048576"/>
    </sheetView>
  </sheetViews>
  <sheetFormatPr defaultRowHeight="15"/>
  <cols>
    <col min="1" max="1" width="16.28515625" style="9" bestFit="1" customWidth="1"/>
    <col min="2" max="3" width="11.42578125" style="15" bestFit="1" customWidth="1"/>
    <col min="4" max="4" width="12.140625" style="9" bestFit="1" customWidth="1"/>
    <col min="5" max="5" width="17" style="9" bestFit="1" customWidth="1"/>
    <col min="6" max="6" width="12.28515625" style="9" bestFit="1" customWidth="1"/>
    <col min="7" max="7" width="11.85546875" style="9" bestFit="1" customWidth="1"/>
    <col min="8" max="8" width="15.85546875" style="9" bestFit="1" customWidth="1"/>
    <col min="9" max="9" width="7.5703125" style="9" bestFit="1" customWidth="1"/>
    <col min="10" max="10" width="14.7109375" style="9" bestFit="1" customWidth="1"/>
    <col min="11" max="11" width="15.42578125" style="9" bestFit="1" customWidth="1"/>
    <col min="12" max="12" width="10.85546875" style="16" bestFit="1" customWidth="1"/>
    <col min="13" max="13" width="9" style="9" bestFit="1" customWidth="1"/>
    <col min="14" max="14" width="9" style="17" bestFit="1" customWidth="1"/>
    <col min="15" max="15" width="11.85546875" style="18" bestFit="1" customWidth="1"/>
    <col min="16" max="16" width="16.85546875" style="9" bestFit="1" customWidth="1"/>
    <col min="17" max="16384" width="9.140625" style="9"/>
  </cols>
  <sheetData>
    <row r="1" spans="1:16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3" t="s">
        <v>15</v>
      </c>
    </row>
    <row r="2" spans="1:16">
      <c r="A2" s="10" t="s">
        <v>16</v>
      </c>
      <c r="B2" s="11">
        <v>45946</v>
      </c>
      <c r="C2" s="11">
        <v>45947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2">
        <v>26000</v>
      </c>
      <c r="M2" s="10">
        <v>4</v>
      </c>
      <c r="N2" s="13">
        <v>0</v>
      </c>
      <c r="O2" s="14">
        <v>4901.45</v>
      </c>
      <c r="P2" s="10" t="s">
        <v>25</v>
      </c>
    </row>
    <row r="3" spans="1:16">
      <c r="A3" s="10" t="s">
        <v>26</v>
      </c>
      <c r="B3" s="11">
        <v>45324</v>
      </c>
      <c r="C3" s="11">
        <v>45948</v>
      </c>
      <c r="D3" s="10" t="s">
        <v>27</v>
      </c>
      <c r="E3" s="10" t="s">
        <v>28</v>
      </c>
      <c r="F3" s="10" t="s">
        <v>29</v>
      </c>
      <c r="G3" s="10" t="s">
        <v>20</v>
      </c>
      <c r="H3" s="10" t="s">
        <v>21</v>
      </c>
      <c r="I3" s="10" t="s">
        <v>22</v>
      </c>
      <c r="J3" s="10" t="s">
        <v>30</v>
      </c>
      <c r="K3" s="10" t="s">
        <v>31</v>
      </c>
      <c r="L3" s="12">
        <v>102</v>
      </c>
      <c r="M3" s="10">
        <v>1</v>
      </c>
      <c r="N3" s="13">
        <v>0.15</v>
      </c>
      <c r="O3" s="14">
        <v>31.19</v>
      </c>
      <c r="P3" s="10" t="s">
        <v>25</v>
      </c>
    </row>
    <row r="4" spans="1:16">
      <c r="A4" s="10" t="s">
        <v>32</v>
      </c>
      <c r="B4" s="11">
        <v>45895</v>
      </c>
      <c r="C4" s="11">
        <v>45949</v>
      </c>
      <c r="D4" s="10" t="s">
        <v>33</v>
      </c>
      <c r="E4" s="10" t="s">
        <v>34</v>
      </c>
      <c r="F4" s="10" t="s">
        <v>29</v>
      </c>
      <c r="G4" s="10" t="s">
        <v>35</v>
      </c>
      <c r="H4" s="10" t="s">
        <v>36</v>
      </c>
      <c r="I4" s="10" t="s">
        <v>37</v>
      </c>
      <c r="J4" s="10" t="s">
        <v>38</v>
      </c>
      <c r="K4" s="10" t="s">
        <v>39</v>
      </c>
      <c r="L4" s="12">
        <v>6317.5</v>
      </c>
      <c r="M4" s="10">
        <v>7</v>
      </c>
      <c r="N4" s="13">
        <v>0.05</v>
      </c>
      <c r="O4" s="14">
        <v>1896.85</v>
      </c>
      <c r="P4" s="10" t="s">
        <v>25</v>
      </c>
    </row>
    <row r="5" spans="1:16">
      <c r="A5" s="10" t="s">
        <v>40</v>
      </c>
      <c r="B5" s="11">
        <v>45391</v>
      </c>
      <c r="C5" s="11">
        <v>45950</v>
      </c>
      <c r="D5" s="10" t="s">
        <v>41</v>
      </c>
      <c r="E5" s="10" t="s">
        <v>42</v>
      </c>
      <c r="F5" s="10" t="s">
        <v>43</v>
      </c>
      <c r="G5" s="10" t="s">
        <v>44</v>
      </c>
      <c r="H5" s="10" t="s">
        <v>45</v>
      </c>
      <c r="I5" s="10" t="s">
        <v>46</v>
      </c>
      <c r="J5" s="10" t="s">
        <v>23</v>
      </c>
      <c r="K5" s="10" t="s">
        <v>47</v>
      </c>
      <c r="L5" s="12">
        <v>15500</v>
      </c>
      <c r="M5" s="10">
        <v>5</v>
      </c>
      <c r="N5" s="13">
        <v>0</v>
      </c>
      <c r="O5" s="14">
        <v>2949.18</v>
      </c>
      <c r="P5" s="10" t="s">
        <v>48</v>
      </c>
    </row>
    <row r="6" spans="1:16">
      <c r="A6" s="10" t="s">
        <v>49</v>
      </c>
      <c r="B6" s="11">
        <v>45857</v>
      </c>
      <c r="C6" s="11">
        <v>45951</v>
      </c>
      <c r="D6" s="10" t="s">
        <v>50</v>
      </c>
      <c r="E6" s="10" t="s">
        <v>51</v>
      </c>
      <c r="F6" s="10" t="s">
        <v>43</v>
      </c>
      <c r="G6" s="10" t="s">
        <v>44</v>
      </c>
      <c r="H6" s="10" t="s">
        <v>45</v>
      </c>
      <c r="I6" s="10" t="s">
        <v>46</v>
      </c>
      <c r="J6" s="10" t="s">
        <v>23</v>
      </c>
      <c r="K6" s="10" t="s">
        <v>47</v>
      </c>
      <c r="L6" s="12">
        <v>9920</v>
      </c>
      <c r="M6" s="10">
        <v>4</v>
      </c>
      <c r="N6" s="13">
        <v>0.2</v>
      </c>
      <c r="O6" s="14">
        <v>3292.6</v>
      </c>
      <c r="P6" s="10" t="s">
        <v>48</v>
      </c>
    </row>
    <row r="7" spans="1:16">
      <c r="A7" s="10" t="s">
        <v>52</v>
      </c>
      <c r="B7" s="11">
        <v>46167</v>
      </c>
      <c r="C7" s="11">
        <v>45952</v>
      </c>
      <c r="D7" s="10" t="s">
        <v>53</v>
      </c>
      <c r="E7" s="10" t="s">
        <v>54</v>
      </c>
      <c r="F7" s="10" t="s">
        <v>43</v>
      </c>
      <c r="G7" s="10" t="s">
        <v>44</v>
      </c>
      <c r="H7" s="10" t="s">
        <v>45</v>
      </c>
      <c r="I7" s="10" t="s">
        <v>46</v>
      </c>
      <c r="J7" s="10" t="s">
        <v>38</v>
      </c>
      <c r="K7" s="10" t="s">
        <v>55</v>
      </c>
      <c r="L7" s="12">
        <v>2475</v>
      </c>
      <c r="M7" s="10">
        <v>5</v>
      </c>
      <c r="N7" s="13">
        <v>0.1</v>
      </c>
      <c r="O7" s="14">
        <v>494.31</v>
      </c>
      <c r="P7" s="10" t="s">
        <v>56</v>
      </c>
    </row>
    <row r="8" spans="1:16">
      <c r="A8" s="10" t="s">
        <v>57</v>
      </c>
      <c r="B8" s="11">
        <v>45978</v>
      </c>
      <c r="C8" s="11">
        <v>45953</v>
      </c>
      <c r="D8" s="10" t="s">
        <v>58</v>
      </c>
      <c r="E8" s="10" t="s">
        <v>59</v>
      </c>
      <c r="F8" s="10" t="s">
        <v>43</v>
      </c>
      <c r="G8" s="10" t="s">
        <v>60</v>
      </c>
      <c r="H8" s="10" t="s">
        <v>61</v>
      </c>
      <c r="I8" s="10" t="s">
        <v>37</v>
      </c>
      <c r="J8" s="10" t="s">
        <v>38</v>
      </c>
      <c r="K8" s="10" t="s">
        <v>62</v>
      </c>
      <c r="L8" s="12">
        <v>21675</v>
      </c>
      <c r="M8" s="10">
        <v>3</v>
      </c>
      <c r="N8" s="13">
        <v>0.15</v>
      </c>
      <c r="O8" s="14">
        <v>3639.82</v>
      </c>
      <c r="P8" s="10" t="s">
        <v>63</v>
      </c>
    </row>
    <row r="9" spans="1:16">
      <c r="A9" s="10" t="s">
        <v>64</v>
      </c>
      <c r="B9" s="11">
        <v>45516</v>
      </c>
      <c r="C9" s="11">
        <v>45954</v>
      </c>
      <c r="D9" s="10" t="s">
        <v>65</v>
      </c>
      <c r="E9" s="10" t="s">
        <v>66</v>
      </c>
      <c r="F9" s="10" t="s">
        <v>19</v>
      </c>
      <c r="G9" s="10" t="s">
        <v>67</v>
      </c>
      <c r="H9" s="10" t="s">
        <v>68</v>
      </c>
      <c r="I9" s="10" t="s">
        <v>22</v>
      </c>
      <c r="J9" s="10" t="s">
        <v>38</v>
      </c>
      <c r="K9" s="10" t="s">
        <v>39</v>
      </c>
      <c r="L9" s="12">
        <v>902.5</v>
      </c>
      <c r="M9" s="10">
        <v>1</v>
      </c>
      <c r="N9" s="13">
        <v>0.05</v>
      </c>
      <c r="O9" s="14">
        <v>242.05</v>
      </c>
      <c r="P9" s="10" t="s">
        <v>69</v>
      </c>
    </row>
    <row r="10" spans="1:16">
      <c r="A10" s="10" t="s">
        <v>70</v>
      </c>
      <c r="B10" s="11">
        <v>45509</v>
      </c>
      <c r="C10" s="11">
        <v>45955</v>
      </c>
      <c r="D10" s="10" t="s">
        <v>71</v>
      </c>
      <c r="E10" s="10" t="s">
        <v>72</v>
      </c>
      <c r="F10" s="10" t="s">
        <v>43</v>
      </c>
      <c r="G10" s="10" t="s">
        <v>73</v>
      </c>
      <c r="H10" s="10" t="s">
        <v>74</v>
      </c>
      <c r="I10" s="10" t="s">
        <v>75</v>
      </c>
      <c r="J10" s="10" t="s">
        <v>76</v>
      </c>
      <c r="K10" s="10" t="s">
        <v>77</v>
      </c>
      <c r="L10" s="12">
        <v>4560</v>
      </c>
      <c r="M10" s="10">
        <v>3</v>
      </c>
      <c r="N10" s="13">
        <v>0.05</v>
      </c>
      <c r="O10" s="14">
        <v>1533.05</v>
      </c>
      <c r="P10" s="10" t="s">
        <v>63</v>
      </c>
    </row>
    <row r="11" spans="1:16">
      <c r="A11" s="10" t="s">
        <v>78</v>
      </c>
      <c r="B11" s="11">
        <v>45730</v>
      </c>
      <c r="C11" s="11">
        <v>45956</v>
      </c>
      <c r="D11" s="10" t="s">
        <v>79</v>
      </c>
      <c r="E11" s="10" t="s">
        <v>80</v>
      </c>
      <c r="F11" s="10" t="s">
        <v>29</v>
      </c>
      <c r="G11" s="10" t="s">
        <v>81</v>
      </c>
      <c r="H11" s="10" t="s">
        <v>68</v>
      </c>
      <c r="I11" s="10" t="s">
        <v>22</v>
      </c>
      <c r="J11" s="10" t="s">
        <v>23</v>
      </c>
      <c r="K11" s="10" t="s">
        <v>24</v>
      </c>
      <c r="L11" s="12">
        <v>16575</v>
      </c>
      <c r="M11" s="10">
        <v>3</v>
      </c>
      <c r="N11" s="13">
        <v>0.15</v>
      </c>
      <c r="O11" s="14">
        <v>3798.76</v>
      </c>
      <c r="P11" s="10" t="s">
        <v>56</v>
      </c>
    </row>
    <row r="12" spans="1:16">
      <c r="A12" s="10" t="s">
        <v>82</v>
      </c>
      <c r="B12" s="11">
        <v>45934</v>
      </c>
      <c r="C12" s="11">
        <v>45957</v>
      </c>
      <c r="D12" s="10" t="s">
        <v>83</v>
      </c>
      <c r="E12" s="10" t="s">
        <v>84</v>
      </c>
      <c r="F12" s="10" t="s">
        <v>19</v>
      </c>
      <c r="G12" s="10" t="s">
        <v>35</v>
      </c>
      <c r="H12" s="10" t="s">
        <v>36</v>
      </c>
      <c r="I12" s="10" t="s">
        <v>37</v>
      </c>
      <c r="J12" s="10" t="s">
        <v>76</v>
      </c>
      <c r="K12" s="10" t="s">
        <v>85</v>
      </c>
      <c r="L12" s="12">
        <v>396</v>
      </c>
      <c r="M12" s="10">
        <v>2</v>
      </c>
      <c r="N12" s="13">
        <v>0.1</v>
      </c>
      <c r="O12" s="14">
        <v>105.25</v>
      </c>
      <c r="P12" s="10" t="s">
        <v>48</v>
      </c>
    </row>
    <row r="13" spans="1:16">
      <c r="A13" s="10" t="s">
        <v>86</v>
      </c>
      <c r="B13" s="11">
        <v>45988</v>
      </c>
      <c r="C13" s="11">
        <v>45958</v>
      </c>
      <c r="D13" s="10" t="s">
        <v>87</v>
      </c>
      <c r="E13" s="10" t="s">
        <v>88</v>
      </c>
      <c r="F13" s="10" t="s">
        <v>19</v>
      </c>
      <c r="G13" s="10" t="s">
        <v>20</v>
      </c>
      <c r="H13" s="10" t="s">
        <v>21</v>
      </c>
      <c r="I13" s="10" t="s">
        <v>22</v>
      </c>
      <c r="J13" s="10" t="s">
        <v>23</v>
      </c>
      <c r="K13" s="10" t="s">
        <v>89</v>
      </c>
      <c r="L13" s="12">
        <v>5320</v>
      </c>
      <c r="M13" s="10">
        <v>2</v>
      </c>
      <c r="N13" s="13">
        <v>0.05</v>
      </c>
      <c r="O13" s="14">
        <v>1380.33</v>
      </c>
      <c r="P13" s="10" t="s">
        <v>69</v>
      </c>
    </row>
    <row r="14" spans="1:16">
      <c r="A14" s="10" t="s">
        <v>90</v>
      </c>
      <c r="B14" s="11">
        <v>46287</v>
      </c>
      <c r="C14" s="11">
        <v>45959</v>
      </c>
      <c r="D14" s="10" t="s">
        <v>91</v>
      </c>
      <c r="E14" s="10" t="s">
        <v>92</v>
      </c>
      <c r="F14" s="10" t="s">
        <v>29</v>
      </c>
      <c r="G14" s="10" t="s">
        <v>35</v>
      </c>
      <c r="H14" s="10" t="s">
        <v>36</v>
      </c>
      <c r="I14" s="10" t="s">
        <v>37</v>
      </c>
      <c r="J14" s="10" t="s">
        <v>30</v>
      </c>
      <c r="K14" s="10" t="s">
        <v>93</v>
      </c>
      <c r="L14" s="12">
        <v>144</v>
      </c>
      <c r="M14" s="10">
        <v>2</v>
      </c>
      <c r="N14" s="13">
        <v>0.2</v>
      </c>
      <c r="O14" s="14">
        <v>39.229999999999997</v>
      </c>
      <c r="P14" s="10" t="s">
        <v>56</v>
      </c>
    </row>
    <row r="15" spans="1:16">
      <c r="A15" s="10" t="s">
        <v>94</v>
      </c>
      <c r="B15" s="11">
        <v>45674</v>
      </c>
      <c r="C15" s="11">
        <v>45960</v>
      </c>
      <c r="D15" s="10" t="s">
        <v>95</v>
      </c>
      <c r="E15" s="10" t="s">
        <v>96</v>
      </c>
      <c r="F15" s="10" t="s">
        <v>43</v>
      </c>
      <c r="G15" s="10" t="s">
        <v>97</v>
      </c>
      <c r="H15" s="10" t="s">
        <v>21</v>
      </c>
      <c r="I15" s="10" t="s">
        <v>22</v>
      </c>
      <c r="J15" s="10" t="s">
        <v>38</v>
      </c>
      <c r="K15" s="10" t="s">
        <v>62</v>
      </c>
      <c r="L15" s="12">
        <v>45900</v>
      </c>
      <c r="M15" s="10">
        <v>6</v>
      </c>
      <c r="N15" s="13">
        <v>0.1</v>
      </c>
      <c r="O15" s="14">
        <v>16521.060000000001</v>
      </c>
      <c r="P15" s="10" t="s">
        <v>56</v>
      </c>
    </row>
    <row r="16" spans="1:16">
      <c r="A16" s="10" t="s">
        <v>98</v>
      </c>
      <c r="B16" s="11">
        <v>45351</v>
      </c>
      <c r="C16" s="11">
        <v>45961</v>
      </c>
      <c r="D16" s="10" t="s">
        <v>99</v>
      </c>
      <c r="E16" s="10" t="s">
        <v>100</v>
      </c>
      <c r="F16" s="10" t="s">
        <v>19</v>
      </c>
      <c r="G16" s="10" t="s">
        <v>101</v>
      </c>
      <c r="H16" s="10" t="s">
        <v>102</v>
      </c>
      <c r="I16" s="10" t="s">
        <v>103</v>
      </c>
      <c r="J16" s="10" t="s">
        <v>38</v>
      </c>
      <c r="K16" s="10" t="s">
        <v>104</v>
      </c>
      <c r="L16" s="12">
        <v>5200</v>
      </c>
      <c r="M16" s="10">
        <v>8</v>
      </c>
      <c r="N16" s="13">
        <v>0</v>
      </c>
      <c r="O16" s="14">
        <v>653.76</v>
      </c>
      <c r="P16" s="10" t="s">
        <v>25</v>
      </c>
    </row>
    <row r="17" spans="1:16">
      <c r="A17" s="10" t="s">
        <v>105</v>
      </c>
      <c r="B17" s="11">
        <v>46261</v>
      </c>
      <c r="C17" s="11">
        <v>45962</v>
      </c>
      <c r="D17" s="10" t="s">
        <v>79</v>
      </c>
      <c r="E17" s="10" t="s">
        <v>106</v>
      </c>
      <c r="F17" s="10" t="s">
        <v>43</v>
      </c>
      <c r="G17" s="10" t="s">
        <v>97</v>
      </c>
      <c r="H17" s="10" t="s">
        <v>21</v>
      </c>
      <c r="I17" s="10" t="s">
        <v>22</v>
      </c>
      <c r="J17" s="10" t="s">
        <v>23</v>
      </c>
      <c r="K17" s="10" t="s">
        <v>47</v>
      </c>
      <c r="L17" s="12">
        <v>21700</v>
      </c>
      <c r="M17" s="10">
        <v>7</v>
      </c>
      <c r="N17" s="13">
        <v>0</v>
      </c>
      <c r="O17" s="14">
        <v>3005.07</v>
      </c>
      <c r="P17" s="10" t="s">
        <v>25</v>
      </c>
    </row>
    <row r="18" spans="1:16">
      <c r="A18" s="10" t="s">
        <v>107</v>
      </c>
      <c r="B18" s="11">
        <v>45979</v>
      </c>
      <c r="C18" s="11">
        <v>45963</v>
      </c>
      <c r="D18" s="10" t="s">
        <v>65</v>
      </c>
      <c r="E18" s="10" t="s">
        <v>108</v>
      </c>
      <c r="F18" s="10" t="s">
        <v>19</v>
      </c>
      <c r="G18" s="10" t="s">
        <v>67</v>
      </c>
      <c r="H18" s="10" t="s">
        <v>68</v>
      </c>
      <c r="I18" s="10" t="s">
        <v>22</v>
      </c>
      <c r="J18" s="10" t="s">
        <v>76</v>
      </c>
      <c r="K18" s="10" t="s">
        <v>85</v>
      </c>
      <c r="L18" s="12">
        <v>1760</v>
      </c>
      <c r="M18" s="10">
        <v>8</v>
      </c>
      <c r="N18" s="13">
        <v>0</v>
      </c>
      <c r="O18" s="14">
        <v>555.36</v>
      </c>
      <c r="P18" s="10" t="s">
        <v>63</v>
      </c>
    </row>
    <row r="19" spans="1:16">
      <c r="A19" s="10" t="s">
        <v>109</v>
      </c>
      <c r="B19" s="11">
        <v>45527</v>
      </c>
      <c r="C19" s="11">
        <v>45964</v>
      </c>
      <c r="D19" s="10" t="s">
        <v>110</v>
      </c>
      <c r="E19" s="10" t="s">
        <v>34</v>
      </c>
      <c r="F19" s="10" t="s">
        <v>19</v>
      </c>
      <c r="G19" s="10" t="s">
        <v>111</v>
      </c>
      <c r="H19" s="10" t="s">
        <v>21</v>
      </c>
      <c r="I19" s="10" t="s">
        <v>22</v>
      </c>
      <c r="J19" s="10" t="s">
        <v>38</v>
      </c>
      <c r="K19" s="10" t="s">
        <v>104</v>
      </c>
      <c r="L19" s="12">
        <v>650</v>
      </c>
      <c r="M19" s="10">
        <v>1</v>
      </c>
      <c r="N19" s="13">
        <v>0</v>
      </c>
      <c r="O19" s="14">
        <v>235.61</v>
      </c>
      <c r="P19" s="10" t="s">
        <v>56</v>
      </c>
    </row>
    <row r="20" spans="1:16">
      <c r="A20" s="10" t="s">
        <v>112</v>
      </c>
      <c r="B20" s="11">
        <v>45577</v>
      </c>
      <c r="C20" s="11">
        <v>45965</v>
      </c>
      <c r="D20" s="10" t="s">
        <v>113</v>
      </c>
      <c r="E20" s="10" t="s">
        <v>114</v>
      </c>
      <c r="F20" s="10" t="s">
        <v>29</v>
      </c>
      <c r="G20" s="10" t="s">
        <v>73</v>
      </c>
      <c r="H20" s="10" t="s">
        <v>74</v>
      </c>
      <c r="I20" s="10" t="s">
        <v>75</v>
      </c>
      <c r="J20" s="10" t="s">
        <v>30</v>
      </c>
      <c r="K20" s="10" t="s">
        <v>93</v>
      </c>
      <c r="L20" s="12">
        <v>216</v>
      </c>
      <c r="M20" s="10">
        <v>3</v>
      </c>
      <c r="N20" s="13">
        <v>0.2</v>
      </c>
      <c r="O20" s="14">
        <v>23.06</v>
      </c>
      <c r="P20" s="10" t="s">
        <v>25</v>
      </c>
    </row>
    <row r="21" spans="1:16">
      <c r="A21" s="10" t="s">
        <v>115</v>
      </c>
      <c r="B21" s="11">
        <v>46118</v>
      </c>
      <c r="C21" s="11">
        <v>45966</v>
      </c>
      <c r="D21" s="10" t="s">
        <v>83</v>
      </c>
      <c r="E21" s="10" t="s">
        <v>116</v>
      </c>
      <c r="F21" s="10" t="s">
        <v>19</v>
      </c>
      <c r="G21" s="10" t="s">
        <v>111</v>
      </c>
      <c r="H21" s="10" t="s">
        <v>21</v>
      </c>
      <c r="I21" s="10" t="s">
        <v>22</v>
      </c>
      <c r="J21" s="10" t="s">
        <v>38</v>
      </c>
      <c r="K21" s="10" t="s">
        <v>104</v>
      </c>
      <c r="L21" s="12">
        <v>4322.5</v>
      </c>
      <c r="M21" s="10">
        <v>7</v>
      </c>
      <c r="N21" s="13">
        <v>0.05</v>
      </c>
      <c r="O21" s="14">
        <v>1134.0899999999999</v>
      </c>
      <c r="P21" s="10" t="s">
        <v>48</v>
      </c>
    </row>
    <row r="22" spans="1:16">
      <c r="A22" s="10" t="s">
        <v>117</v>
      </c>
      <c r="B22" s="11">
        <v>45354</v>
      </c>
      <c r="C22" s="11">
        <v>45967</v>
      </c>
      <c r="D22" s="10" t="s">
        <v>118</v>
      </c>
      <c r="E22" s="10" t="s">
        <v>119</v>
      </c>
      <c r="F22" s="10" t="s">
        <v>29</v>
      </c>
      <c r="G22" s="10" t="s">
        <v>60</v>
      </c>
      <c r="H22" s="10" t="s">
        <v>61</v>
      </c>
      <c r="I22" s="10" t="s">
        <v>37</v>
      </c>
      <c r="J22" s="10" t="s">
        <v>23</v>
      </c>
      <c r="K22" s="10" t="s">
        <v>120</v>
      </c>
      <c r="L22" s="12">
        <v>16800</v>
      </c>
      <c r="M22" s="10">
        <v>4</v>
      </c>
      <c r="N22" s="13">
        <v>0</v>
      </c>
      <c r="O22" s="14">
        <v>5553.17</v>
      </c>
      <c r="P22" s="10" t="s">
        <v>69</v>
      </c>
    </row>
    <row r="23" spans="1:16">
      <c r="A23" s="10" t="s">
        <v>121</v>
      </c>
      <c r="B23" s="11">
        <v>45765</v>
      </c>
      <c r="C23" s="11">
        <v>45968</v>
      </c>
      <c r="D23" s="10" t="s">
        <v>122</v>
      </c>
      <c r="E23" s="10" t="s">
        <v>123</v>
      </c>
      <c r="F23" s="10" t="s">
        <v>29</v>
      </c>
      <c r="G23" s="10" t="s">
        <v>44</v>
      </c>
      <c r="H23" s="10" t="s">
        <v>45</v>
      </c>
      <c r="I23" s="10" t="s">
        <v>46</v>
      </c>
      <c r="J23" s="10" t="s">
        <v>38</v>
      </c>
      <c r="K23" s="10" t="s">
        <v>55</v>
      </c>
      <c r="L23" s="12">
        <v>1100</v>
      </c>
      <c r="M23" s="10">
        <v>2</v>
      </c>
      <c r="N23" s="13">
        <v>0</v>
      </c>
      <c r="O23" s="14">
        <v>231.49</v>
      </c>
      <c r="P23" s="10" t="s">
        <v>56</v>
      </c>
    </row>
    <row r="24" spans="1:16">
      <c r="A24" s="10" t="s">
        <v>124</v>
      </c>
      <c r="B24" s="11">
        <v>45708</v>
      </c>
      <c r="C24" s="11">
        <v>45969</v>
      </c>
      <c r="D24" s="10" t="s">
        <v>125</v>
      </c>
      <c r="E24" s="10" t="s">
        <v>126</v>
      </c>
      <c r="F24" s="10" t="s">
        <v>43</v>
      </c>
      <c r="G24" s="10" t="s">
        <v>73</v>
      </c>
      <c r="H24" s="10" t="s">
        <v>74</v>
      </c>
      <c r="I24" s="10" t="s">
        <v>75</v>
      </c>
      <c r="J24" s="10" t="s">
        <v>30</v>
      </c>
      <c r="K24" s="10" t="s">
        <v>127</v>
      </c>
      <c r="L24" s="12">
        <v>150</v>
      </c>
      <c r="M24" s="10">
        <v>1</v>
      </c>
      <c r="N24" s="13">
        <v>0</v>
      </c>
      <c r="O24" s="14">
        <v>42.22</v>
      </c>
      <c r="P24" s="10" t="s">
        <v>69</v>
      </c>
    </row>
    <row r="25" spans="1:16">
      <c r="A25" s="10" t="s">
        <v>128</v>
      </c>
      <c r="B25" s="11">
        <v>45725</v>
      </c>
      <c r="C25" s="11">
        <v>45970</v>
      </c>
      <c r="D25" s="10" t="s">
        <v>129</v>
      </c>
      <c r="E25" s="10" t="s">
        <v>130</v>
      </c>
      <c r="F25" s="10" t="s">
        <v>19</v>
      </c>
      <c r="G25" s="10" t="s">
        <v>60</v>
      </c>
      <c r="H25" s="10" t="s">
        <v>61</v>
      </c>
      <c r="I25" s="10" t="s">
        <v>37</v>
      </c>
      <c r="J25" s="10" t="s">
        <v>76</v>
      </c>
      <c r="K25" s="10" t="s">
        <v>131</v>
      </c>
      <c r="L25" s="12">
        <v>1330</v>
      </c>
      <c r="M25" s="10">
        <v>4</v>
      </c>
      <c r="N25" s="13">
        <v>0.05</v>
      </c>
      <c r="O25" s="14">
        <v>420.14</v>
      </c>
      <c r="P25" s="10" t="s">
        <v>48</v>
      </c>
    </row>
    <row r="26" spans="1:16">
      <c r="A26" s="10" t="s">
        <v>132</v>
      </c>
      <c r="B26" s="11">
        <v>46057</v>
      </c>
      <c r="C26" s="11">
        <v>45971</v>
      </c>
      <c r="D26" s="10" t="s">
        <v>133</v>
      </c>
      <c r="E26" s="10" t="s">
        <v>134</v>
      </c>
      <c r="F26" s="10" t="s">
        <v>19</v>
      </c>
      <c r="G26" s="10" t="s">
        <v>135</v>
      </c>
      <c r="H26" s="10" t="s">
        <v>21</v>
      </c>
      <c r="I26" s="10" t="s">
        <v>22</v>
      </c>
      <c r="J26" s="10" t="s">
        <v>38</v>
      </c>
      <c r="K26" s="10" t="s">
        <v>62</v>
      </c>
      <c r="L26" s="12">
        <v>57800</v>
      </c>
      <c r="M26" s="10">
        <v>8</v>
      </c>
      <c r="N26" s="13">
        <v>0.15</v>
      </c>
      <c r="O26" s="14">
        <v>6846.95</v>
      </c>
      <c r="P26" s="10" t="s">
        <v>48</v>
      </c>
    </row>
    <row r="27" spans="1:16">
      <c r="A27" s="10" t="s">
        <v>136</v>
      </c>
      <c r="B27" s="11">
        <v>46163</v>
      </c>
      <c r="C27" s="11">
        <v>45972</v>
      </c>
      <c r="D27" s="10" t="s">
        <v>137</v>
      </c>
      <c r="E27" s="10" t="s">
        <v>138</v>
      </c>
      <c r="F27" s="10" t="s">
        <v>19</v>
      </c>
      <c r="G27" s="10" t="s">
        <v>20</v>
      </c>
      <c r="H27" s="10" t="s">
        <v>21</v>
      </c>
      <c r="I27" s="10" t="s">
        <v>22</v>
      </c>
      <c r="J27" s="10" t="s">
        <v>38</v>
      </c>
      <c r="K27" s="10" t="s">
        <v>39</v>
      </c>
      <c r="L27" s="12">
        <v>6650</v>
      </c>
      <c r="M27" s="10">
        <v>7</v>
      </c>
      <c r="N27" s="13">
        <v>0</v>
      </c>
      <c r="O27" s="14">
        <v>898.98</v>
      </c>
      <c r="P27" s="10" t="s">
        <v>48</v>
      </c>
    </row>
    <row r="28" spans="1:16">
      <c r="A28" s="10" t="s">
        <v>139</v>
      </c>
      <c r="B28" s="11">
        <v>45926</v>
      </c>
      <c r="C28" s="11">
        <v>45973</v>
      </c>
      <c r="D28" s="10" t="s">
        <v>140</v>
      </c>
      <c r="E28" s="10" t="s">
        <v>141</v>
      </c>
      <c r="F28" s="10" t="s">
        <v>29</v>
      </c>
      <c r="G28" s="10" t="s">
        <v>81</v>
      </c>
      <c r="H28" s="10" t="s">
        <v>68</v>
      </c>
      <c r="I28" s="10" t="s">
        <v>22</v>
      </c>
      <c r="J28" s="10" t="s">
        <v>23</v>
      </c>
      <c r="K28" s="10" t="s">
        <v>89</v>
      </c>
      <c r="L28" s="12">
        <v>8960</v>
      </c>
      <c r="M28" s="10">
        <v>4</v>
      </c>
      <c r="N28" s="13">
        <v>0.2</v>
      </c>
      <c r="O28" s="14">
        <v>1467.56</v>
      </c>
      <c r="P28" s="10" t="s">
        <v>69</v>
      </c>
    </row>
    <row r="29" spans="1:16">
      <c r="A29" s="10" t="s">
        <v>142</v>
      </c>
      <c r="B29" s="11">
        <v>45760</v>
      </c>
      <c r="C29" s="11">
        <v>45974</v>
      </c>
      <c r="D29" s="10" t="s">
        <v>143</v>
      </c>
      <c r="E29" s="10" t="s">
        <v>144</v>
      </c>
      <c r="F29" s="10" t="s">
        <v>29</v>
      </c>
      <c r="G29" s="10" t="s">
        <v>101</v>
      </c>
      <c r="H29" s="10" t="s">
        <v>102</v>
      </c>
      <c r="I29" s="10" t="s">
        <v>103</v>
      </c>
      <c r="J29" s="10" t="s">
        <v>38</v>
      </c>
      <c r="K29" s="10" t="s">
        <v>104</v>
      </c>
      <c r="L29" s="12">
        <v>4420</v>
      </c>
      <c r="M29" s="10">
        <v>8</v>
      </c>
      <c r="N29" s="13">
        <v>0.15</v>
      </c>
      <c r="O29" s="14">
        <v>432.73</v>
      </c>
      <c r="P29" s="10" t="s">
        <v>63</v>
      </c>
    </row>
    <row r="30" spans="1:16">
      <c r="A30" s="10" t="s">
        <v>145</v>
      </c>
      <c r="B30" s="11">
        <v>45563</v>
      </c>
      <c r="C30" s="11">
        <v>45975</v>
      </c>
      <c r="D30" s="10" t="s">
        <v>146</v>
      </c>
      <c r="E30" s="10" t="s">
        <v>147</v>
      </c>
      <c r="F30" s="10" t="s">
        <v>43</v>
      </c>
      <c r="G30" s="10" t="s">
        <v>101</v>
      </c>
      <c r="H30" s="10" t="s">
        <v>102</v>
      </c>
      <c r="I30" s="10" t="s">
        <v>103</v>
      </c>
      <c r="J30" s="10" t="s">
        <v>23</v>
      </c>
      <c r="K30" s="10" t="s">
        <v>120</v>
      </c>
      <c r="L30" s="12">
        <v>15960</v>
      </c>
      <c r="M30" s="10">
        <v>4</v>
      </c>
      <c r="N30" s="13">
        <v>0.05</v>
      </c>
      <c r="O30" s="14">
        <v>4762.5200000000004</v>
      </c>
      <c r="P30" s="10" t="s">
        <v>63</v>
      </c>
    </row>
    <row r="31" spans="1:16">
      <c r="A31" s="10" t="s">
        <v>148</v>
      </c>
      <c r="B31" s="11">
        <v>46118</v>
      </c>
      <c r="C31" s="11">
        <v>45976</v>
      </c>
      <c r="D31" s="10" t="s">
        <v>149</v>
      </c>
      <c r="E31" s="10" t="s">
        <v>150</v>
      </c>
      <c r="F31" s="10" t="s">
        <v>29</v>
      </c>
      <c r="G31" s="10" t="s">
        <v>151</v>
      </c>
      <c r="H31" s="10" t="s">
        <v>151</v>
      </c>
      <c r="I31" s="10" t="s">
        <v>75</v>
      </c>
      <c r="J31" s="10" t="s">
        <v>38</v>
      </c>
      <c r="K31" s="10" t="s">
        <v>62</v>
      </c>
      <c r="L31" s="12">
        <v>34000</v>
      </c>
      <c r="M31" s="10">
        <v>5</v>
      </c>
      <c r="N31" s="13">
        <v>0.2</v>
      </c>
      <c r="O31" s="14">
        <v>10984.3</v>
      </c>
      <c r="P31" s="10" t="s">
        <v>48</v>
      </c>
    </row>
    <row r="32" spans="1:16">
      <c r="A32" s="10" t="s">
        <v>152</v>
      </c>
      <c r="B32" s="11">
        <v>46052</v>
      </c>
      <c r="C32" s="11">
        <v>45977</v>
      </c>
      <c r="D32" s="10" t="s">
        <v>153</v>
      </c>
      <c r="E32" s="10" t="s">
        <v>154</v>
      </c>
      <c r="F32" s="10" t="s">
        <v>43</v>
      </c>
      <c r="G32" s="10" t="s">
        <v>97</v>
      </c>
      <c r="H32" s="10" t="s">
        <v>21</v>
      </c>
      <c r="I32" s="10" t="s">
        <v>22</v>
      </c>
      <c r="J32" s="10" t="s">
        <v>23</v>
      </c>
      <c r="K32" s="10" t="s">
        <v>89</v>
      </c>
      <c r="L32" s="12">
        <v>8960</v>
      </c>
      <c r="M32" s="10">
        <v>4</v>
      </c>
      <c r="N32" s="13">
        <v>0.2</v>
      </c>
      <c r="O32" s="14">
        <v>2337.23</v>
      </c>
      <c r="P32" s="10" t="s">
        <v>69</v>
      </c>
    </row>
    <row r="33" spans="1:16">
      <c r="A33" s="10" t="s">
        <v>155</v>
      </c>
      <c r="B33" s="11">
        <v>46219</v>
      </c>
      <c r="C33" s="11">
        <v>45978</v>
      </c>
      <c r="D33" s="10" t="s">
        <v>156</v>
      </c>
      <c r="E33" s="10" t="s">
        <v>157</v>
      </c>
      <c r="F33" s="10" t="s">
        <v>43</v>
      </c>
      <c r="G33" s="10" t="s">
        <v>135</v>
      </c>
      <c r="H33" s="10" t="s">
        <v>21</v>
      </c>
      <c r="I33" s="10" t="s">
        <v>22</v>
      </c>
      <c r="J33" s="10" t="s">
        <v>38</v>
      </c>
      <c r="K33" s="10" t="s">
        <v>55</v>
      </c>
      <c r="L33" s="12">
        <v>2750</v>
      </c>
      <c r="M33" s="10">
        <v>5</v>
      </c>
      <c r="N33" s="13">
        <v>0</v>
      </c>
      <c r="O33" s="14">
        <v>1042.46</v>
      </c>
      <c r="P33" s="10" t="s">
        <v>56</v>
      </c>
    </row>
    <row r="34" spans="1:16">
      <c r="A34" s="10" t="s">
        <v>158</v>
      </c>
      <c r="B34" s="11">
        <v>46051</v>
      </c>
      <c r="C34" s="11">
        <v>45979</v>
      </c>
      <c r="D34" s="10" t="s">
        <v>159</v>
      </c>
      <c r="E34" s="10" t="s">
        <v>160</v>
      </c>
      <c r="F34" s="10" t="s">
        <v>29</v>
      </c>
      <c r="G34" s="10" t="s">
        <v>151</v>
      </c>
      <c r="H34" s="10" t="s">
        <v>151</v>
      </c>
      <c r="I34" s="10" t="s">
        <v>75</v>
      </c>
      <c r="J34" s="10" t="s">
        <v>76</v>
      </c>
      <c r="K34" s="10" t="s">
        <v>85</v>
      </c>
      <c r="L34" s="12">
        <v>220</v>
      </c>
      <c r="M34" s="10">
        <v>1</v>
      </c>
      <c r="N34" s="13">
        <v>0</v>
      </c>
      <c r="O34" s="14">
        <v>79.3</v>
      </c>
      <c r="P34" s="10" t="s">
        <v>69</v>
      </c>
    </row>
    <row r="35" spans="1:16">
      <c r="A35" s="10" t="s">
        <v>161</v>
      </c>
      <c r="B35" s="11">
        <v>45888</v>
      </c>
      <c r="C35" s="11">
        <v>45980</v>
      </c>
      <c r="D35" s="10" t="s">
        <v>162</v>
      </c>
      <c r="E35" s="10" t="s">
        <v>163</v>
      </c>
      <c r="F35" s="10" t="s">
        <v>43</v>
      </c>
      <c r="G35" s="10" t="s">
        <v>97</v>
      </c>
      <c r="H35" s="10" t="s">
        <v>21</v>
      </c>
      <c r="I35" s="10" t="s">
        <v>22</v>
      </c>
      <c r="J35" s="10" t="s">
        <v>76</v>
      </c>
      <c r="K35" s="10" t="s">
        <v>131</v>
      </c>
      <c r="L35" s="12">
        <v>332.5</v>
      </c>
      <c r="M35" s="10">
        <v>1</v>
      </c>
      <c r="N35" s="13">
        <v>0.05</v>
      </c>
      <c r="O35" s="14">
        <v>92.33</v>
      </c>
      <c r="P35" s="10" t="s">
        <v>56</v>
      </c>
    </row>
    <row r="36" spans="1:16">
      <c r="A36" s="10" t="s">
        <v>164</v>
      </c>
      <c r="B36" s="11">
        <v>45990</v>
      </c>
      <c r="C36" s="11">
        <v>45981</v>
      </c>
      <c r="D36" s="10" t="s">
        <v>165</v>
      </c>
      <c r="E36" s="10" t="s">
        <v>166</v>
      </c>
      <c r="F36" s="10" t="s">
        <v>29</v>
      </c>
      <c r="G36" s="10" t="s">
        <v>167</v>
      </c>
      <c r="H36" s="10" t="s">
        <v>168</v>
      </c>
      <c r="I36" s="10" t="s">
        <v>37</v>
      </c>
      <c r="J36" s="10" t="s">
        <v>38</v>
      </c>
      <c r="K36" s="10" t="s">
        <v>169</v>
      </c>
      <c r="L36" s="12">
        <v>8627.5</v>
      </c>
      <c r="M36" s="10">
        <v>7</v>
      </c>
      <c r="N36" s="13">
        <v>0.15</v>
      </c>
      <c r="O36" s="14">
        <v>1403.14</v>
      </c>
      <c r="P36" s="10" t="s">
        <v>56</v>
      </c>
    </row>
    <row r="37" spans="1:16">
      <c r="A37" s="10" t="s">
        <v>170</v>
      </c>
      <c r="B37" s="11">
        <v>46194</v>
      </c>
      <c r="C37" s="11">
        <v>45982</v>
      </c>
      <c r="D37" s="10" t="s">
        <v>171</v>
      </c>
      <c r="E37" s="10" t="s">
        <v>172</v>
      </c>
      <c r="F37" s="10" t="s">
        <v>29</v>
      </c>
      <c r="G37" s="10" t="s">
        <v>135</v>
      </c>
      <c r="H37" s="10" t="s">
        <v>21</v>
      </c>
      <c r="I37" s="10" t="s">
        <v>22</v>
      </c>
      <c r="J37" s="10" t="s">
        <v>30</v>
      </c>
      <c r="K37" s="10" t="s">
        <v>173</v>
      </c>
      <c r="L37" s="12">
        <v>1792</v>
      </c>
      <c r="M37" s="10">
        <v>7</v>
      </c>
      <c r="N37" s="13">
        <v>0.2</v>
      </c>
      <c r="O37" s="14">
        <v>224.62</v>
      </c>
      <c r="P37" s="10" t="s">
        <v>48</v>
      </c>
    </row>
    <row r="38" spans="1:16">
      <c r="A38" s="10" t="s">
        <v>174</v>
      </c>
      <c r="B38" s="11">
        <v>45683</v>
      </c>
      <c r="C38" s="11">
        <v>45983</v>
      </c>
      <c r="D38" s="10" t="s">
        <v>175</v>
      </c>
      <c r="E38" s="10" t="s">
        <v>176</v>
      </c>
      <c r="F38" s="10" t="s">
        <v>29</v>
      </c>
      <c r="G38" s="10" t="s">
        <v>135</v>
      </c>
      <c r="H38" s="10" t="s">
        <v>21</v>
      </c>
      <c r="I38" s="10" t="s">
        <v>22</v>
      </c>
      <c r="J38" s="10" t="s">
        <v>76</v>
      </c>
      <c r="K38" s="10" t="s">
        <v>131</v>
      </c>
      <c r="L38" s="12">
        <v>1260</v>
      </c>
      <c r="M38" s="10">
        <v>4</v>
      </c>
      <c r="N38" s="13">
        <v>0.1</v>
      </c>
      <c r="O38" s="14">
        <v>345.35</v>
      </c>
      <c r="P38" s="10" t="s">
        <v>56</v>
      </c>
    </row>
    <row r="39" spans="1:16">
      <c r="A39" s="10" t="s">
        <v>177</v>
      </c>
      <c r="B39" s="11">
        <v>45700</v>
      </c>
      <c r="C39" s="11">
        <v>45984</v>
      </c>
      <c r="D39" s="10" t="s">
        <v>17</v>
      </c>
      <c r="E39" s="10" t="s">
        <v>178</v>
      </c>
      <c r="F39" s="10" t="s">
        <v>29</v>
      </c>
      <c r="G39" s="10" t="s">
        <v>179</v>
      </c>
      <c r="H39" s="10" t="s">
        <v>21</v>
      </c>
      <c r="I39" s="10" t="s">
        <v>22</v>
      </c>
      <c r="J39" s="10" t="s">
        <v>38</v>
      </c>
      <c r="K39" s="10" t="s">
        <v>169</v>
      </c>
      <c r="L39" s="12">
        <v>6960</v>
      </c>
      <c r="M39" s="10">
        <v>6</v>
      </c>
      <c r="N39" s="13">
        <v>0.2</v>
      </c>
      <c r="O39" s="14">
        <v>1514.18</v>
      </c>
      <c r="P39" s="10" t="s">
        <v>48</v>
      </c>
    </row>
    <row r="40" spans="1:16">
      <c r="A40" s="10" t="s">
        <v>180</v>
      </c>
      <c r="B40" s="11">
        <v>46190</v>
      </c>
      <c r="C40" s="11">
        <v>45985</v>
      </c>
      <c r="D40" s="10" t="s">
        <v>181</v>
      </c>
      <c r="E40" s="10" t="s">
        <v>182</v>
      </c>
      <c r="F40" s="10" t="s">
        <v>19</v>
      </c>
      <c r="G40" s="10" t="s">
        <v>97</v>
      </c>
      <c r="H40" s="10" t="s">
        <v>21</v>
      </c>
      <c r="I40" s="10" t="s">
        <v>22</v>
      </c>
      <c r="J40" s="10" t="s">
        <v>23</v>
      </c>
      <c r="K40" s="10" t="s">
        <v>120</v>
      </c>
      <c r="L40" s="12">
        <v>7140</v>
      </c>
      <c r="M40" s="10">
        <v>2</v>
      </c>
      <c r="N40" s="13">
        <v>0.15</v>
      </c>
      <c r="O40" s="14">
        <v>1745.83</v>
      </c>
      <c r="P40" s="10" t="s">
        <v>63</v>
      </c>
    </row>
    <row r="41" spans="1:16">
      <c r="A41" s="10" t="s">
        <v>183</v>
      </c>
      <c r="B41" s="11">
        <v>45410</v>
      </c>
      <c r="C41" s="11">
        <v>45986</v>
      </c>
      <c r="D41" s="10" t="s">
        <v>184</v>
      </c>
      <c r="E41" s="10" t="s">
        <v>185</v>
      </c>
      <c r="F41" s="10" t="s">
        <v>19</v>
      </c>
      <c r="G41" s="10" t="s">
        <v>101</v>
      </c>
      <c r="H41" s="10" t="s">
        <v>102</v>
      </c>
      <c r="I41" s="10" t="s">
        <v>103</v>
      </c>
      <c r="J41" s="10" t="s">
        <v>30</v>
      </c>
      <c r="K41" s="10" t="s">
        <v>173</v>
      </c>
      <c r="L41" s="12">
        <v>256</v>
      </c>
      <c r="M41" s="10">
        <v>1</v>
      </c>
      <c r="N41" s="13">
        <v>0.2</v>
      </c>
      <c r="O41" s="14">
        <v>60.58</v>
      </c>
      <c r="P41" s="10" t="s">
        <v>56</v>
      </c>
    </row>
    <row r="42" spans="1:16">
      <c r="A42" s="10" t="s">
        <v>186</v>
      </c>
      <c r="B42" s="11">
        <v>45664</v>
      </c>
      <c r="C42" s="11">
        <v>45987</v>
      </c>
      <c r="D42" s="10" t="s">
        <v>187</v>
      </c>
      <c r="E42" s="10" t="s">
        <v>188</v>
      </c>
      <c r="F42" s="10" t="s">
        <v>43</v>
      </c>
      <c r="G42" s="10" t="s">
        <v>20</v>
      </c>
      <c r="H42" s="10" t="s">
        <v>21</v>
      </c>
      <c r="I42" s="10" t="s">
        <v>22</v>
      </c>
      <c r="J42" s="10" t="s">
        <v>23</v>
      </c>
      <c r="K42" s="10" t="s">
        <v>47</v>
      </c>
      <c r="L42" s="12">
        <v>14880</v>
      </c>
      <c r="M42" s="10">
        <v>6</v>
      </c>
      <c r="N42" s="13">
        <v>0.2</v>
      </c>
      <c r="O42" s="14">
        <v>1927.2</v>
      </c>
      <c r="P42" s="10" t="s">
        <v>25</v>
      </c>
    </row>
    <row r="43" spans="1:16">
      <c r="A43" s="10" t="s">
        <v>189</v>
      </c>
      <c r="B43" s="11">
        <v>45626</v>
      </c>
      <c r="C43" s="11">
        <v>45988</v>
      </c>
      <c r="D43" s="10" t="s">
        <v>190</v>
      </c>
      <c r="E43" s="10" t="s">
        <v>191</v>
      </c>
      <c r="F43" s="10" t="s">
        <v>19</v>
      </c>
      <c r="G43" s="10" t="s">
        <v>60</v>
      </c>
      <c r="H43" s="10" t="s">
        <v>61</v>
      </c>
      <c r="I43" s="10" t="s">
        <v>37</v>
      </c>
      <c r="J43" s="10" t="s">
        <v>23</v>
      </c>
      <c r="K43" s="10" t="s">
        <v>47</v>
      </c>
      <c r="L43" s="12">
        <v>9300</v>
      </c>
      <c r="M43" s="10">
        <v>3</v>
      </c>
      <c r="N43" s="13">
        <v>0</v>
      </c>
      <c r="O43" s="14">
        <v>2517.36</v>
      </c>
      <c r="P43" s="10" t="s">
        <v>56</v>
      </c>
    </row>
    <row r="44" spans="1:16">
      <c r="A44" s="10" t="s">
        <v>192</v>
      </c>
      <c r="B44" s="11">
        <v>45922</v>
      </c>
      <c r="C44" s="11">
        <v>45989</v>
      </c>
      <c r="D44" s="10" t="s">
        <v>193</v>
      </c>
      <c r="E44" s="10" t="s">
        <v>194</v>
      </c>
      <c r="F44" s="10" t="s">
        <v>19</v>
      </c>
      <c r="G44" s="10" t="s">
        <v>179</v>
      </c>
      <c r="H44" s="10" t="s">
        <v>21</v>
      </c>
      <c r="I44" s="10" t="s">
        <v>22</v>
      </c>
      <c r="J44" s="10" t="s">
        <v>76</v>
      </c>
      <c r="K44" s="10" t="s">
        <v>85</v>
      </c>
      <c r="L44" s="12">
        <v>209</v>
      </c>
      <c r="M44" s="10">
        <v>1</v>
      </c>
      <c r="N44" s="13">
        <v>0.05</v>
      </c>
      <c r="O44" s="14">
        <v>62.26</v>
      </c>
      <c r="P44" s="10" t="s">
        <v>69</v>
      </c>
    </row>
    <row r="45" spans="1:16">
      <c r="A45" s="10" t="s">
        <v>195</v>
      </c>
      <c r="B45" s="11">
        <v>45768</v>
      </c>
      <c r="C45" s="11">
        <v>45990</v>
      </c>
      <c r="D45" s="10" t="s">
        <v>196</v>
      </c>
      <c r="E45" s="10" t="s">
        <v>188</v>
      </c>
      <c r="F45" s="10" t="s">
        <v>19</v>
      </c>
      <c r="G45" s="10" t="s">
        <v>73</v>
      </c>
      <c r="H45" s="10" t="s">
        <v>74</v>
      </c>
      <c r="I45" s="10" t="s">
        <v>75</v>
      </c>
      <c r="J45" s="10" t="s">
        <v>30</v>
      </c>
      <c r="K45" s="10" t="s">
        <v>93</v>
      </c>
      <c r="L45" s="12">
        <v>576</v>
      </c>
      <c r="M45" s="10">
        <v>8</v>
      </c>
      <c r="N45" s="13">
        <v>0.2</v>
      </c>
      <c r="O45" s="14">
        <v>176.19</v>
      </c>
      <c r="P45" s="10" t="s">
        <v>63</v>
      </c>
    </row>
    <row r="46" spans="1:16">
      <c r="A46" s="10" t="s">
        <v>197</v>
      </c>
      <c r="B46" s="11">
        <v>45635</v>
      </c>
      <c r="C46" s="11">
        <v>45991</v>
      </c>
      <c r="D46" s="10" t="s">
        <v>198</v>
      </c>
      <c r="E46" s="10" t="s">
        <v>199</v>
      </c>
      <c r="F46" s="10" t="s">
        <v>19</v>
      </c>
      <c r="G46" s="10" t="s">
        <v>44</v>
      </c>
      <c r="H46" s="10" t="s">
        <v>45</v>
      </c>
      <c r="I46" s="10" t="s">
        <v>46</v>
      </c>
      <c r="J46" s="10" t="s">
        <v>30</v>
      </c>
      <c r="K46" s="10" t="s">
        <v>173</v>
      </c>
      <c r="L46" s="12">
        <v>1280</v>
      </c>
      <c r="M46" s="10">
        <v>4</v>
      </c>
      <c r="N46" s="13">
        <v>0</v>
      </c>
      <c r="O46" s="14">
        <v>437.36</v>
      </c>
      <c r="P46" s="10" t="s">
        <v>48</v>
      </c>
    </row>
    <row r="47" spans="1:16">
      <c r="A47" s="10" t="s">
        <v>200</v>
      </c>
      <c r="B47" s="11">
        <v>45758</v>
      </c>
      <c r="C47" s="11">
        <v>45992</v>
      </c>
      <c r="D47" s="10" t="s">
        <v>201</v>
      </c>
      <c r="E47" s="10" t="s">
        <v>202</v>
      </c>
      <c r="F47" s="10" t="s">
        <v>29</v>
      </c>
      <c r="G47" s="10" t="s">
        <v>101</v>
      </c>
      <c r="H47" s="10" t="s">
        <v>102</v>
      </c>
      <c r="I47" s="10" t="s">
        <v>103</v>
      </c>
      <c r="J47" s="10" t="s">
        <v>30</v>
      </c>
      <c r="K47" s="10" t="s">
        <v>127</v>
      </c>
      <c r="L47" s="12">
        <v>1080</v>
      </c>
      <c r="M47" s="10">
        <v>8</v>
      </c>
      <c r="N47" s="13">
        <v>0.1</v>
      </c>
      <c r="O47" s="14">
        <v>325.69</v>
      </c>
      <c r="P47" s="10" t="s">
        <v>25</v>
      </c>
    </row>
    <row r="48" spans="1:16">
      <c r="A48" s="10" t="s">
        <v>203</v>
      </c>
      <c r="B48" s="11">
        <v>45516</v>
      </c>
      <c r="C48" s="11">
        <v>45993</v>
      </c>
      <c r="D48" s="10" t="s">
        <v>204</v>
      </c>
      <c r="E48" s="10" t="s">
        <v>205</v>
      </c>
      <c r="F48" s="10" t="s">
        <v>19</v>
      </c>
      <c r="G48" s="10" t="s">
        <v>35</v>
      </c>
      <c r="H48" s="10" t="s">
        <v>36</v>
      </c>
      <c r="I48" s="10" t="s">
        <v>37</v>
      </c>
      <c r="J48" s="10" t="s">
        <v>76</v>
      </c>
      <c r="K48" s="10" t="s">
        <v>206</v>
      </c>
      <c r="L48" s="12">
        <v>4400</v>
      </c>
      <c r="M48" s="10">
        <v>4</v>
      </c>
      <c r="N48" s="13">
        <v>0</v>
      </c>
      <c r="O48" s="14">
        <v>1149.81</v>
      </c>
      <c r="P48" s="10" t="s">
        <v>63</v>
      </c>
    </row>
    <row r="49" spans="1:16">
      <c r="A49" s="10" t="s">
        <v>207</v>
      </c>
      <c r="B49" s="11">
        <v>45901</v>
      </c>
      <c r="C49" s="11">
        <v>45994</v>
      </c>
      <c r="D49" s="10" t="s">
        <v>208</v>
      </c>
      <c r="E49" s="10" t="s">
        <v>209</v>
      </c>
      <c r="F49" s="10" t="s">
        <v>43</v>
      </c>
      <c r="G49" s="10" t="s">
        <v>35</v>
      </c>
      <c r="H49" s="10" t="s">
        <v>36</v>
      </c>
      <c r="I49" s="10" t="s">
        <v>37</v>
      </c>
      <c r="J49" s="10" t="s">
        <v>76</v>
      </c>
      <c r="K49" s="10" t="s">
        <v>85</v>
      </c>
      <c r="L49" s="12">
        <v>1309</v>
      </c>
      <c r="M49" s="10">
        <v>7</v>
      </c>
      <c r="N49" s="13">
        <v>0.15</v>
      </c>
      <c r="O49" s="14">
        <v>316.20999999999998</v>
      </c>
      <c r="P49" s="10" t="s">
        <v>56</v>
      </c>
    </row>
    <row r="50" spans="1:16">
      <c r="A50" s="10" t="s">
        <v>210</v>
      </c>
      <c r="B50" s="11">
        <v>46152</v>
      </c>
      <c r="C50" s="11">
        <v>45995</v>
      </c>
      <c r="D50" s="10" t="s">
        <v>211</v>
      </c>
      <c r="E50" s="10" t="s">
        <v>172</v>
      </c>
      <c r="F50" s="10" t="s">
        <v>43</v>
      </c>
      <c r="G50" s="10" t="s">
        <v>179</v>
      </c>
      <c r="H50" s="10" t="s">
        <v>21</v>
      </c>
      <c r="I50" s="10" t="s">
        <v>22</v>
      </c>
      <c r="J50" s="10" t="s">
        <v>76</v>
      </c>
      <c r="K50" s="10" t="s">
        <v>131</v>
      </c>
      <c r="L50" s="12">
        <v>1575</v>
      </c>
      <c r="M50" s="10">
        <v>5</v>
      </c>
      <c r="N50" s="13">
        <v>0.1</v>
      </c>
      <c r="O50" s="14">
        <v>543.15</v>
      </c>
      <c r="P50" s="10" t="s">
        <v>69</v>
      </c>
    </row>
    <row r="51" spans="1:16">
      <c r="A51" s="10" t="s">
        <v>212</v>
      </c>
      <c r="B51" s="11">
        <v>46206</v>
      </c>
      <c r="C51" s="11">
        <v>45996</v>
      </c>
      <c r="D51" s="10" t="s">
        <v>213</v>
      </c>
      <c r="E51" s="10" t="s">
        <v>214</v>
      </c>
      <c r="F51" s="10" t="s">
        <v>43</v>
      </c>
      <c r="G51" s="10" t="s">
        <v>20</v>
      </c>
      <c r="H51" s="10" t="s">
        <v>21</v>
      </c>
      <c r="I51" s="10" t="s">
        <v>22</v>
      </c>
      <c r="J51" s="10" t="s">
        <v>30</v>
      </c>
      <c r="K51" s="10" t="s">
        <v>31</v>
      </c>
      <c r="L51" s="12">
        <v>432</v>
      </c>
      <c r="M51" s="10">
        <v>4</v>
      </c>
      <c r="N51" s="13">
        <v>0.1</v>
      </c>
      <c r="O51" s="14">
        <v>79.739999999999995</v>
      </c>
      <c r="P51" s="10" t="s">
        <v>25</v>
      </c>
    </row>
    <row r="52" spans="1:16">
      <c r="A52" s="10" t="s">
        <v>215</v>
      </c>
      <c r="B52" s="11">
        <v>45630</v>
      </c>
      <c r="C52" s="11">
        <v>45997</v>
      </c>
      <c r="D52" s="10" t="s">
        <v>156</v>
      </c>
      <c r="E52" s="10" t="s">
        <v>130</v>
      </c>
      <c r="F52" s="10" t="s">
        <v>29</v>
      </c>
      <c r="G52" s="10" t="s">
        <v>73</v>
      </c>
      <c r="H52" s="10" t="s">
        <v>74</v>
      </c>
      <c r="I52" s="10" t="s">
        <v>75</v>
      </c>
      <c r="J52" s="10" t="s">
        <v>76</v>
      </c>
      <c r="K52" s="10" t="s">
        <v>206</v>
      </c>
      <c r="L52" s="12">
        <v>3960</v>
      </c>
      <c r="M52" s="10">
        <v>4</v>
      </c>
      <c r="N52" s="13">
        <v>0.1</v>
      </c>
      <c r="O52" s="14">
        <v>1044.3900000000001</v>
      </c>
      <c r="P52" s="10" t="s">
        <v>63</v>
      </c>
    </row>
    <row r="53" spans="1:16">
      <c r="A53" s="10" t="s">
        <v>216</v>
      </c>
      <c r="B53" s="11">
        <v>45681</v>
      </c>
      <c r="C53" s="11">
        <v>45998</v>
      </c>
      <c r="D53" s="10" t="s">
        <v>217</v>
      </c>
      <c r="E53" s="10" t="s">
        <v>218</v>
      </c>
      <c r="F53" s="10" t="s">
        <v>19</v>
      </c>
      <c r="G53" s="10" t="s">
        <v>135</v>
      </c>
      <c r="H53" s="10" t="s">
        <v>21</v>
      </c>
      <c r="I53" s="10" t="s">
        <v>22</v>
      </c>
      <c r="J53" s="10" t="s">
        <v>23</v>
      </c>
      <c r="K53" s="10" t="s">
        <v>89</v>
      </c>
      <c r="L53" s="12">
        <v>17640</v>
      </c>
      <c r="M53" s="10">
        <v>7</v>
      </c>
      <c r="N53" s="13">
        <v>0.1</v>
      </c>
      <c r="O53" s="14">
        <v>3970.11</v>
      </c>
      <c r="P53" s="10" t="s">
        <v>56</v>
      </c>
    </row>
    <row r="54" spans="1:16">
      <c r="A54" s="10" t="s">
        <v>219</v>
      </c>
      <c r="B54" s="11">
        <v>45791</v>
      </c>
      <c r="C54" s="11">
        <v>45999</v>
      </c>
      <c r="D54" s="10" t="s">
        <v>17</v>
      </c>
      <c r="E54" s="10" t="s">
        <v>220</v>
      </c>
      <c r="F54" s="10" t="s">
        <v>29</v>
      </c>
      <c r="G54" s="10" t="s">
        <v>179</v>
      </c>
      <c r="H54" s="10" t="s">
        <v>21</v>
      </c>
      <c r="I54" s="10" t="s">
        <v>22</v>
      </c>
      <c r="J54" s="10" t="s">
        <v>76</v>
      </c>
      <c r="K54" s="10" t="s">
        <v>77</v>
      </c>
      <c r="L54" s="12">
        <v>1440</v>
      </c>
      <c r="M54" s="10">
        <v>1</v>
      </c>
      <c r="N54" s="13">
        <v>0.1</v>
      </c>
      <c r="O54" s="14">
        <v>399.75</v>
      </c>
      <c r="P54" s="10" t="s">
        <v>25</v>
      </c>
    </row>
    <row r="55" spans="1:16">
      <c r="A55" s="10" t="s">
        <v>221</v>
      </c>
      <c r="B55" s="11">
        <v>46233</v>
      </c>
      <c r="C55" s="11">
        <v>46000</v>
      </c>
      <c r="D55" s="10" t="s">
        <v>222</v>
      </c>
      <c r="E55" s="10" t="s">
        <v>223</v>
      </c>
      <c r="F55" s="10" t="s">
        <v>29</v>
      </c>
      <c r="G55" s="10" t="s">
        <v>224</v>
      </c>
      <c r="H55" s="10" t="s">
        <v>225</v>
      </c>
      <c r="I55" s="10" t="s">
        <v>75</v>
      </c>
      <c r="J55" s="10" t="s">
        <v>38</v>
      </c>
      <c r="K55" s="10" t="s">
        <v>55</v>
      </c>
      <c r="L55" s="12">
        <v>550</v>
      </c>
      <c r="M55" s="10">
        <v>1</v>
      </c>
      <c r="N55" s="13">
        <v>0</v>
      </c>
      <c r="O55" s="14">
        <v>117.09</v>
      </c>
      <c r="P55" s="10" t="s">
        <v>69</v>
      </c>
    </row>
    <row r="56" spans="1:16">
      <c r="A56" s="10" t="s">
        <v>226</v>
      </c>
      <c r="B56" s="11">
        <v>45680</v>
      </c>
      <c r="C56" s="11">
        <v>46001</v>
      </c>
      <c r="D56" s="10" t="s">
        <v>227</v>
      </c>
      <c r="E56" s="10" t="s">
        <v>228</v>
      </c>
      <c r="F56" s="10" t="s">
        <v>29</v>
      </c>
      <c r="G56" s="10" t="s">
        <v>111</v>
      </c>
      <c r="H56" s="10" t="s">
        <v>21</v>
      </c>
      <c r="I56" s="10" t="s">
        <v>22</v>
      </c>
      <c r="J56" s="10" t="s">
        <v>76</v>
      </c>
      <c r="K56" s="10" t="s">
        <v>229</v>
      </c>
      <c r="L56" s="12">
        <v>10260</v>
      </c>
      <c r="M56" s="10">
        <v>6</v>
      </c>
      <c r="N56" s="13">
        <v>0.1</v>
      </c>
      <c r="O56" s="14">
        <v>3002.62</v>
      </c>
      <c r="P56" s="10" t="s">
        <v>25</v>
      </c>
    </row>
    <row r="57" spans="1:16">
      <c r="A57" s="10" t="s">
        <v>230</v>
      </c>
      <c r="B57" s="11">
        <v>45311</v>
      </c>
      <c r="C57" s="11">
        <v>46002</v>
      </c>
      <c r="D57" s="10" t="s">
        <v>231</v>
      </c>
      <c r="E57" s="10" t="s">
        <v>232</v>
      </c>
      <c r="F57" s="10" t="s">
        <v>29</v>
      </c>
      <c r="G57" s="10" t="s">
        <v>151</v>
      </c>
      <c r="H57" s="10" t="s">
        <v>151</v>
      </c>
      <c r="I57" s="10" t="s">
        <v>75</v>
      </c>
      <c r="J57" s="10" t="s">
        <v>38</v>
      </c>
      <c r="K57" s="10" t="s">
        <v>169</v>
      </c>
      <c r="L57" s="12">
        <v>4640</v>
      </c>
      <c r="M57" s="10">
        <v>4</v>
      </c>
      <c r="N57" s="13">
        <v>0.2</v>
      </c>
      <c r="O57" s="14">
        <v>1541.22</v>
      </c>
      <c r="P57" s="10" t="s">
        <v>56</v>
      </c>
    </row>
    <row r="58" spans="1:16">
      <c r="A58" s="10" t="s">
        <v>233</v>
      </c>
      <c r="B58" s="11">
        <v>45496</v>
      </c>
      <c r="C58" s="11">
        <v>46003</v>
      </c>
      <c r="D58" s="10" t="s">
        <v>234</v>
      </c>
      <c r="E58" s="10" t="s">
        <v>235</v>
      </c>
      <c r="F58" s="10" t="s">
        <v>19</v>
      </c>
      <c r="G58" s="10" t="s">
        <v>135</v>
      </c>
      <c r="H58" s="10" t="s">
        <v>21</v>
      </c>
      <c r="I58" s="10" t="s">
        <v>22</v>
      </c>
      <c r="J58" s="10" t="s">
        <v>30</v>
      </c>
      <c r="K58" s="10" t="s">
        <v>31</v>
      </c>
      <c r="L58" s="12">
        <v>324</v>
      </c>
      <c r="M58" s="10">
        <v>3</v>
      </c>
      <c r="N58" s="13">
        <v>0.1</v>
      </c>
      <c r="O58" s="14">
        <v>61.86</v>
      </c>
      <c r="P58" s="10" t="s">
        <v>69</v>
      </c>
    </row>
    <row r="59" spans="1:16">
      <c r="A59" s="10" t="s">
        <v>236</v>
      </c>
      <c r="B59" s="11">
        <v>46077</v>
      </c>
      <c r="C59" s="11">
        <v>46004</v>
      </c>
      <c r="D59" s="10" t="s">
        <v>95</v>
      </c>
      <c r="E59" s="10" t="s">
        <v>237</v>
      </c>
      <c r="F59" s="10" t="s">
        <v>19</v>
      </c>
      <c r="G59" s="10" t="s">
        <v>97</v>
      </c>
      <c r="H59" s="10" t="s">
        <v>21</v>
      </c>
      <c r="I59" s="10" t="s">
        <v>22</v>
      </c>
      <c r="J59" s="10" t="s">
        <v>38</v>
      </c>
      <c r="K59" s="10" t="s">
        <v>39</v>
      </c>
      <c r="L59" s="12">
        <v>4750</v>
      </c>
      <c r="M59" s="10">
        <v>5</v>
      </c>
      <c r="N59" s="13">
        <v>0</v>
      </c>
      <c r="O59" s="14">
        <v>1090.32</v>
      </c>
      <c r="P59" s="10" t="s">
        <v>25</v>
      </c>
    </row>
    <row r="60" spans="1:16">
      <c r="A60" s="10" t="s">
        <v>238</v>
      </c>
      <c r="B60" s="11">
        <v>45698</v>
      </c>
      <c r="C60" s="11">
        <v>46005</v>
      </c>
      <c r="D60" s="10" t="s">
        <v>239</v>
      </c>
      <c r="E60" s="10" t="s">
        <v>240</v>
      </c>
      <c r="F60" s="10" t="s">
        <v>29</v>
      </c>
      <c r="G60" s="10" t="s">
        <v>111</v>
      </c>
      <c r="H60" s="10" t="s">
        <v>21</v>
      </c>
      <c r="I60" s="10" t="s">
        <v>22</v>
      </c>
      <c r="J60" s="10" t="s">
        <v>38</v>
      </c>
      <c r="K60" s="10" t="s">
        <v>62</v>
      </c>
      <c r="L60" s="12">
        <v>34000</v>
      </c>
      <c r="M60" s="10">
        <v>4</v>
      </c>
      <c r="N60" s="13">
        <v>0</v>
      </c>
      <c r="O60" s="14">
        <v>6756.81</v>
      </c>
      <c r="P60" s="10" t="s">
        <v>63</v>
      </c>
    </row>
    <row r="61" spans="1:16">
      <c r="A61" s="10" t="s">
        <v>241</v>
      </c>
      <c r="B61" s="11">
        <v>46093</v>
      </c>
      <c r="C61" s="11">
        <v>46006</v>
      </c>
      <c r="D61" s="10" t="s">
        <v>242</v>
      </c>
      <c r="E61" s="10" t="s">
        <v>243</v>
      </c>
      <c r="F61" s="10" t="s">
        <v>43</v>
      </c>
      <c r="G61" s="10" t="s">
        <v>67</v>
      </c>
      <c r="H61" s="10" t="s">
        <v>68</v>
      </c>
      <c r="I61" s="10" t="s">
        <v>22</v>
      </c>
      <c r="J61" s="10" t="s">
        <v>76</v>
      </c>
      <c r="K61" s="10" t="s">
        <v>229</v>
      </c>
      <c r="L61" s="12">
        <v>3230</v>
      </c>
      <c r="M61" s="10">
        <v>2</v>
      </c>
      <c r="N61" s="13">
        <v>0.15</v>
      </c>
      <c r="O61" s="14">
        <v>610.91999999999996</v>
      </c>
      <c r="P61" s="10" t="s">
        <v>48</v>
      </c>
    </row>
    <row r="62" spans="1:16">
      <c r="A62" s="10" t="s">
        <v>244</v>
      </c>
      <c r="B62" s="11">
        <v>45735</v>
      </c>
      <c r="C62" s="11">
        <v>46007</v>
      </c>
      <c r="D62" s="10" t="s">
        <v>245</v>
      </c>
      <c r="E62" s="10" t="s">
        <v>246</v>
      </c>
      <c r="F62" s="10" t="s">
        <v>19</v>
      </c>
      <c r="G62" s="10" t="s">
        <v>167</v>
      </c>
      <c r="H62" s="10" t="s">
        <v>168</v>
      </c>
      <c r="I62" s="10" t="s">
        <v>37</v>
      </c>
      <c r="J62" s="10" t="s">
        <v>76</v>
      </c>
      <c r="K62" s="10" t="s">
        <v>131</v>
      </c>
      <c r="L62" s="12">
        <v>2450</v>
      </c>
      <c r="M62" s="10">
        <v>7</v>
      </c>
      <c r="N62" s="13">
        <v>0</v>
      </c>
      <c r="O62" s="14">
        <v>463.57</v>
      </c>
      <c r="P62" s="10" t="s">
        <v>25</v>
      </c>
    </row>
    <row r="63" spans="1:16">
      <c r="A63" s="10" t="s">
        <v>247</v>
      </c>
      <c r="B63" s="11">
        <v>45768</v>
      </c>
      <c r="C63" s="11">
        <v>46008</v>
      </c>
      <c r="D63" s="10" t="s">
        <v>248</v>
      </c>
      <c r="E63" s="10" t="s">
        <v>51</v>
      </c>
      <c r="F63" s="10" t="s">
        <v>43</v>
      </c>
      <c r="G63" s="10" t="s">
        <v>44</v>
      </c>
      <c r="H63" s="10" t="s">
        <v>45</v>
      </c>
      <c r="I63" s="10" t="s">
        <v>46</v>
      </c>
      <c r="J63" s="10" t="s">
        <v>23</v>
      </c>
      <c r="K63" s="10" t="s">
        <v>89</v>
      </c>
      <c r="L63" s="12">
        <v>11200</v>
      </c>
      <c r="M63" s="10">
        <v>4</v>
      </c>
      <c r="N63" s="13">
        <v>0</v>
      </c>
      <c r="O63" s="14">
        <v>3443.76</v>
      </c>
      <c r="P63" s="10" t="s">
        <v>63</v>
      </c>
    </row>
    <row r="64" spans="1:16">
      <c r="A64" s="10" t="s">
        <v>249</v>
      </c>
      <c r="B64" s="11">
        <v>45916</v>
      </c>
      <c r="C64" s="11">
        <v>46009</v>
      </c>
      <c r="D64" s="10" t="s">
        <v>250</v>
      </c>
      <c r="E64" s="10" t="s">
        <v>251</v>
      </c>
      <c r="F64" s="10" t="s">
        <v>43</v>
      </c>
      <c r="G64" s="10" t="s">
        <v>81</v>
      </c>
      <c r="H64" s="10" t="s">
        <v>68</v>
      </c>
      <c r="I64" s="10" t="s">
        <v>22</v>
      </c>
      <c r="J64" s="10" t="s">
        <v>23</v>
      </c>
      <c r="K64" s="10" t="s">
        <v>120</v>
      </c>
      <c r="L64" s="12">
        <v>31920</v>
      </c>
      <c r="M64" s="10">
        <v>8</v>
      </c>
      <c r="N64" s="13">
        <v>0.05</v>
      </c>
      <c r="O64" s="14">
        <v>10381.07</v>
      </c>
      <c r="P64" s="10" t="s">
        <v>69</v>
      </c>
    </row>
    <row r="65" spans="1:16">
      <c r="A65" s="10" t="s">
        <v>252</v>
      </c>
      <c r="B65" s="11">
        <v>45578</v>
      </c>
      <c r="C65" s="11">
        <v>46010</v>
      </c>
      <c r="D65" s="10" t="s">
        <v>196</v>
      </c>
      <c r="E65" s="10" t="s">
        <v>253</v>
      </c>
      <c r="F65" s="10" t="s">
        <v>43</v>
      </c>
      <c r="G65" s="10" t="s">
        <v>60</v>
      </c>
      <c r="H65" s="10" t="s">
        <v>61</v>
      </c>
      <c r="I65" s="10" t="s">
        <v>37</v>
      </c>
      <c r="J65" s="10" t="s">
        <v>23</v>
      </c>
      <c r="K65" s="10" t="s">
        <v>47</v>
      </c>
      <c r="L65" s="12">
        <v>2635</v>
      </c>
      <c r="M65" s="10">
        <v>1</v>
      </c>
      <c r="N65" s="13">
        <v>0.15</v>
      </c>
      <c r="O65" s="14">
        <v>292.49</v>
      </c>
      <c r="P65" s="10" t="s">
        <v>25</v>
      </c>
    </row>
    <row r="66" spans="1:16">
      <c r="A66" s="10" t="s">
        <v>254</v>
      </c>
      <c r="B66" s="11">
        <v>45860</v>
      </c>
      <c r="C66" s="11">
        <v>46011</v>
      </c>
      <c r="D66" s="10" t="s">
        <v>255</v>
      </c>
      <c r="E66" s="10" t="s">
        <v>220</v>
      </c>
      <c r="F66" s="10" t="s">
        <v>29</v>
      </c>
      <c r="G66" s="10" t="s">
        <v>111</v>
      </c>
      <c r="H66" s="10" t="s">
        <v>21</v>
      </c>
      <c r="I66" s="10" t="s">
        <v>22</v>
      </c>
      <c r="J66" s="10" t="s">
        <v>76</v>
      </c>
      <c r="K66" s="10" t="s">
        <v>77</v>
      </c>
      <c r="L66" s="12">
        <v>12800</v>
      </c>
      <c r="M66" s="10">
        <v>8</v>
      </c>
      <c r="N66" s="13">
        <v>0</v>
      </c>
      <c r="O66" s="14">
        <v>4554.32</v>
      </c>
      <c r="P66" s="10" t="s">
        <v>69</v>
      </c>
    </row>
    <row r="67" spans="1:16">
      <c r="A67" s="10" t="s">
        <v>256</v>
      </c>
      <c r="B67" s="11">
        <v>45971</v>
      </c>
      <c r="C67" s="11">
        <v>46012</v>
      </c>
      <c r="D67" s="10" t="s">
        <v>257</v>
      </c>
      <c r="E67" s="10" t="s">
        <v>258</v>
      </c>
      <c r="F67" s="10" t="s">
        <v>19</v>
      </c>
      <c r="G67" s="10" t="s">
        <v>67</v>
      </c>
      <c r="H67" s="10" t="s">
        <v>68</v>
      </c>
      <c r="I67" s="10" t="s">
        <v>22</v>
      </c>
      <c r="J67" s="10" t="s">
        <v>76</v>
      </c>
      <c r="K67" s="10" t="s">
        <v>85</v>
      </c>
      <c r="L67" s="12">
        <v>1188</v>
      </c>
      <c r="M67" s="10">
        <v>6</v>
      </c>
      <c r="N67" s="13">
        <v>0.1</v>
      </c>
      <c r="O67" s="14">
        <v>125.78</v>
      </c>
      <c r="P67" s="10" t="s">
        <v>25</v>
      </c>
    </row>
    <row r="68" spans="1:16">
      <c r="A68" s="10" t="s">
        <v>259</v>
      </c>
      <c r="B68" s="11">
        <v>45569</v>
      </c>
      <c r="C68" s="11">
        <v>46013</v>
      </c>
      <c r="D68" s="10" t="s">
        <v>41</v>
      </c>
      <c r="E68" s="10" t="s">
        <v>260</v>
      </c>
      <c r="F68" s="10" t="s">
        <v>29</v>
      </c>
      <c r="G68" s="10" t="s">
        <v>179</v>
      </c>
      <c r="H68" s="10" t="s">
        <v>21</v>
      </c>
      <c r="I68" s="10" t="s">
        <v>22</v>
      </c>
      <c r="J68" s="10" t="s">
        <v>30</v>
      </c>
      <c r="K68" s="10" t="s">
        <v>261</v>
      </c>
      <c r="L68" s="12">
        <v>684</v>
      </c>
      <c r="M68" s="10">
        <v>4</v>
      </c>
      <c r="N68" s="13">
        <v>0.05</v>
      </c>
      <c r="O68" s="14">
        <v>233.53</v>
      </c>
      <c r="P68" s="10" t="s">
        <v>25</v>
      </c>
    </row>
    <row r="69" spans="1:16">
      <c r="A69" s="10" t="s">
        <v>262</v>
      </c>
      <c r="B69" s="11">
        <v>45575</v>
      </c>
      <c r="C69" s="11">
        <v>46014</v>
      </c>
      <c r="D69" s="10" t="s">
        <v>263</v>
      </c>
      <c r="E69" s="10" t="s">
        <v>264</v>
      </c>
      <c r="F69" s="10" t="s">
        <v>19</v>
      </c>
      <c r="G69" s="10" t="s">
        <v>224</v>
      </c>
      <c r="H69" s="10" t="s">
        <v>225</v>
      </c>
      <c r="I69" s="10" t="s">
        <v>75</v>
      </c>
      <c r="J69" s="10" t="s">
        <v>23</v>
      </c>
      <c r="K69" s="10" t="s">
        <v>120</v>
      </c>
      <c r="L69" s="12">
        <v>15960</v>
      </c>
      <c r="M69" s="10">
        <v>4</v>
      </c>
      <c r="N69" s="13">
        <v>0.05</v>
      </c>
      <c r="O69" s="14">
        <v>5001.1400000000003</v>
      </c>
      <c r="P69" s="10" t="s">
        <v>63</v>
      </c>
    </row>
    <row r="70" spans="1:16">
      <c r="A70" s="10" t="s">
        <v>265</v>
      </c>
      <c r="B70" s="11">
        <v>45421</v>
      </c>
      <c r="C70" s="11">
        <v>46015</v>
      </c>
      <c r="D70" s="10" t="s">
        <v>91</v>
      </c>
      <c r="E70" s="10" t="s">
        <v>266</v>
      </c>
      <c r="F70" s="10" t="s">
        <v>29</v>
      </c>
      <c r="G70" s="10" t="s">
        <v>135</v>
      </c>
      <c r="H70" s="10" t="s">
        <v>21</v>
      </c>
      <c r="I70" s="10" t="s">
        <v>22</v>
      </c>
      <c r="J70" s="10" t="s">
        <v>38</v>
      </c>
      <c r="K70" s="10" t="s">
        <v>62</v>
      </c>
      <c r="L70" s="12">
        <v>34000</v>
      </c>
      <c r="M70" s="10">
        <v>5</v>
      </c>
      <c r="N70" s="13">
        <v>0.2</v>
      </c>
      <c r="O70" s="14">
        <v>3554.25</v>
      </c>
      <c r="P70" s="10" t="s">
        <v>63</v>
      </c>
    </row>
    <row r="71" spans="1:16">
      <c r="A71" s="10" t="s">
        <v>267</v>
      </c>
      <c r="B71" s="11">
        <v>45583</v>
      </c>
      <c r="C71" s="11">
        <v>46016</v>
      </c>
      <c r="D71" s="10" t="s">
        <v>268</v>
      </c>
      <c r="E71" s="10" t="s">
        <v>266</v>
      </c>
      <c r="F71" s="10" t="s">
        <v>29</v>
      </c>
      <c r="G71" s="10" t="s">
        <v>73</v>
      </c>
      <c r="H71" s="10" t="s">
        <v>74</v>
      </c>
      <c r="I71" s="10" t="s">
        <v>75</v>
      </c>
      <c r="J71" s="10" t="s">
        <v>76</v>
      </c>
      <c r="K71" s="10" t="s">
        <v>229</v>
      </c>
      <c r="L71" s="12">
        <v>5700</v>
      </c>
      <c r="M71" s="10">
        <v>3</v>
      </c>
      <c r="N71" s="13">
        <v>0</v>
      </c>
      <c r="O71" s="14">
        <v>1791.83</v>
      </c>
      <c r="P71" s="10" t="s">
        <v>25</v>
      </c>
    </row>
    <row r="72" spans="1:16">
      <c r="A72" s="10" t="s">
        <v>269</v>
      </c>
      <c r="B72" s="11">
        <v>45795</v>
      </c>
      <c r="C72" s="11">
        <v>46017</v>
      </c>
      <c r="D72" s="10" t="s">
        <v>196</v>
      </c>
      <c r="E72" s="10" t="s">
        <v>270</v>
      </c>
      <c r="F72" s="10" t="s">
        <v>19</v>
      </c>
      <c r="G72" s="10" t="s">
        <v>224</v>
      </c>
      <c r="H72" s="10" t="s">
        <v>225</v>
      </c>
      <c r="I72" s="10" t="s">
        <v>75</v>
      </c>
      <c r="J72" s="10" t="s">
        <v>38</v>
      </c>
      <c r="K72" s="10" t="s">
        <v>39</v>
      </c>
      <c r="L72" s="12">
        <v>2422.5</v>
      </c>
      <c r="M72" s="10">
        <v>3</v>
      </c>
      <c r="N72" s="13">
        <v>0.15</v>
      </c>
      <c r="O72" s="14">
        <v>268.24</v>
      </c>
      <c r="P72" s="10" t="s">
        <v>25</v>
      </c>
    </row>
    <row r="73" spans="1:16">
      <c r="A73" s="10" t="s">
        <v>271</v>
      </c>
      <c r="B73" s="11">
        <v>45912</v>
      </c>
      <c r="C73" s="11">
        <v>46018</v>
      </c>
      <c r="D73" s="10" t="s">
        <v>272</v>
      </c>
      <c r="E73" s="10" t="s">
        <v>273</v>
      </c>
      <c r="F73" s="10" t="s">
        <v>43</v>
      </c>
      <c r="G73" s="10" t="s">
        <v>35</v>
      </c>
      <c r="H73" s="10" t="s">
        <v>36</v>
      </c>
      <c r="I73" s="10" t="s">
        <v>37</v>
      </c>
      <c r="J73" s="10" t="s">
        <v>30</v>
      </c>
      <c r="K73" s="10" t="s">
        <v>93</v>
      </c>
      <c r="L73" s="12">
        <v>567</v>
      </c>
      <c r="M73" s="10">
        <v>7</v>
      </c>
      <c r="N73" s="13">
        <v>0.1</v>
      </c>
      <c r="O73" s="14">
        <v>73.02</v>
      </c>
      <c r="P73" s="10" t="s">
        <v>63</v>
      </c>
    </row>
    <row r="74" spans="1:16">
      <c r="A74" s="10" t="s">
        <v>274</v>
      </c>
      <c r="B74" s="11">
        <v>45927</v>
      </c>
      <c r="C74" s="11">
        <v>46019</v>
      </c>
      <c r="D74" s="10" t="s">
        <v>208</v>
      </c>
      <c r="E74" s="10" t="s">
        <v>275</v>
      </c>
      <c r="F74" s="10" t="s">
        <v>19</v>
      </c>
      <c r="G74" s="10" t="s">
        <v>224</v>
      </c>
      <c r="H74" s="10" t="s">
        <v>225</v>
      </c>
      <c r="I74" s="10" t="s">
        <v>75</v>
      </c>
      <c r="J74" s="10" t="s">
        <v>38</v>
      </c>
      <c r="K74" s="10" t="s">
        <v>39</v>
      </c>
      <c r="L74" s="12">
        <v>3610</v>
      </c>
      <c r="M74" s="10">
        <v>4</v>
      </c>
      <c r="N74" s="13">
        <v>0.05</v>
      </c>
      <c r="O74" s="14">
        <v>724.85</v>
      </c>
      <c r="P74" s="10" t="s">
        <v>48</v>
      </c>
    </row>
    <row r="75" spans="1:16">
      <c r="A75" s="10" t="s">
        <v>276</v>
      </c>
      <c r="B75" s="11">
        <v>45452</v>
      </c>
      <c r="C75" s="11">
        <v>46020</v>
      </c>
      <c r="D75" s="10" t="s">
        <v>211</v>
      </c>
      <c r="E75" s="10" t="s">
        <v>277</v>
      </c>
      <c r="F75" s="10" t="s">
        <v>43</v>
      </c>
      <c r="G75" s="10" t="s">
        <v>81</v>
      </c>
      <c r="H75" s="10" t="s">
        <v>68</v>
      </c>
      <c r="I75" s="10" t="s">
        <v>22</v>
      </c>
      <c r="J75" s="10" t="s">
        <v>76</v>
      </c>
      <c r="K75" s="10" t="s">
        <v>85</v>
      </c>
      <c r="L75" s="12">
        <v>1672</v>
      </c>
      <c r="M75" s="10">
        <v>8</v>
      </c>
      <c r="N75" s="13">
        <v>0.05</v>
      </c>
      <c r="O75" s="14">
        <v>608.63</v>
      </c>
      <c r="P75" s="10" t="s">
        <v>48</v>
      </c>
    </row>
    <row r="76" spans="1:16">
      <c r="A76" s="10" t="s">
        <v>278</v>
      </c>
      <c r="B76" s="11">
        <v>45995</v>
      </c>
      <c r="C76" s="11">
        <v>46021</v>
      </c>
      <c r="D76" s="10" t="s">
        <v>279</v>
      </c>
      <c r="E76" s="10" t="s">
        <v>280</v>
      </c>
      <c r="F76" s="10" t="s">
        <v>43</v>
      </c>
      <c r="G76" s="10" t="s">
        <v>101</v>
      </c>
      <c r="H76" s="10" t="s">
        <v>102</v>
      </c>
      <c r="I76" s="10" t="s">
        <v>103</v>
      </c>
      <c r="J76" s="10" t="s">
        <v>23</v>
      </c>
      <c r="K76" s="10" t="s">
        <v>47</v>
      </c>
      <c r="L76" s="12">
        <v>11160</v>
      </c>
      <c r="M76" s="10">
        <v>4</v>
      </c>
      <c r="N76" s="13">
        <v>0.1</v>
      </c>
      <c r="O76" s="14">
        <v>3740.37</v>
      </c>
      <c r="P76" s="10" t="s">
        <v>56</v>
      </c>
    </row>
    <row r="77" spans="1:16">
      <c r="A77" s="10" t="s">
        <v>281</v>
      </c>
      <c r="B77" s="11">
        <v>45365</v>
      </c>
      <c r="C77" s="11">
        <v>46022</v>
      </c>
      <c r="D77" s="10" t="s">
        <v>282</v>
      </c>
      <c r="E77" s="10" t="s">
        <v>277</v>
      </c>
      <c r="F77" s="10" t="s">
        <v>43</v>
      </c>
      <c r="G77" s="10" t="s">
        <v>97</v>
      </c>
      <c r="H77" s="10" t="s">
        <v>21</v>
      </c>
      <c r="I77" s="10" t="s">
        <v>22</v>
      </c>
      <c r="J77" s="10" t="s">
        <v>23</v>
      </c>
      <c r="K77" s="10" t="s">
        <v>47</v>
      </c>
      <c r="L77" s="12">
        <v>13950</v>
      </c>
      <c r="M77" s="10">
        <v>5</v>
      </c>
      <c r="N77" s="13">
        <v>0.1</v>
      </c>
      <c r="O77" s="14">
        <v>4640.72</v>
      </c>
      <c r="P77" s="10" t="s">
        <v>69</v>
      </c>
    </row>
    <row r="78" spans="1:16">
      <c r="A78" s="10" t="s">
        <v>283</v>
      </c>
      <c r="B78" s="11">
        <v>45804</v>
      </c>
      <c r="C78" s="11">
        <v>46023</v>
      </c>
      <c r="D78" s="10" t="s">
        <v>284</v>
      </c>
      <c r="E78" s="10" t="s">
        <v>285</v>
      </c>
      <c r="F78" s="10" t="s">
        <v>29</v>
      </c>
      <c r="G78" s="10" t="s">
        <v>73</v>
      </c>
      <c r="H78" s="10" t="s">
        <v>74</v>
      </c>
      <c r="I78" s="10" t="s">
        <v>75</v>
      </c>
      <c r="J78" s="10" t="s">
        <v>76</v>
      </c>
      <c r="K78" s="10" t="s">
        <v>206</v>
      </c>
      <c r="L78" s="12">
        <v>990</v>
      </c>
      <c r="M78" s="10">
        <v>1</v>
      </c>
      <c r="N78" s="13">
        <v>0.1</v>
      </c>
      <c r="O78" s="14">
        <v>172.28</v>
      </c>
      <c r="P78" s="10" t="s">
        <v>56</v>
      </c>
    </row>
    <row r="79" spans="1:16">
      <c r="A79" s="10" t="s">
        <v>286</v>
      </c>
      <c r="B79" s="11">
        <v>46276</v>
      </c>
      <c r="C79" s="11">
        <v>46024</v>
      </c>
      <c r="D79" s="10" t="s">
        <v>27</v>
      </c>
      <c r="E79" s="10" t="s">
        <v>287</v>
      </c>
      <c r="F79" s="10" t="s">
        <v>43</v>
      </c>
      <c r="G79" s="10" t="s">
        <v>44</v>
      </c>
      <c r="H79" s="10" t="s">
        <v>45</v>
      </c>
      <c r="I79" s="10" t="s">
        <v>46</v>
      </c>
      <c r="J79" s="10" t="s">
        <v>38</v>
      </c>
      <c r="K79" s="10" t="s">
        <v>169</v>
      </c>
      <c r="L79" s="12">
        <v>1450</v>
      </c>
      <c r="M79" s="10">
        <v>1</v>
      </c>
      <c r="N79" s="13">
        <v>0</v>
      </c>
      <c r="O79" s="14">
        <v>373.62</v>
      </c>
      <c r="P79" s="10" t="s">
        <v>56</v>
      </c>
    </row>
    <row r="80" spans="1:16">
      <c r="A80" s="10" t="s">
        <v>288</v>
      </c>
      <c r="B80" s="11">
        <v>45891</v>
      </c>
      <c r="C80" s="11">
        <v>46025</v>
      </c>
      <c r="D80" s="10" t="s">
        <v>289</v>
      </c>
      <c r="E80" s="10" t="s">
        <v>290</v>
      </c>
      <c r="F80" s="10" t="s">
        <v>29</v>
      </c>
      <c r="G80" s="10" t="s">
        <v>167</v>
      </c>
      <c r="H80" s="10" t="s">
        <v>168</v>
      </c>
      <c r="I80" s="10" t="s">
        <v>37</v>
      </c>
      <c r="J80" s="10" t="s">
        <v>76</v>
      </c>
      <c r="K80" s="10" t="s">
        <v>206</v>
      </c>
      <c r="L80" s="12">
        <v>8360</v>
      </c>
      <c r="M80" s="10">
        <v>8</v>
      </c>
      <c r="N80" s="13">
        <v>0.05</v>
      </c>
      <c r="O80" s="14">
        <v>2226.5100000000002</v>
      </c>
      <c r="P80" s="10" t="s">
        <v>69</v>
      </c>
    </row>
    <row r="81" spans="1:16">
      <c r="A81" s="10" t="s">
        <v>291</v>
      </c>
      <c r="B81" s="11">
        <v>45713</v>
      </c>
      <c r="C81" s="11">
        <v>46026</v>
      </c>
      <c r="D81" s="10" t="s">
        <v>292</v>
      </c>
      <c r="E81" s="10" t="s">
        <v>34</v>
      </c>
      <c r="F81" s="10" t="s">
        <v>43</v>
      </c>
      <c r="G81" s="10" t="s">
        <v>73</v>
      </c>
      <c r="H81" s="10" t="s">
        <v>74</v>
      </c>
      <c r="I81" s="10" t="s">
        <v>75</v>
      </c>
      <c r="J81" s="10" t="s">
        <v>23</v>
      </c>
      <c r="K81" s="10" t="s">
        <v>293</v>
      </c>
      <c r="L81" s="12">
        <v>675</v>
      </c>
      <c r="M81" s="10">
        <v>1</v>
      </c>
      <c r="N81" s="13">
        <v>0.1</v>
      </c>
      <c r="O81" s="14">
        <v>230.92</v>
      </c>
      <c r="P81" s="10" t="s">
        <v>63</v>
      </c>
    </row>
    <row r="82" spans="1:16">
      <c r="A82" s="10" t="s">
        <v>294</v>
      </c>
      <c r="B82" s="11">
        <v>46136</v>
      </c>
      <c r="C82" s="11">
        <v>46027</v>
      </c>
      <c r="D82" s="10" t="s">
        <v>295</v>
      </c>
      <c r="E82" s="10" t="s">
        <v>296</v>
      </c>
      <c r="F82" s="10" t="s">
        <v>43</v>
      </c>
      <c r="G82" s="10" t="s">
        <v>167</v>
      </c>
      <c r="H82" s="10" t="s">
        <v>168</v>
      </c>
      <c r="I82" s="10" t="s">
        <v>37</v>
      </c>
      <c r="J82" s="10" t="s">
        <v>76</v>
      </c>
      <c r="K82" s="10" t="s">
        <v>77</v>
      </c>
      <c r="L82" s="12">
        <v>1600</v>
      </c>
      <c r="M82" s="10">
        <v>1</v>
      </c>
      <c r="N82" s="13">
        <v>0</v>
      </c>
      <c r="O82" s="14">
        <v>392.33</v>
      </c>
      <c r="P82" s="10" t="s">
        <v>48</v>
      </c>
    </row>
    <row r="83" spans="1:16">
      <c r="A83" s="10" t="s">
        <v>297</v>
      </c>
      <c r="B83" s="11">
        <v>45500</v>
      </c>
      <c r="C83" s="11">
        <v>46028</v>
      </c>
      <c r="D83" s="10" t="s">
        <v>298</v>
      </c>
      <c r="E83" s="10" t="s">
        <v>240</v>
      </c>
      <c r="F83" s="10" t="s">
        <v>29</v>
      </c>
      <c r="G83" s="10" t="s">
        <v>151</v>
      </c>
      <c r="H83" s="10" t="s">
        <v>151</v>
      </c>
      <c r="I83" s="10" t="s">
        <v>75</v>
      </c>
      <c r="J83" s="10" t="s">
        <v>30</v>
      </c>
      <c r="K83" s="10" t="s">
        <v>173</v>
      </c>
      <c r="L83" s="12">
        <v>2048</v>
      </c>
      <c r="M83" s="10">
        <v>8</v>
      </c>
      <c r="N83" s="13">
        <v>0.2</v>
      </c>
      <c r="O83" s="14">
        <v>458.7</v>
      </c>
      <c r="P83" s="10" t="s">
        <v>56</v>
      </c>
    </row>
    <row r="84" spans="1:16">
      <c r="A84" s="10" t="s">
        <v>299</v>
      </c>
      <c r="B84" s="11">
        <v>45610</v>
      </c>
      <c r="C84" s="11">
        <v>46029</v>
      </c>
      <c r="D84" s="10" t="s">
        <v>300</v>
      </c>
      <c r="E84" s="10" t="s">
        <v>301</v>
      </c>
      <c r="F84" s="10" t="s">
        <v>19</v>
      </c>
      <c r="G84" s="10" t="s">
        <v>135</v>
      </c>
      <c r="H84" s="10" t="s">
        <v>21</v>
      </c>
      <c r="I84" s="10" t="s">
        <v>22</v>
      </c>
      <c r="J84" s="10" t="s">
        <v>76</v>
      </c>
      <c r="K84" s="10" t="s">
        <v>206</v>
      </c>
      <c r="L84" s="12">
        <v>4400</v>
      </c>
      <c r="M84" s="10">
        <v>4</v>
      </c>
      <c r="N84" s="13">
        <v>0</v>
      </c>
      <c r="O84" s="14">
        <v>1144.0999999999999</v>
      </c>
      <c r="P84" s="10" t="s">
        <v>69</v>
      </c>
    </row>
    <row r="85" spans="1:16">
      <c r="A85" s="10" t="s">
        <v>302</v>
      </c>
      <c r="B85" s="11">
        <v>45813</v>
      </c>
      <c r="C85" s="11">
        <v>46030</v>
      </c>
      <c r="D85" s="10" t="s">
        <v>303</v>
      </c>
      <c r="E85" s="10" t="s">
        <v>304</v>
      </c>
      <c r="F85" s="10" t="s">
        <v>19</v>
      </c>
      <c r="G85" s="10" t="s">
        <v>179</v>
      </c>
      <c r="H85" s="10" t="s">
        <v>21</v>
      </c>
      <c r="I85" s="10" t="s">
        <v>22</v>
      </c>
      <c r="J85" s="10" t="s">
        <v>76</v>
      </c>
      <c r="K85" s="10" t="s">
        <v>77</v>
      </c>
      <c r="L85" s="12">
        <v>12800</v>
      </c>
      <c r="M85" s="10">
        <v>8</v>
      </c>
      <c r="N85" s="13">
        <v>0</v>
      </c>
      <c r="O85" s="14">
        <v>3343.81</v>
      </c>
      <c r="P85" s="10" t="s">
        <v>63</v>
      </c>
    </row>
    <row r="86" spans="1:16">
      <c r="A86" s="10" t="s">
        <v>305</v>
      </c>
      <c r="B86" s="11">
        <v>46056</v>
      </c>
      <c r="C86" s="11">
        <v>46031</v>
      </c>
      <c r="D86" s="10" t="s">
        <v>306</v>
      </c>
      <c r="E86" s="10" t="s">
        <v>307</v>
      </c>
      <c r="F86" s="10" t="s">
        <v>29</v>
      </c>
      <c r="G86" s="10" t="s">
        <v>44</v>
      </c>
      <c r="H86" s="10" t="s">
        <v>45</v>
      </c>
      <c r="I86" s="10" t="s">
        <v>46</v>
      </c>
      <c r="J86" s="10" t="s">
        <v>38</v>
      </c>
      <c r="K86" s="10" t="s">
        <v>169</v>
      </c>
      <c r="L86" s="12">
        <v>9642.5</v>
      </c>
      <c r="M86" s="10">
        <v>7</v>
      </c>
      <c r="N86" s="13">
        <v>0.05</v>
      </c>
      <c r="O86" s="14">
        <v>1249.6199999999999</v>
      </c>
      <c r="P86" s="10" t="s">
        <v>69</v>
      </c>
    </row>
    <row r="87" spans="1:16">
      <c r="A87" s="10" t="s">
        <v>308</v>
      </c>
      <c r="B87" s="11">
        <v>46035</v>
      </c>
      <c r="C87" s="11">
        <v>46032</v>
      </c>
      <c r="D87" s="10" t="s">
        <v>309</v>
      </c>
      <c r="E87" s="10" t="s">
        <v>218</v>
      </c>
      <c r="F87" s="10" t="s">
        <v>19</v>
      </c>
      <c r="G87" s="10" t="s">
        <v>44</v>
      </c>
      <c r="H87" s="10" t="s">
        <v>45</v>
      </c>
      <c r="I87" s="10" t="s">
        <v>46</v>
      </c>
      <c r="J87" s="10" t="s">
        <v>76</v>
      </c>
      <c r="K87" s="10" t="s">
        <v>131</v>
      </c>
      <c r="L87" s="12">
        <v>2380</v>
      </c>
      <c r="M87" s="10">
        <v>8</v>
      </c>
      <c r="N87" s="13">
        <v>0.15</v>
      </c>
      <c r="O87" s="14">
        <v>551.14</v>
      </c>
      <c r="P87" s="10" t="s">
        <v>25</v>
      </c>
    </row>
    <row r="88" spans="1:16">
      <c r="A88" s="10" t="s">
        <v>310</v>
      </c>
      <c r="B88" s="11">
        <v>45758</v>
      </c>
      <c r="C88" s="11">
        <v>46033</v>
      </c>
      <c r="D88" s="10" t="s">
        <v>311</v>
      </c>
      <c r="E88" s="10" t="s">
        <v>312</v>
      </c>
      <c r="F88" s="10" t="s">
        <v>19</v>
      </c>
      <c r="G88" s="10" t="s">
        <v>44</v>
      </c>
      <c r="H88" s="10" t="s">
        <v>45</v>
      </c>
      <c r="I88" s="10" t="s">
        <v>46</v>
      </c>
      <c r="J88" s="10" t="s">
        <v>30</v>
      </c>
      <c r="K88" s="10" t="s">
        <v>31</v>
      </c>
      <c r="L88" s="12">
        <v>840</v>
      </c>
      <c r="M88" s="10">
        <v>7</v>
      </c>
      <c r="N88" s="13">
        <v>0</v>
      </c>
      <c r="O88" s="14">
        <v>132.25</v>
      </c>
      <c r="P88" s="10" t="s">
        <v>25</v>
      </c>
    </row>
    <row r="89" spans="1:16">
      <c r="A89" s="10" t="s">
        <v>313</v>
      </c>
      <c r="B89" s="11">
        <v>46014</v>
      </c>
      <c r="C89" s="11">
        <v>46034</v>
      </c>
      <c r="D89" s="10" t="s">
        <v>245</v>
      </c>
      <c r="E89" s="10" t="s">
        <v>314</v>
      </c>
      <c r="F89" s="10" t="s">
        <v>29</v>
      </c>
      <c r="G89" s="10" t="s">
        <v>81</v>
      </c>
      <c r="H89" s="10" t="s">
        <v>68</v>
      </c>
      <c r="I89" s="10" t="s">
        <v>22</v>
      </c>
      <c r="J89" s="10" t="s">
        <v>76</v>
      </c>
      <c r="K89" s="10" t="s">
        <v>131</v>
      </c>
      <c r="L89" s="12">
        <v>2800</v>
      </c>
      <c r="M89" s="10">
        <v>8</v>
      </c>
      <c r="N89" s="13">
        <v>0</v>
      </c>
      <c r="O89" s="14">
        <v>972.09</v>
      </c>
      <c r="P89" s="10" t="s">
        <v>25</v>
      </c>
    </row>
    <row r="90" spans="1:16">
      <c r="A90" s="10" t="s">
        <v>315</v>
      </c>
      <c r="B90" s="11">
        <v>45394</v>
      </c>
      <c r="C90" s="11">
        <v>46035</v>
      </c>
      <c r="D90" s="10" t="s">
        <v>316</v>
      </c>
      <c r="E90" s="10" t="s">
        <v>317</v>
      </c>
      <c r="F90" s="10" t="s">
        <v>43</v>
      </c>
      <c r="G90" s="10" t="s">
        <v>101</v>
      </c>
      <c r="H90" s="10" t="s">
        <v>102</v>
      </c>
      <c r="I90" s="10" t="s">
        <v>103</v>
      </c>
      <c r="J90" s="10" t="s">
        <v>76</v>
      </c>
      <c r="K90" s="10" t="s">
        <v>206</v>
      </c>
      <c r="L90" s="12">
        <v>2970</v>
      </c>
      <c r="M90" s="10">
        <v>3</v>
      </c>
      <c r="N90" s="13">
        <v>0.1</v>
      </c>
      <c r="O90" s="14">
        <v>411.52</v>
      </c>
      <c r="P90" s="10" t="s">
        <v>69</v>
      </c>
    </row>
    <row r="91" spans="1:16">
      <c r="A91" s="10" t="s">
        <v>318</v>
      </c>
      <c r="B91" s="11">
        <v>45638</v>
      </c>
      <c r="C91" s="11">
        <v>46036</v>
      </c>
      <c r="D91" s="10" t="s">
        <v>319</v>
      </c>
      <c r="E91" s="10" t="s">
        <v>320</v>
      </c>
      <c r="F91" s="10" t="s">
        <v>19</v>
      </c>
      <c r="G91" s="10" t="s">
        <v>60</v>
      </c>
      <c r="H91" s="10" t="s">
        <v>61</v>
      </c>
      <c r="I91" s="10" t="s">
        <v>37</v>
      </c>
      <c r="J91" s="10" t="s">
        <v>76</v>
      </c>
      <c r="K91" s="10" t="s">
        <v>206</v>
      </c>
      <c r="L91" s="12">
        <v>5280</v>
      </c>
      <c r="M91" s="10">
        <v>6</v>
      </c>
      <c r="N91" s="13">
        <v>0.2</v>
      </c>
      <c r="O91" s="14">
        <v>668.3</v>
      </c>
      <c r="P91" s="10" t="s">
        <v>25</v>
      </c>
    </row>
    <row r="92" spans="1:16">
      <c r="A92" s="10" t="s">
        <v>321</v>
      </c>
      <c r="B92" s="11">
        <v>46185</v>
      </c>
      <c r="C92" s="11">
        <v>46037</v>
      </c>
      <c r="D92" s="10" t="s">
        <v>322</v>
      </c>
      <c r="E92" s="10" t="s">
        <v>323</v>
      </c>
      <c r="F92" s="10" t="s">
        <v>19</v>
      </c>
      <c r="G92" s="10" t="s">
        <v>135</v>
      </c>
      <c r="H92" s="10" t="s">
        <v>21</v>
      </c>
      <c r="I92" s="10" t="s">
        <v>22</v>
      </c>
      <c r="J92" s="10" t="s">
        <v>38</v>
      </c>
      <c r="K92" s="10" t="s">
        <v>39</v>
      </c>
      <c r="L92" s="12">
        <v>4750</v>
      </c>
      <c r="M92" s="10">
        <v>5</v>
      </c>
      <c r="N92" s="13">
        <v>0</v>
      </c>
      <c r="O92" s="14">
        <v>882.74</v>
      </c>
      <c r="P92" s="10" t="s">
        <v>48</v>
      </c>
    </row>
    <row r="93" spans="1:16">
      <c r="A93" s="10" t="s">
        <v>324</v>
      </c>
      <c r="B93" s="11">
        <v>45746</v>
      </c>
      <c r="C93" s="11">
        <v>46038</v>
      </c>
      <c r="D93" s="10" t="s">
        <v>325</v>
      </c>
      <c r="E93" s="10" t="s">
        <v>326</v>
      </c>
      <c r="F93" s="10" t="s">
        <v>43</v>
      </c>
      <c r="G93" s="10" t="s">
        <v>60</v>
      </c>
      <c r="H93" s="10" t="s">
        <v>61</v>
      </c>
      <c r="I93" s="10" t="s">
        <v>37</v>
      </c>
      <c r="J93" s="10" t="s">
        <v>23</v>
      </c>
      <c r="K93" s="10" t="s">
        <v>120</v>
      </c>
      <c r="L93" s="12">
        <v>3990</v>
      </c>
      <c r="M93" s="10">
        <v>1</v>
      </c>
      <c r="N93" s="13">
        <v>0.05</v>
      </c>
      <c r="O93" s="14">
        <v>660.36</v>
      </c>
      <c r="P93" s="10" t="s">
        <v>56</v>
      </c>
    </row>
    <row r="94" spans="1:16">
      <c r="A94" s="10" t="s">
        <v>327</v>
      </c>
      <c r="B94" s="11">
        <v>45542</v>
      </c>
      <c r="C94" s="11">
        <v>46039</v>
      </c>
      <c r="D94" s="10" t="s">
        <v>319</v>
      </c>
      <c r="E94" s="10" t="s">
        <v>328</v>
      </c>
      <c r="F94" s="10" t="s">
        <v>29</v>
      </c>
      <c r="G94" s="10" t="s">
        <v>81</v>
      </c>
      <c r="H94" s="10" t="s">
        <v>68</v>
      </c>
      <c r="I94" s="10" t="s">
        <v>22</v>
      </c>
      <c r="J94" s="10" t="s">
        <v>30</v>
      </c>
      <c r="K94" s="10" t="s">
        <v>31</v>
      </c>
      <c r="L94" s="12">
        <v>360</v>
      </c>
      <c r="M94" s="10">
        <v>3</v>
      </c>
      <c r="N94" s="13">
        <v>0</v>
      </c>
      <c r="O94" s="14">
        <v>79.75</v>
      </c>
      <c r="P94" s="10" t="s">
        <v>25</v>
      </c>
    </row>
    <row r="95" spans="1:16">
      <c r="A95" s="10" t="s">
        <v>329</v>
      </c>
      <c r="B95" s="11">
        <v>46226</v>
      </c>
      <c r="C95" s="11">
        <v>46040</v>
      </c>
      <c r="D95" s="10" t="s">
        <v>330</v>
      </c>
      <c r="E95" s="10" t="s">
        <v>287</v>
      </c>
      <c r="F95" s="10" t="s">
        <v>43</v>
      </c>
      <c r="G95" s="10" t="s">
        <v>97</v>
      </c>
      <c r="H95" s="10" t="s">
        <v>21</v>
      </c>
      <c r="I95" s="10" t="s">
        <v>22</v>
      </c>
      <c r="J95" s="10" t="s">
        <v>30</v>
      </c>
      <c r="K95" s="10" t="s">
        <v>127</v>
      </c>
      <c r="L95" s="12">
        <v>675</v>
      </c>
      <c r="M95" s="10">
        <v>5</v>
      </c>
      <c r="N95" s="13">
        <v>0.1</v>
      </c>
      <c r="O95" s="14">
        <v>201.57</v>
      </c>
      <c r="P95" s="10" t="s">
        <v>63</v>
      </c>
    </row>
    <row r="96" spans="1:16">
      <c r="A96" s="10" t="s">
        <v>331</v>
      </c>
      <c r="B96" s="11">
        <v>45453</v>
      </c>
      <c r="C96" s="11">
        <v>46041</v>
      </c>
      <c r="D96" s="10" t="s">
        <v>282</v>
      </c>
      <c r="E96" s="10" t="s">
        <v>332</v>
      </c>
      <c r="F96" s="10" t="s">
        <v>43</v>
      </c>
      <c r="G96" s="10" t="s">
        <v>73</v>
      </c>
      <c r="H96" s="10" t="s">
        <v>74</v>
      </c>
      <c r="I96" s="10" t="s">
        <v>75</v>
      </c>
      <c r="J96" s="10" t="s">
        <v>23</v>
      </c>
      <c r="K96" s="10" t="s">
        <v>47</v>
      </c>
      <c r="L96" s="12">
        <v>12400</v>
      </c>
      <c r="M96" s="10">
        <v>5</v>
      </c>
      <c r="N96" s="13">
        <v>0.2</v>
      </c>
      <c r="O96" s="14">
        <v>1238.42</v>
      </c>
      <c r="P96" s="10" t="s">
        <v>56</v>
      </c>
    </row>
    <row r="97" spans="1:16">
      <c r="A97" s="10" t="s">
        <v>333</v>
      </c>
      <c r="B97" s="11">
        <v>45685</v>
      </c>
      <c r="C97" s="11">
        <v>46042</v>
      </c>
      <c r="D97" s="10" t="s">
        <v>325</v>
      </c>
      <c r="E97" s="10" t="s">
        <v>264</v>
      </c>
      <c r="F97" s="10" t="s">
        <v>19</v>
      </c>
      <c r="G97" s="10" t="s">
        <v>73</v>
      </c>
      <c r="H97" s="10" t="s">
        <v>74</v>
      </c>
      <c r="I97" s="10" t="s">
        <v>75</v>
      </c>
      <c r="J97" s="10" t="s">
        <v>38</v>
      </c>
      <c r="K97" s="10" t="s">
        <v>39</v>
      </c>
      <c r="L97" s="12">
        <v>5652.5</v>
      </c>
      <c r="M97" s="10">
        <v>7</v>
      </c>
      <c r="N97" s="13">
        <v>0.15</v>
      </c>
      <c r="O97" s="14">
        <v>1493.22</v>
      </c>
      <c r="P97" s="10" t="s">
        <v>25</v>
      </c>
    </row>
    <row r="98" spans="1:16">
      <c r="A98" s="10" t="s">
        <v>334</v>
      </c>
      <c r="B98" s="11">
        <v>45573</v>
      </c>
      <c r="C98" s="11">
        <v>46043</v>
      </c>
      <c r="D98" s="10" t="s">
        <v>335</v>
      </c>
      <c r="E98" s="10" t="s">
        <v>240</v>
      </c>
      <c r="F98" s="10" t="s">
        <v>43</v>
      </c>
      <c r="G98" s="10" t="s">
        <v>224</v>
      </c>
      <c r="H98" s="10" t="s">
        <v>225</v>
      </c>
      <c r="I98" s="10" t="s">
        <v>75</v>
      </c>
      <c r="J98" s="10" t="s">
        <v>38</v>
      </c>
      <c r="K98" s="10" t="s">
        <v>62</v>
      </c>
      <c r="L98" s="12">
        <v>64600</v>
      </c>
      <c r="M98" s="10">
        <v>8</v>
      </c>
      <c r="N98" s="13">
        <v>0.05</v>
      </c>
      <c r="O98" s="14">
        <v>11034.15</v>
      </c>
      <c r="P98" s="10" t="s">
        <v>56</v>
      </c>
    </row>
    <row r="99" spans="1:16">
      <c r="A99" s="10" t="s">
        <v>336</v>
      </c>
      <c r="B99" s="11">
        <v>45943</v>
      </c>
      <c r="C99" s="11">
        <v>46044</v>
      </c>
      <c r="D99" s="10" t="s">
        <v>337</v>
      </c>
      <c r="E99" s="10" t="s">
        <v>338</v>
      </c>
      <c r="F99" s="10" t="s">
        <v>19</v>
      </c>
      <c r="G99" s="10" t="s">
        <v>224</v>
      </c>
      <c r="H99" s="10" t="s">
        <v>225</v>
      </c>
      <c r="I99" s="10" t="s">
        <v>75</v>
      </c>
      <c r="J99" s="10" t="s">
        <v>23</v>
      </c>
      <c r="K99" s="10" t="s">
        <v>24</v>
      </c>
      <c r="L99" s="12">
        <v>10400</v>
      </c>
      <c r="M99" s="10">
        <v>2</v>
      </c>
      <c r="N99" s="13">
        <v>0.2</v>
      </c>
      <c r="O99" s="14">
        <v>1892.29</v>
      </c>
      <c r="P99" s="10" t="s">
        <v>69</v>
      </c>
    </row>
    <row r="100" spans="1:16">
      <c r="A100" s="10" t="s">
        <v>339</v>
      </c>
      <c r="B100" s="11">
        <v>46041</v>
      </c>
      <c r="C100" s="11">
        <v>46045</v>
      </c>
      <c r="D100" s="10" t="s">
        <v>340</v>
      </c>
      <c r="E100" s="10" t="s">
        <v>341</v>
      </c>
      <c r="F100" s="10" t="s">
        <v>43</v>
      </c>
      <c r="G100" s="10" t="s">
        <v>20</v>
      </c>
      <c r="H100" s="10" t="s">
        <v>21</v>
      </c>
      <c r="I100" s="10" t="s">
        <v>22</v>
      </c>
      <c r="J100" s="10" t="s">
        <v>23</v>
      </c>
      <c r="K100" s="10" t="s">
        <v>89</v>
      </c>
      <c r="L100" s="12">
        <v>19600</v>
      </c>
      <c r="M100" s="10">
        <v>7</v>
      </c>
      <c r="N100" s="13">
        <v>0</v>
      </c>
      <c r="O100" s="14">
        <v>6424.75</v>
      </c>
      <c r="P100" s="10" t="s">
        <v>63</v>
      </c>
    </row>
    <row r="101" spans="1:16">
      <c r="A101" s="10" t="s">
        <v>342</v>
      </c>
      <c r="B101" s="11">
        <v>45805</v>
      </c>
      <c r="C101" s="11">
        <v>46046</v>
      </c>
      <c r="D101" s="10" t="s">
        <v>343</v>
      </c>
      <c r="E101" s="10" t="s">
        <v>344</v>
      </c>
      <c r="F101" s="10" t="s">
        <v>29</v>
      </c>
      <c r="G101" s="10" t="s">
        <v>44</v>
      </c>
      <c r="H101" s="10" t="s">
        <v>45</v>
      </c>
      <c r="I101" s="10" t="s">
        <v>46</v>
      </c>
      <c r="J101" s="10" t="s">
        <v>30</v>
      </c>
      <c r="K101" s="10" t="s">
        <v>173</v>
      </c>
      <c r="L101" s="12">
        <v>2432</v>
      </c>
      <c r="M101" s="10">
        <v>8</v>
      </c>
      <c r="N101" s="13">
        <v>0.05</v>
      </c>
      <c r="O101" s="14">
        <v>433.86</v>
      </c>
      <c r="P101" s="10" t="s">
        <v>56</v>
      </c>
    </row>
    <row r="102" spans="1:16">
      <c r="A102" s="10" t="s">
        <v>345</v>
      </c>
      <c r="B102" s="11">
        <v>46064</v>
      </c>
      <c r="C102" s="11">
        <v>46047</v>
      </c>
      <c r="D102" s="10" t="s">
        <v>242</v>
      </c>
      <c r="E102" s="10" t="s">
        <v>154</v>
      </c>
      <c r="F102" s="10" t="s">
        <v>29</v>
      </c>
      <c r="G102" s="10" t="s">
        <v>44</v>
      </c>
      <c r="H102" s="10" t="s">
        <v>45</v>
      </c>
      <c r="I102" s="10" t="s">
        <v>46</v>
      </c>
      <c r="J102" s="10" t="s">
        <v>76</v>
      </c>
      <c r="K102" s="10" t="s">
        <v>85</v>
      </c>
      <c r="L102" s="12">
        <v>1320</v>
      </c>
      <c r="M102" s="10">
        <v>6</v>
      </c>
      <c r="N102" s="13">
        <v>0</v>
      </c>
      <c r="O102" s="14">
        <v>230.24</v>
      </c>
      <c r="P102" s="10" t="s">
        <v>25</v>
      </c>
    </row>
    <row r="103" spans="1:16">
      <c r="A103" s="10" t="s">
        <v>346</v>
      </c>
      <c r="B103" s="11">
        <v>45669</v>
      </c>
      <c r="C103" s="11">
        <v>46048</v>
      </c>
      <c r="D103" s="10" t="s">
        <v>347</v>
      </c>
      <c r="E103" s="10" t="s">
        <v>199</v>
      </c>
      <c r="F103" s="10" t="s">
        <v>29</v>
      </c>
      <c r="G103" s="10" t="s">
        <v>60</v>
      </c>
      <c r="H103" s="10" t="s">
        <v>61</v>
      </c>
      <c r="I103" s="10" t="s">
        <v>37</v>
      </c>
      <c r="J103" s="10" t="s">
        <v>23</v>
      </c>
      <c r="K103" s="10" t="s">
        <v>47</v>
      </c>
      <c r="L103" s="12">
        <v>17360</v>
      </c>
      <c r="M103" s="10">
        <v>7</v>
      </c>
      <c r="N103" s="13">
        <v>0.2</v>
      </c>
      <c r="O103" s="14">
        <v>1831.9</v>
      </c>
      <c r="P103" s="10" t="s">
        <v>63</v>
      </c>
    </row>
    <row r="104" spans="1:16">
      <c r="A104" s="10" t="s">
        <v>348</v>
      </c>
      <c r="B104" s="11">
        <v>46197</v>
      </c>
      <c r="C104" s="11">
        <v>46049</v>
      </c>
      <c r="D104" s="10" t="s">
        <v>349</v>
      </c>
      <c r="E104" s="10" t="s">
        <v>350</v>
      </c>
      <c r="F104" s="10" t="s">
        <v>29</v>
      </c>
      <c r="G104" s="10" t="s">
        <v>67</v>
      </c>
      <c r="H104" s="10" t="s">
        <v>68</v>
      </c>
      <c r="I104" s="10" t="s">
        <v>22</v>
      </c>
      <c r="J104" s="10" t="s">
        <v>30</v>
      </c>
      <c r="K104" s="10" t="s">
        <v>261</v>
      </c>
      <c r="L104" s="12">
        <v>1152</v>
      </c>
      <c r="M104" s="10">
        <v>8</v>
      </c>
      <c r="N104" s="13">
        <v>0.2</v>
      </c>
      <c r="O104" s="14">
        <v>312.69</v>
      </c>
      <c r="P104" s="10" t="s">
        <v>48</v>
      </c>
    </row>
    <row r="105" spans="1:16">
      <c r="A105" s="10" t="s">
        <v>351</v>
      </c>
      <c r="B105" s="11">
        <v>45603</v>
      </c>
      <c r="C105" s="11">
        <v>46050</v>
      </c>
      <c r="D105" s="10" t="s">
        <v>352</v>
      </c>
      <c r="E105" s="10" t="s">
        <v>28</v>
      </c>
      <c r="F105" s="10" t="s">
        <v>19</v>
      </c>
      <c r="G105" s="10" t="s">
        <v>20</v>
      </c>
      <c r="H105" s="10" t="s">
        <v>21</v>
      </c>
      <c r="I105" s="10" t="s">
        <v>22</v>
      </c>
      <c r="J105" s="10" t="s">
        <v>38</v>
      </c>
      <c r="K105" s="10" t="s">
        <v>39</v>
      </c>
      <c r="L105" s="12">
        <v>2565</v>
      </c>
      <c r="M105" s="10">
        <v>3</v>
      </c>
      <c r="N105" s="13">
        <v>0.1</v>
      </c>
      <c r="O105" s="14">
        <v>633.69000000000005</v>
      </c>
      <c r="P105" s="10" t="s">
        <v>56</v>
      </c>
    </row>
    <row r="106" spans="1:16">
      <c r="A106" s="10" t="s">
        <v>353</v>
      </c>
      <c r="B106" s="11">
        <v>46198</v>
      </c>
      <c r="C106" s="11">
        <v>46051</v>
      </c>
      <c r="D106" s="10" t="s">
        <v>354</v>
      </c>
      <c r="E106" s="10" t="s">
        <v>235</v>
      </c>
      <c r="F106" s="10" t="s">
        <v>43</v>
      </c>
      <c r="G106" s="10" t="s">
        <v>167</v>
      </c>
      <c r="H106" s="10" t="s">
        <v>168</v>
      </c>
      <c r="I106" s="10" t="s">
        <v>37</v>
      </c>
      <c r="J106" s="10" t="s">
        <v>38</v>
      </c>
      <c r="K106" s="10" t="s">
        <v>55</v>
      </c>
      <c r="L106" s="12">
        <v>3657.5</v>
      </c>
      <c r="M106" s="10">
        <v>7</v>
      </c>
      <c r="N106" s="13">
        <v>0.05</v>
      </c>
      <c r="O106" s="14">
        <v>1331.31</v>
      </c>
      <c r="P106" s="10" t="s">
        <v>56</v>
      </c>
    </row>
    <row r="107" spans="1:16">
      <c r="A107" s="10" t="s">
        <v>355</v>
      </c>
      <c r="B107" s="11">
        <v>46167</v>
      </c>
      <c r="C107" s="11">
        <v>46052</v>
      </c>
      <c r="D107" s="10" t="s">
        <v>356</v>
      </c>
      <c r="E107" s="10" t="s">
        <v>290</v>
      </c>
      <c r="F107" s="10" t="s">
        <v>43</v>
      </c>
      <c r="G107" s="10" t="s">
        <v>20</v>
      </c>
      <c r="H107" s="10" t="s">
        <v>21</v>
      </c>
      <c r="I107" s="10" t="s">
        <v>22</v>
      </c>
      <c r="J107" s="10" t="s">
        <v>23</v>
      </c>
      <c r="K107" s="10" t="s">
        <v>47</v>
      </c>
      <c r="L107" s="12">
        <v>18600</v>
      </c>
      <c r="M107" s="10">
        <v>6</v>
      </c>
      <c r="N107" s="13">
        <v>0</v>
      </c>
      <c r="O107" s="14">
        <v>5142.6000000000004</v>
      </c>
      <c r="P107" s="10" t="s">
        <v>48</v>
      </c>
    </row>
    <row r="108" spans="1:16">
      <c r="A108" s="10" t="s">
        <v>357</v>
      </c>
      <c r="B108" s="11">
        <v>45970</v>
      </c>
      <c r="C108" s="11">
        <v>46053</v>
      </c>
      <c r="D108" s="10" t="s">
        <v>340</v>
      </c>
      <c r="E108" s="10" t="s">
        <v>358</v>
      </c>
      <c r="F108" s="10" t="s">
        <v>29</v>
      </c>
      <c r="G108" s="10" t="s">
        <v>167</v>
      </c>
      <c r="H108" s="10" t="s">
        <v>168</v>
      </c>
      <c r="I108" s="10" t="s">
        <v>37</v>
      </c>
      <c r="J108" s="10" t="s">
        <v>38</v>
      </c>
      <c r="K108" s="10" t="s">
        <v>104</v>
      </c>
      <c r="L108" s="12">
        <v>3900</v>
      </c>
      <c r="M108" s="10">
        <v>6</v>
      </c>
      <c r="N108" s="13">
        <v>0</v>
      </c>
      <c r="O108" s="14">
        <v>479.34</v>
      </c>
      <c r="P108" s="10" t="s">
        <v>63</v>
      </c>
    </row>
    <row r="109" spans="1:16">
      <c r="A109" s="10" t="s">
        <v>359</v>
      </c>
      <c r="B109" s="11">
        <v>45504</v>
      </c>
      <c r="C109" s="11">
        <v>46054</v>
      </c>
      <c r="D109" s="10" t="s">
        <v>360</v>
      </c>
      <c r="E109" s="10" t="s">
        <v>100</v>
      </c>
      <c r="F109" s="10" t="s">
        <v>19</v>
      </c>
      <c r="G109" s="10" t="s">
        <v>111</v>
      </c>
      <c r="H109" s="10" t="s">
        <v>21</v>
      </c>
      <c r="I109" s="10" t="s">
        <v>22</v>
      </c>
      <c r="J109" s="10" t="s">
        <v>30</v>
      </c>
      <c r="K109" s="10" t="s">
        <v>173</v>
      </c>
      <c r="L109" s="12">
        <v>816</v>
      </c>
      <c r="M109" s="10">
        <v>3</v>
      </c>
      <c r="N109" s="13">
        <v>0.15</v>
      </c>
      <c r="O109" s="14">
        <v>291.12</v>
      </c>
      <c r="P109" s="10" t="s">
        <v>69</v>
      </c>
    </row>
    <row r="110" spans="1:16">
      <c r="A110" s="10" t="s">
        <v>361</v>
      </c>
      <c r="B110" s="11">
        <v>46109</v>
      </c>
      <c r="C110" s="11">
        <v>46055</v>
      </c>
      <c r="D110" s="10" t="s">
        <v>362</v>
      </c>
      <c r="E110" s="10" t="s">
        <v>314</v>
      </c>
      <c r="F110" s="10" t="s">
        <v>29</v>
      </c>
      <c r="G110" s="10" t="s">
        <v>20</v>
      </c>
      <c r="H110" s="10" t="s">
        <v>21</v>
      </c>
      <c r="I110" s="10" t="s">
        <v>22</v>
      </c>
      <c r="J110" s="10" t="s">
        <v>38</v>
      </c>
      <c r="K110" s="10" t="s">
        <v>39</v>
      </c>
      <c r="L110" s="12">
        <v>902.5</v>
      </c>
      <c r="M110" s="10">
        <v>1</v>
      </c>
      <c r="N110" s="13">
        <v>0.05</v>
      </c>
      <c r="O110" s="14">
        <v>150.81</v>
      </c>
      <c r="P110" s="10" t="s">
        <v>56</v>
      </c>
    </row>
    <row r="111" spans="1:16">
      <c r="A111" s="10" t="s">
        <v>363</v>
      </c>
      <c r="B111" s="11">
        <v>45563</v>
      </c>
      <c r="C111" s="11">
        <v>46056</v>
      </c>
      <c r="D111" s="10" t="s">
        <v>118</v>
      </c>
      <c r="E111" s="10" t="s">
        <v>364</v>
      </c>
      <c r="F111" s="10" t="s">
        <v>19</v>
      </c>
      <c r="G111" s="10" t="s">
        <v>97</v>
      </c>
      <c r="H111" s="10" t="s">
        <v>21</v>
      </c>
      <c r="I111" s="10" t="s">
        <v>22</v>
      </c>
      <c r="J111" s="10" t="s">
        <v>76</v>
      </c>
      <c r="K111" s="10" t="s">
        <v>85</v>
      </c>
      <c r="L111" s="12">
        <v>352</v>
      </c>
      <c r="M111" s="10">
        <v>2</v>
      </c>
      <c r="N111" s="13">
        <v>0.2</v>
      </c>
      <c r="O111" s="14">
        <v>117.38</v>
      </c>
      <c r="P111" s="10" t="s">
        <v>48</v>
      </c>
    </row>
    <row r="112" spans="1:16">
      <c r="A112" s="10" t="s">
        <v>365</v>
      </c>
      <c r="B112" s="11">
        <v>45754</v>
      </c>
      <c r="C112" s="11">
        <v>46057</v>
      </c>
      <c r="D112" s="10" t="s">
        <v>298</v>
      </c>
      <c r="E112" s="10" t="s">
        <v>366</v>
      </c>
      <c r="F112" s="10" t="s">
        <v>43</v>
      </c>
      <c r="G112" s="10" t="s">
        <v>111</v>
      </c>
      <c r="H112" s="10" t="s">
        <v>21</v>
      </c>
      <c r="I112" s="10" t="s">
        <v>22</v>
      </c>
      <c r="J112" s="10" t="s">
        <v>38</v>
      </c>
      <c r="K112" s="10" t="s">
        <v>62</v>
      </c>
      <c r="L112" s="12">
        <v>38250</v>
      </c>
      <c r="M112" s="10">
        <v>5</v>
      </c>
      <c r="N112" s="13">
        <v>0.1</v>
      </c>
      <c r="O112" s="14">
        <v>7563.23</v>
      </c>
      <c r="P112" s="10" t="s">
        <v>25</v>
      </c>
    </row>
    <row r="113" spans="1:16">
      <c r="A113" s="10" t="s">
        <v>367</v>
      </c>
      <c r="B113" s="11">
        <v>45994</v>
      </c>
      <c r="C113" s="11">
        <v>46058</v>
      </c>
      <c r="D113" s="10" t="s">
        <v>65</v>
      </c>
      <c r="E113" s="10" t="s">
        <v>150</v>
      </c>
      <c r="F113" s="10" t="s">
        <v>19</v>
      </c>
      <c r="G113" s="10" t="s">
        <v>73</v>
      </c>
      <c r="H113" s="10" t="s">
        <v>74</v>
      </c>
      <c r="I113" s="10" t="s">
        <v>75</v>
      </c>
      <c r="J113" s="10" t="s">
        <v>76</v>
      </c>
      <c r="K113" s="10" t="s">
        <v>206</v>
      </c>
      <c r="L113" s="12">
        <v>2090</v>
      </c>
      <c r="M113" s="10">
        <v>2</v>
      </c>
      <c r="N113" s="13">
        <v>0.05</v>
      </c>
      <c r="O113" s="14">
        <v>447.98</v>
      </c>
      <c r="P113" s="10" t="s">
        <v>63</v>
      </c>
    </row>
    <row r="114" spans="1:16">
      <c r="A114" s="10" t="s">
        <v>368</v>
      </c>
      <c r="B114" s="11">
        <v>45853</v>
      </c>
      <c r="C114" s="11">
        <v>46059</v>
      </c>
      <c r="D114" s="10" t="s">
        <v>193</v>
      </c>
      <c r="E114" s="10" t="s">
        <v>323</v>
      </c>
      <c r="F114" s="10" t="s">
        <v>19</v>
      </c>
      <c r="G114" s="10" t="s">
        <v>67</v>
      </c>
      <c r="H114" s="10" t="s">
        <v>68</v>
      </c>
      <c r="I114" s="10" t="s">
        <v>22</v>
      </c>
      <c r="J114" s="10" t="s">
        <v>76</v>
      </c>
      <c r="K114" s="10" t="s">
        <v>85</v>
      </c>
      <c r="L114" s="12">
        <v>990</v>
      </c>
      <c r="M114" s="10">
        <v>5</v>
      </c>
      <c r="N114" s="13">
        <v>0.1</v>
      </c>
      <c r="O114" s="14">
        <v>231.22</v>
      </c>
      <c r="P114" s="10" t="s">
        <v>48</v>
      </c>
    </row>
    <row r="115" spans="1:16">
      <c r="A115" s="10" t="s">
        <v>369</v>
      </c>
      <c r="B115" s="11">
        <v>46165</v>
      </c>
      <c r="C115" s="11">
        <v>46060</v>
      </c>
      <c r="D115" s="10" t="s">
        <v>370</v>
      </c>
      <c r="E115" s="10" t="s">
        <v>59</v>
      </c>
      <c r="F115" s="10" t="s">
        <v>43</v>
      </c>
      <c r="G115" s="10" t="s">
        <v>167</v>
      </c>
      <c r="H115" s="10" t="s">
        <v>168</v>
      </c>
      <c r="I115" s="10" t="s">
        <v>37</v>
      </c>
      <c r="J115" s="10" t="s">
        <v>30</v>
      </c>
      <c r="K115" s="10" t="s">
        <v>127</v>
      </c>
      <c r="L115" s="12">
        <v>1200</v>
      </c>
      <c r="M115" s="10">
        <v>8</v>
      </c>
      <c r="N115" s="13">
        <v>0</v>
      </c>
      <c r="O115" s="14">
        <v>326.89</v>
      </c>
      <c r="P115" s="10" t="s">
        <v>48</v>
      </c>
    </row>
    <row r="116" spans="1:16">
      <c r="A116" s="10" t="s">
        <v>371</v>
      </c>
      <c r="B116" s="11">
        <v>45612</v>
      </c>
      <c r="C116" s="11">
        <v>46061</v>
      </c>
      <c r="D116" s="10" t="s">
        <v>372</v>
      </c>
      <c r="E116" s="10" t="s">
        <v>373</v>
      </c>
      <c r="F116" s="10" t="s">
        <v>29</v>
      </c>
      <c r="G116" s="10" t="s">
        <v>67</v>
      </c>
      <c r="H116" s="10" t="s">
        <v>68</v>
      </c>
      <c r="I116" s="10" t="s">
        <v>22</v>
      </c>
      <c r="J116" s="10" t="s">
        <v>23</v>
      </c>
      <c r="K116" s="10" t="s">
        <v>89</v>
      </c>
      <c r="L116" s="12">
        <v>6720</v>
      </c>
      <c r="M116" s="10">
        <v>3</v>
      </c>
      <c r="N116" s="13">
        <v>0.2</v>
      </c>
      <c r="O116" s="14">
        <v>739.36</v>
      </c>
      <c r="P116" s="10" t="s">
        <v>48</v>
      </c>
    </row>
    <row r="117" spans="1:16">
      <c r="A117" s="10" t="s">
        <v>374</v>
      </c>
      <c r="B117" s="11">
        <v>45734</v>
      </c>
      <c r="C117" s="11">
        <v>46062</v>
      </c>
      <c r="D117" s="10" t="s">
        <v>375</v>
      </c>
      <c r="E117" s="10" t="s">
        <v>320</v>
      </c>
      <c r="F117" s="10" t="s">
        <v>29</v>
      </c>
      <c r="G117" s="10" t="s">
        <v>60</v>
      </c>
      <c r="H117" s="10" t="s">
        <v>61</v>
      </c>
      <c r="I117" s="10" t="s">
        <v>37</v>
      </c>
      <c r="J117" s="10" t="s">
        <v>23</v>
      </c>
      <c r="K117" s="10" t="s">
        <v>24</v>
      </c>
      <c r="L117" s="12">
        <v>5525</v>
      </c>
      <c r="M117" s="10">
        <v>1</v>
      </c>
      <c r="N117" s="13">
        <v>0.15</v>
      </c>
      <c r="O117" s="14">
        <v>601</v>
      </c>
      <c r="P117" s="10" t="s">
        <v>25</v>
      </c>
    </row>
    <row r="118" spans="1:16">
      <c r="A118" s="10" t="s">
        <v>376</v>
      </c>
      <c r="B118" s="11">
        <v>45654</v>
      </c>
      <c r="C118" s="11">
        <v>46063</v>
      </c>
      <c r="D118" s="10" t="s">
        <v>377</v>
      </c>
      <c r="E118" s="10" t="s">
        <v>378</v>
      </c>
      <c r="F118" s="10" t="s">
        <v>29</v>
      </c>
      <c r="G118" s="10" t="s">
        <v>167</v>
      </c>
      <c r="H118" s="10" t="s">
        <v>168</v>
      </c>
      <c r="I118" s="10" t="s">
        <v>37</v>
      </c>
      <c r="J118" s="10" t="s">
        <v>76</v>
      </c>
      <c r="K118" s="10" t="s">
        <v>206</v>
      </c>
      <c r="L118" s="12">
        <v>4675</v>
      </c>
      <c r="M118" s="10">
        <v>5</v>
      </c>
      <c r="N118" s="13">
        <v>0.15</v>
      </c>
      <c r="O118" s="14">
        <v>1291.53</v>
      </c>
      <c r="P118" s="10" t="s">
        <v>56</v>
      </c>
    </row>
    <row r="119" spans="1:16">
      <c r="A119" s="10" t="s">
        <v>379</v>
      </c>
      <c r="B119" s="11">
        <v>45964</v>
      </c>
      <c r="C119" s="11">
        <v>46064</v>
      </c>
      <c r="D119" s="10" t="s">
        <v>113</v>
      </c>
      <c r="E119" s="10" t="s">
        <v>51</v>
      </c>
      <c r="F119" s="10" t="s">
        <v>43</v>
      </c>
      <c r="G119" s="10" t="s">
        <v>111</v>
      </c>
      <c r="H119" s="10" t="s">
        <v>21</v>
      </c>
      <c r="I119" s="10" t="s">
        <v>22</v>
      </c>
      <c r="J119" s="10" t="s">
        <v>38</v>
      </c>
      <c r="K119" s="10" t="s">
        <v>169</v>
      </c>
      <c r="L119" s="12">
        <v>8700</v>
      </c>
      <c r="M119" s="10">
        <v>6</v>
      </c>
      <c r="N119" s="13">
        <v>0</v>
      </c>
      <c r="O119" s="14">
        <v>1580.99</v>
      </c>
      <c r="P119" s="10" t="s">
        <v>63</v>
      </c>
    </row>
    <row r="120" spans="1:16">
      <c r="A120" s="10" t="s">
        <v>380</v>
      </c>
      <c r="B120" s="11">
        <v>46289</v>
      </c>
      <c r="C120" s="11">
        <v>46065</v>
      </c>
      <c r="D120" s="10" t="s">
        <v>381</v>
      </c>
      <c r="E120" s="10" t="s">
        <v>382</v>
      </c>
      <c r="F120" s="10" t="s">
        <v>43</v>
      </c>
      <c r="G120" s="10" t="s">
        <v>44</v>
      </c>
      <c r="H120" s="10" t="s">
        <v>45</v>
      </c>
      <c r="I120" s="10" t="s">
        <v>46</v>
      </c>
      <c r="J120" s="10" t="s">
        <v>38</v>
      </c>
      <c r="K120" s="10" t="s">
        <v>62</v>
      </c>
      <c r="L120" s="12">
        <v>42500</v>
      </c>
      <c r="M120" s="10">
        <v>5</v>
      </c>
      <c r="N120" s="13">
        <v>0</v>
      </c>
      <c r="O120" s="14">
        <v>14156.4</v>
      </c>
      <c r="P120" s="10" t="s">
        <v>69</v>
      </c>
    </row>
    <row r="121" spans="1:16">
      <c r="A121" s="10" t="s">
        <v>383</v>
      </c>
      <c r="B121" s="11">
        <v>45298</v>
      </c>
      <c r="C121" s="11">
        <v>46066</v>
      </c>
      <c r="D121" s="10" t="s">
        <v>384</v>
      </c>
      <c r="E121" s="10" t="s">
        <v>123</v>
      </c>
      <c r="F121" s="10" t="s">
        <v>19</v>
      </c>
      <c r="G121" s="10" t="s">
        <v>44</v>
      </c>
      <c r="H121" s="10" t="s">
        <v>45</v>
      </c>
      <c r="I121" s="10" t="s">
        <v>46</v>
      </c>
      <c r="J121" s="10" t="s">
        <v>30</v>
      </c>
      <c r="K121" s="10" t="s">
        <v>93</v>
      </c>
      <c r="L121" s="12">
        <v>630</v>
      </c>
      <c r="M121" s="10">
        <v>7</v>
      </c>
      <c r="N121" s="13">
        <v>0</v>
      </c>
      <c r="O121" s="14">
        <v>216.16</v>
      </c>
      <c r="P121" s="10" t="s">
        <v>63</v>
      </c>
    </row>
    <row r="122" spans="1:16">
      <c r="A122" s="10" t="s">
        <v>385</v>
      </c>
      <c r="B122" s="11">
        <v>45512</v>
      </c>
      <c r="C122" s="11">
        <v>46067</v>
      </c>
      <c r="D122" s="10" t="s">
        <v>386</v>
      </c>
      <c r="E122" s="10" t="s">
        <v>194</v>
      </c>
      <c r="F122" s="10" t="s">
        <v>29</v>
      </c>
      <c r="G122" s="10" t="s">
        <v>81</v>
      </c>
      <c r="H122" s="10" t="s">
        <v>68</v>
      </c>
      <c r="I122" s="10" t="s">
        <v>22</v>
      </c>
      <c r="J122" s="10" t="s">
        <v>76</v>
      </c>
      <c r="K122" s="10" t="s">
        <v>229</v>
      </c>
      <c r="L122" s="12">
        <v>5415</v>
      </c>
      <c r="M122" s="10">
        <v>3</v>
      </c>
      <c r="N122" s="13">
        <v>0.05</v>
      </c>
      <c r="O122" s="14">
        <v>1578.33</v>
      </c>
      <c r="P122" s="10" t="s">
        <v>48</v>
      </c>
    </row>
    <row r="123" spans="1:16">
      <c r="A123" s="10" t="s">
        <v>387</v>
      </c>
      <c r="B123" s="11">
        <v>45451</v>
      </c>
      <c r="C123" s="11">
        <v>46068</v>
      </c>
      <c r="D123" s="10" t="s">
        <v>388</v>
      </c>
      <c r="E123" s="10" t="s">
        <v>389</v>
      </c>
      <c r="F123" s="10" t="s">
        <v>43</v>
      </c>
      <c r="G123" s="10" t="s">
        <v>35</v>
      </c>
      <c r="H123" s="10" t="s">
        <v>36</v>
      </c>
      <c r="I123" s="10" t="s">
        <v>37</v>
      </c>
      <c r="J123" s="10" t="s">
        <v>38</v>
      </c>
      <c r="K123" s="10" t="s">
        <v>104</v>
      </c>
      <c r="L123" s="12">
        <v>2925</v>
      </c>
      <c r="M123" s="10">
        <v>5</v>
      </c>
      <c r="N123" s="13">
        <v>0.1</v>
      </c>
      <c r="O123" s="14">
        <v>564.22</v>
      </c>
      <c r="P123" s="10" t="s">
        <v>69</v>
      </c>
    </row>
    <row r="124" spans="1:16">
      <c r="A124" s="10" t="s">
        <v>390</v>
      </c>
      <c r="B124" s="11">
        <v>45512</v>
      </c>
      <c r="C124" s="11">
        <v>46069</v>
      </c>
      <c r="D124" s="10" t="s">
        <v>17</v>
      </c>
      <c r="E124" s="10" t="s">
        <v>114</v>
      </c>
      <c r="F124" s="10" t="s">
        <v>19</v>
      </c>
      <c r="G124" s="10" t="s">
        <v>151</v>
      </c>
      <c r="H124" s="10" t="s">
        <v>151</v>
      </c>
      <c r="I124" s="10" t="s">
        <v>75</v>
      </c>
      <c r="J124" s="10" t="s">
        <v>38</v>
      </c>
      <c r="K124" s="10" t="s">
        <v>169</v>
      </c>
      <c r="L124" s="12">
        <v>10150</v>
      </c>
      <c r="M124" s="10">
        <v>7</v>
      </c>
      <c r="N124" s="13">
        <v>0</v>
      </c>
      <c r="O124" s="14">
        <v>3109.51</v>
      </c>
      <c r="P124" s="10" t="s">
        <v>69</v>
      </c>
    </row>
    <row r="125" spans="1:16">
      <c r="A125" s="10" t="s">
        <v>391</v>
      </c>
      <c r="B125" s="11">
        <v>45338</v>
      </c>
      <c r="C125" s="11">
        <v>46070</v>
      </c>
      <c r="D125" s="10" t="s">
        <v>392</v>
      </c>
      <c r="E125" s="10" t="s">
        <v>393</v>
      </c>
      <c r="F125" s="10" t="s">
        <v>43</v>
      </c>
      <c r="G125" s="10" t="s">
        <v>81</v>
      </c>
      <c r="H125" s="10" t="s">
        <v>68</v>
      </c>
      <c r="I125" s="10" t="s">
        <v>22</v>
      </c>
      <c r="J125" s="10" t="s">
        <v>38</v>
      </c>
      <c r="K125" s="10" t="s">
        <v>104</v>
      </c>
      <c r="L125" s="12">
        <v>2470</v>
      </c>
      <c r="M125" s="10">
        <v>4</v>
      </c>
      <c r="N125" s="13">
        <v>0.05</v>
      </c>
      <c r="O125" s="14">
        <v>312.99</v>
      </c>
      <c r="P125" s="10" t="s">
        <v>69</v>
      </c>
    </row>
    <row r="126" spans="1:16">
      <c r="A126" s="10" t="s">
        <v>394</v>
      </c>
      <c r="B126" s="11">
        <v>45627</v>
      </c>
      <c r="C126" s="11">
        <v>46071</v>
      </c>
      <c r="D126" s="10" t="s">
        <v>213</v>
      </c>
      <c r="E126" s="10" t="s">
        <v>395</v>
      </c>
      <c r="F126" s="10" t="s">
        <v>19</v>
      </c>
      <c r="G126" s="10" t="s">
        <v>135</v>
      </c>
      <c r="H126" s="10" t="s">
        <v>21</v>
      </c>
      <c r="I126" s="10" t="s">
        <v>22</v>
      </c>
      <c r="J126" s="10" t="s">
        <v>76</v>
      </c>
      <c r="K126" s="10" t="s">
        <v>77</v>
      </c>
      <c r="L126" s="12">
        <v>4800</v>
      </c>
      <c r="M126" s="10">
        <v>3</v>
      </c>
      <c r="N126" s="13">
        <v>0</v>
      </c>
      <c r="O126" s="14">
        <v>1349.5</v>
      </c>
      <c r="P126" s="10" t="s">
        <v>69</v>
      </c>
    </row>
    <row r="127" spans="1:16">
      <c r="A127" s="10" t="s">
        <v>396</v>
      </c>
      <c r="B127" s="11">
        <v>45365</v>
      </c>
      <c r="C127" s="11">
        <v>46072</v>
      </c>
      <c r="D127" s="10" t="s">
        <v>268</v>
      </c>
      <c r="E127" s="10" t="s">
        <v>397</v>
      </c>
      <c r="F127" s="10" t="s">
        <v>43</v>
      </c>
      <c r="G127" s="10" t="s">
        <v>44</v>
      </c>
      <c r="H127" s="10" t="s">
        <v>45</v>
      </c>
      <c r="I127" s="10" t="s">
        <v>46</v>
      </c>
      <c r="J127" s="10" t="s">
        <v>38</v>
      </c>
      <c r="K127" s="10" t="s">
        <v>55</v>
      </c>
      <c r="L127" s="12">
        <v>495</v>
      </c>
      <c r="M127" s="10">
        <v>1</v>
      </c>
      <c r="N127" s="13">
        <v>0.1</v>
      </c>
      <c r="O127" s="14">
        <v>62.12</v>
      </c>
      <c r="P127" s="10" t="s">
        <v>63</v>
      </c>
    </row>
    <row r="128" spans="1:16">
      <c r="A128" s="10" t="s">
        <v>398</v>
      </c>
      <c r="B128" s="11">
        <v>45706</v>
      </c>
      <c r="C128" s="11">
        <v>46073</v>
      </c>
      <c r="D128" s="10" t="s">
        <v>386</v>
      </c>
      <c r="E128" s="10" t="s">
        <v>399</v>
      </c>
      <c r="F128" s="10" t="s">
        <v>19</v>
      </c>
      <c r="G128" s="10" t="s">
        <v>167</v>
      </c>
      <c r="H128" s="10" t="s">
        <v>168</v>
      </c>
      <c r="I128" s="10" t="s">
        <v>37</v>
      </c>
      <c r="J128" s="10" t="s">
        <v>76</v>
      </c>
      <c r="K128" s="10" t="s">
        <v>229</v>
      </c>
      <c r="L128" s="12">
        <v>3420</v>
      </c>
      <c r="M128" s="10">
        <v>2</v>
      </c>
      <c r="N128" s="13">
        <v>0.1</v>
      </c>
      <c r="O128" s="14">
        <v>1229.75</v>
      </c>
      <c r="P128" s="10" t="s">
        <v>25</v>
      </c>
    </row>
    <row r="129" spans="1:16">
      <c r="A129" s="10" t="s">
        <v>400</v>
      </c>
      <c r="B129" s="11">
        <v>46143</v>
      </c>
      <c r="C129" s="11">
        <v>46074</v>
      </c>
      <c r="D129" s="10" t="s">
        <v>401</v>
      </c>
      <c r="E129" s="10" t="s">
        <v>402</v>
      </c>
      <c r="F129" s="10" t="s">
        <v>29</v>
      </c>
      <c r="G129" s="10" t="s">
        <v>101</v>
      </c>
      <c r="H129" s="10" t="s">
        <v>102</v>
      </c>
      <c r="I129" s="10" t="s">
        <v>103</v>
      </c>
      <c r="J129" s="10" t="s">
        <v>23</v>
      </c>
      <c r="K129" s="10" t="s">
        <v>120</v>
      </c>
      <c r="L129" s="12">
        <v>29400</v>
      </c>
      <c r="M129" s="10">
        <v>7</v>
      </c>
      <c r="N129" s="13">
        <v>0</v>
      </c>
      <c r="O129" s="14">
        <v>9312.09</v>
      </c>
      <c r="P129" s="10" t="s">
        <v>25</v>
      </c>
    </row>
    <row r="130" spans="1:16">
      <c r="A130" s="10" t="s">
        <v>403</v>
      </c>
      <c r="B130" s="11">
        <v>46183</v>
      </c>
      <c r="C130" s="11">
        <v>46075</v>
      </c>
      <c r="D130" s="10" t="s">
        <v>384</v>
      </c>
      <c r="E130" s="10" t="s">
        <v>404</v>
      </c>
      <c r="F130" s="10" t="s">
        <v>19</v>
      </c>
      <c r="G130" s="10" t="s">
        <v>60</v>
      </c>
      <c r="H130" s="10" t="s">
        <v>61</v>
      </c>
      <c r="I130" s="10" t="s">
        <v>37</v>
      </c>
      <c r="J130" s="10" t="s">
        <v>23</v>
      </c>
      <c r="K130" s="10" t="s">
        <v>24</v>
      </c>
      <c r="L130" s="12">
        <v>39000</v>
      </c>
      <c r="M130" s="10">
        <v>6</v>
      </c>
      <c r="N130" s="13">
        <v>0</v>
      </c>
      <c r="O130" s="14">
        <v>14045.51</v>
      </c>
      <c r="P130" s="10" t="s">
        <v>56</v>
      </c>
    </row>
    <row r="131" spans="1:16">
      <c r="A131" s="10" t="s">
        <v>405</v>
      </c>
      <c r="B131" s="11">
        <v>46219</v>
      </c>
      <c r="C131" s="11">
        <v>46076</v>
      </c>
      <c r="D131" s="10" t="s">
        <v>406</v>
      </c>
      <c r="E131" s="10" t="s">
        <v>407</v>
      </c>
      <c r="F131" s="10" t="s">
        <v>29</v>
      </c>
      <c r="G131" s="10" t="s">
        <v>67</v>
      </c>
      <c r="H131" s="10" t="s">
        <v>68</v>
      </c>
      <c r="I131" s="10" t="s">
        <v>22</v>
      </c>
      <c r="J131" s="10" t="s">
        <v>23</v>
      </c>
      <c r="K131" s="10" t="s">
        <v>24</v>
      </c>
      <c r="L131" s="12">
        <v>26000</v>
      </c>
      <c r="M131" s="10">
        <v>4</v>
      </c>
      <c r="N131" s="13">
        <v>0</v>
      </c>
      <c r="O131" s="14">
        <v>8890.0400000000009</v>
      </c>
      <c r="P131" s="10" t="s">
        <v>48</v>
      </c>
    </row>
    <row r="132" spans="1:16">
      <c r="A132" s="10" t="s">
        <v>408</v>
      </c>
      <c r="B132" s="11">
        <v>45473</v>
      </c>
      <c r="C132" s="11">
        <v>46077</v>
      </c>
      <c r="D132" s="10" t="s">
        <v>234</v>
      </c>
      <c r="E132" s="10" t="s">
        <v>409</v>
      </c>
      <c r="F132" s="10" t="s">
        <v>19</v>
      </c>
      <c r="G132" s="10" t="s">
        <v>167</v>
      </c>
      <c r="H132" s="10" t="s">
        <v>168</v>
      </c>
      <c r="I132" s="10" t="s">
        <v>37</v>
      </c>
      <c r="J132" s="10" t="s">
        <v>76</v>
      </c>
      <c r="K132" s="10" t="s">
        <v>77</v>
      </c>
      <c r="L132" s="12">
        <v>10240</v>
      </c>
      <c r="M132" s="10">
        <v>8</v>
      </c>
      <c r="N132" s="13">
        <v>0.2</v>
      </c>
      <c r="O132" s="14">
        <v>1123.53</v>
      </c>
      <c r="P132" s="10" t="s">
        <v>69</v>
      </c>
    </row>
    <row r="133" spans="1:16">
      <c r="A133" s="10" t="s">
        <v>410</v>
      </c>
      <c r="B133" s="11">
        <v>45446</v>
      </c>
      <c r="C133" s="11">
        <v>46078</v>
      </c>
      <c r="D133" s="10" t="s">
        <v>411</v>
      </c>
      <c r="E133" s="10" t="s">
        <v>412</v>
      </c>
      <c r="F133" s="10" t="s">
        <v>43</v>
      </c>
      <c r="G133" s="10" t="s">
        <v>20</v>
      </c>
      <c r="H133" s="10" t="s">
        <v>21</v>
      </c>
      <c r="I133" s="10" t="s">
        <v>22</v>
      </c>
      <c r="J133" s="10" t="s">
        <v>76</v>
      </c>
      <c r="K133" s="10" t="s">
        <v>77</v>
      </c>
      <c r="L133" s="12">
        <v>7600</v>
      </c>
      <c r="M133" s="10">
        <v>5</v>
      </c>
      <c r="N133" s="13">
        <v>0.05</v>
      </c>
      <c r="O133" s="14">
        <v>1662.35</v>
      </c>
      <c r="P133" s="10" t="s">
        <v>25</v>
      </c>
    </row>
    <row r="134" spans="1:16">
      <c r="A134" s="10" t="s">
        <v>413</v>
      </c>
      <c r="B134" s="11">
        <v>45754</v>
      </c>
      <c r="C134" s="11">
        <v>46079</v>
      </c>
      <c r="D134" s="10" t="s">
        <v>414</v>
      </c>
      <c r="E134" s="10" t="s">
        <v>415</v>
      </c>
      <c r="F134" s="10" t="s">
        <v>19</v>
      </c>
      <c r="G134" s="10" t="s">
        <v>135</v>
      </c>
      <c r="H134" s="10" t="s">
        <v>21</v>
      </c>
      <c r="I134" s="10" t="s">
        <v>22</v>
      </c>
      <c r="J134" s="10" t="s">
        <v>23</v>
      </c>
      <c r="K134" s="10" t="s">
        <v>89</v>
      </c>
      <c r="L134" s="12">
        <v>4480</v>
      </c>
      <c r="M134" s="10">
        <v>2</v>
      </c>
      <c r="N134" s="13">
        <v>0.2</v>
      </c>
      <c r="O134" s="14">
        <v>561.32000000000005</v>
      </c>
      <c r="P134" s="10" t="s">
        <v>63</v>
      </c>
    </row>
    <row r="135" spans="1:16">
      <c r="A135" s="10" t="s">
        <v>416</v>
      </c>
      <c r="B135" s="11">
        <v>45685</v>
      </c>
      <c r="C135" s="11">
        <v>46080</v>
      </c>
      <c r="D135" s="10" t="s">
        <v>417</v>
      </c>
      <c r="E135" s="10" t="s">
        <v>418</v>
      </c>
      <c r="F135" s="10" t="s">
        <v>43</v>
      </c>
      <c r="G135" s="10" t="s">
        <v>224</v>
      </c>
      <c r="H135" s="10" t="s">
        <v>225</v>
      </c>
      <c r="I135" s="10" t="s">
        <v>75</v>
      </c>
      <c r="J135" s="10" t="s">
        <v>38</v>
      </c>
      <c r="K135" s="10" t="s">
        <v>55</v>
      </c>
      <c r="L135" s="12">
        <v>2090</v>
      </c>
      <c r="M135" s="10">
        <v>4</v>
      </c>
      <c r="N135" s="13">
        <v>0.05</v>
      </c>
      <c r="O135" s="14">
        <v>449.76</v>
      </c>
      <c r="P135" s="10" t="s">
        <v>48</v>
      </c>
    </row>
    <row r="136" spans="1:16">
      <c r="A136" s="10" t="s">
        <v>419</v>
      </c>
      <c r="B136" s="11">
        <v>46122</v>
      </c>
      <c r="C136" s="11">
        <v>46081</v>
      </c>
      <c r="D136" s="10" t="s">
        <v>146</v>
      </c>
      <c r="E136" s="10" t="s">
        <v>420</v>
      </c>
      <c r="F136" s="10" t="s">
        <v>19</v>
      </c>
      <c r="G136" s="10" t="s">
        <v>67</v>
      </c>
      <c r="H136" s="10" t="s">
        <v>68</v>
      </c>
      <c r="I136" s="10" t="s">
        <v>22</v>
      </c>
      <c r="J136" s="10" t="s">
        <v>38</v>
      </c>
      <c r="K136" s="10" t="s">
        <v>62</v>
      </c>
      <c r="L136" s="12">
        <v>25500</v>
      </c>
      <c r="M136" s="10">
        <v>3</v>
      </c>
      <c r="N136" s="13">
        <v>0</v>
      </c>
      <c r="O136" s="14">
        <v>8047.46</v>
      </c>
      <c r="P136" s="10" t="s">
        <v>63</v>
      </c>
    </row>
    <row r="137" spans="1:16">
      <c r="A137" s="10" t="s">
        <v>421</v>
      </c>
      <c r="B137" s="11">
        <v>45454</v>
      </c>
      <c r="C137" s="11">
        <v>46082</v>
      </c>
      <c r="D137" s="10" t="s">
        <v>422</v>
      </c>
      <c r="E137" s="10" t="s">
        <v>34</v>
      </c>
      <c r="F137" s="10" t="s">
        <v>43</v>
      </c>
      <c r="G137" s="10" t="s">
        <v>67</v>
      </c>
      <c r="H137" s="10" t="s">
        <v>68</v>
      </c>
      <c r="I137" s="10" t="s">
        <v>22</v>
      </c>
      <c r="J137" s="10" t="s">
        <v>23</v>
      </c>
      <c r="K137" s="10" t="s">
        <v>293</v>
      </c>
      <c r="L137" s="12">
        <v>4987.5</v>
      </c>
      <c r="M137" s="10">
        <v>7</v>
      </c>
      <c r="N137" s="13">
        <v>0.05</v>
      </c>
      <c r="O137" s="14">
        <v>977.48</v>
      </c>
      <c r="P137" s="10" t="s">
        <v>48</v>
      </c>
    </row>
    <row r="138" spans="1:16">
      <c r="A138" s="10" t="s">
        <v>423</v>
      </c>
      <c r="B138" s="11">
        <v>45863</v>
      </c>
      <c r="C138" s="11">
        <v>46083</v>
      </c>
      <c r="D138" s="10" t="s">
        <v>50</v>
      </c>
      <c r="E138" s="10" t="s">
        <v>280</v>
      </c>
      <c r="F138" s="10" t="s">
        <v>43</v>
      </c>
      <c r="G138" s="10" t="s">
        <v>81</v>
      </c>
      <c r="H138" s="10" t="s">
        <v>68</v>
      </c>
      <c r="I138" s="10" t="s">
        <v>22</v>
      </c>
      <c r="J138" s="10" t="s">
        <v>23</v>
      </c>
      <c r="K138" s="10" t="s">
        <v>89</v>
      </c>
      <c r="L138" s="12">
        <v>7980</v>
      </c>
      <c r="M138" s="10">
        <v>3</v>
      </c>
      <c r="N138" s="13">
        <v>0.05</v>
      </c>
      <c r="O138" s="14">
        <v>2803.45</v>
      </c>
      <c r="P138" s="10" t="s">
        <v>69</v>
      </c>
    </row>
    <row r="139" spans="1:16">
      <c r="A139" s="10" t="s">
        <v>424</v>
      </c>
      <c r="B139" s="11">
        <v>46282</v>
      </c>
      <c r="C139" s="11">
        <v>46084</v>
      </c>
      <c r="D139" s="10" t="s">
        <v>425</v>
      </c>
      <c r="E139" s="10" t="s">
        <v>426</v>
      </c>
      <c r="F139" s="10" t="s">
        <v>29</v>
      </c>
      <c r="G139" s="10" t="s">
        <v>60</v>
      </c>
      <c r="H139" s="10" t="s">
        <v>61</v>
      </c>
      <c r="I139" s="10" t="s">
        <v>37</v>
      </c>
      <c r="J139" s="10" t="s">
        <v>76</v>
      </c>
      <c r="K139" s="10" t="s">
        <v>131</v>
      </c>
      <c r="L139" s="12">
        <v>665</v>
      </c>
      <c r="M139" s="10">
        <v>2</v>
      </c>
      <c r="N139" s="13">
        <v>0.05</v>
      </c>
      <c r="O139" s="14">
        <v>151.07</v>
      </c>
      <c r="P139" s="10" t="s">
        <v>63</v>
      </c>
    </row>
    <row r="140" spans="1:16">
      <c r="A140" s="10" t="s">
        <v>427</v>
      </c>
      <c r="B140" s="11">
        <v>45387</v>
      </c>
      <c r="C140" s="11">
        <v>46085</v>
      </c>
      <c r="D140" s="10" t="s">
        <v>428</v>
      </c>
      <c r="E140" s="10" t="s">
        <v>429</v>
      </c>
      <c r="F140" s="10" t="s">
        <v>43</v>
      </c>
      <c r="G140" s="10" t="s">
        <v>167</v>
      </c>
      <c r="H140" s="10" t="s">
        <v>168</v>
      </c>
      <c r="I140" s="10" t="s">
        <v>37</v>
      </c>
      <c r="J140" s="10" t="s">
        <v>76</v>
      </c>
      <c r="K140" s="10" t="s">
        <v>85</v>
      </c>
      <c r="L140" s="12">
        <v>1320</v>
      </c>
      <c r="M140" s="10">
        <v>6</v>
      </c>
      <c r="N140" s="13">
        <v>0</v>
      </c>
      <c r="O140" s="14">
        <v>377.16</v>
      </c>
      <c r="P140" s="10" t="s">
        <v>56</v>
      </c>
    </row>
    <row r="141" spans="1:16">
      <c r="A141" s="10" t="s">
        <v>430</v>
      </c>
      <c r="B141" s="11">
        <v>45523</v>
      </c>
      <c r="C141" s="11">
        <v>46086</v>
      </c>
      <c r="D141" s="10" t="s">
        <v>431</v>
      </c>
      <c r="E141" s="10" t="s">
        <v>432</v>
      </c>
      <c r="F141" s="10" t="s">
        <v>19</v>
      </c>
      <c r="G141" s="10" t="s">
        <v>97</v>
      </c>
      <c r="H141" s="10" t="s">
        <v>21</v>
      </c>
      <c r="I141" s="10" t="s">
        <v>22</v>
      </c>
      <c r="J141" s="10" t="s">
        <v>38</v>
      </c>
      <c r="K141" s="10" t="s">
        <v>169</v>
      </c>
      <c r="L141" s="12">
        <v>2465</v>
      </c>
      <c r="M141" s="10">
        <v>2</v>
      </c>
      <c r="N141" s="13">
        <v>0.15</v>
      </c>
      <c r="O141" s="14">
        <v>387.18</v>
      </c>
      <c r="P141" s="10" t="s">
        <v>69</v>
      </c>
    </row>
    <row r="142" spans="1:16">
      <c r="A142" s="10" t="s">
        <v>433</v>
      </c>
      <c r="B142" s="11">
        <v>46189</v>
      </c>
      <c r="C142" s="11">
        <v>46087</v>
      </c>
      <c r="D142" s="10" t="s">
        <v>434</v>
      </c>
      <c r="E142" s="10" t="s">
        <v>240</v>
      </c>
      <c r="F142" s="10" t="s">
        <v>29</v>
      </c>
      <c r="G142" s="10" t="s">
        <v>224</v>
      </c>
      <c r="H142" s="10" t="s">
        <v>225</v>
      </c>
      <c r="I142" s="10" t="s">
        <v>75</v>
      </c>
      <c r="J142" s="10" t="s">
        <v>30</v>
      </c>
      <c r="K142" s="10" t="s">
        <v>93</v>
      </c>
      <c r="L142" s="12">
        <v>630</v>
      </c>
      <c r="M142" s="10">
        <v>7</v>
      </c>
      <c r="N142" s="13">
        <v>0</v>
      </c>
      <c r="O142" s="14">
        <v>212.82</v>
      </c>
      <c r="P142" s="10" t="s">
        <v>25</v>
      </c>
    </row>
    <row r="143" spans="1:16">
      <c r="A143" s="10" t="s">
        <v>435</v>
      </c>
      <c r="B143" s="11">
        <v>45336</v>
      </c>
      <c r="C143" s="11">
        <v>46088</v>
      </c>
      <c r="D143" s="10" t="s">
        <v>436</v>
      </c>
      <c r="E143" s="10" t="s">
        <v>437</v>
      </c>
      <c r="F143" s="10" t="s">
        <v>43</v>
      </c>
      <c r="G143" s="10" t="s">
        <v>67</v>
      </c>
      <c r="H143" s="10" t="s">
        <v>68</v>
      </c>
      <c r="I143" s="10" t="s">
        <v>22</v>
      </c>
      <c r="J143" s="10" t="s">
        <v>30</v>
      </c>
      <c r="K143" s="10" t="s">
        <v>127</v>
      </c>
      <c r="L143" s="12">
        <v>600</v>
      </c>
      <c r="M143" s="10">
        <v>5</v>
      </c>
      <c r="N143" s="13">
        <v>0.2</v>
      </c>
      <c r="O143" s="14">
        <v>87.73</v>
      </c>
      <c r="P143" s="10" t="s">
        <v>25</v>
      </c>
    </row>
    <row r="144" spans="1:16">
      <c r="A144" s="10" t="s">
        <v>438</v>
      </c>
      <c r="B144" s="11">
        <v>46217</v>
      </c>
      <c r="C144" s="11">
        <v>46089</v>
      </c>
      <c r="D144" s="10" t="s">
        <v>439</v>
      </c>
      <c r="E144" s="10" t="s">
        <v>402</v>
      </c>
      <c r="F144" s="10" t="s">
        <v>19</v>
      </c>
      <c r="G144" s="10" t="s">
        <v>111</v>
      </c>
      <c r="H144" s="10" t="s">
        <v>21</v>
      </c>
      <c r="I144" s="10" t="s">
        <v>22</v>
      </c>
      <c r="J144" s="10" t="s">
        <v>23</v>
      </c>
      <c r="K144" s="10" t="s">
        <v>47</v>
      </c>
      <c r="L144" s="12">
        <v>22320</v>
      </c>
      <c r="M144" s="10">
        <v>8</v>
      </c>
      <c r="N144" s="13">
        <v>0.1</v>
      </c>
      <c r="O144" s="14">
        <v>3681.59</v>
      </c>
      <c r="P144" s="10" t="s">
        <v>25</v>
      </c>
    </row>
    <row r="145" spans="1:16">
      <c r="A145" s="10" t="s">
        <v>440</v>
      </c>
      <c r="B145" s="11">
        <v>46281</v>
      </c>
      <c r="C145" s="11">
        <v>46090</v>
      </c>
      <c r="D145" s="10" t="s">
        <v>441</v>
      </c>
      <c r="E145" s="10" t="s">
        <v>364</v>
      </c>
      <c r="F145" s="10" t="s">
        <v>29</v>
      </c>
      <c r="G145" s="10" t="s">
        <v>44</v>
      </c>
      <c r="H145" s="10" t="s">
        <v>45</v>
      </c>
      <c r="I145" s="10" t="s">
        <v>46</v>
      </c>
      <c r="J145" s="10" t="s">
        <v>30</v>
      </c>
      <c r="K145" s="10" t="s">
        <v>93</v>
      </c>
      <c r="L145" s="12">
        <v>256.5</v>
      </c>
      <c r="M145" s="10">
        <v>3</v>
      </c>
      <c r="N145" s="13">
        <v>0.05</v>
      </c>
      <c r="O145" s="14">
        <v>92.07</v>
      </c>
      <c r="P145" s="10" t="s">
        <v>63</v>
      </c>
    </row>
    <row r="146" spans="1:16">
      <c r="A146" s="10" t="s">
        <v>442</v>
      </c>
      <c r="B146" s="11">
        <v>46163</v>
      </c>
      <c r="C146" s="11">
        <v>46091</v>
      </c>
      <c r="D146" s="10" t="s">
        <v>303</v>
      </c>
      <c r="E146" s="10" t="s">
        <v>443</v>
      </c>
      <c r="F146" s="10" t="s">
        <v>29</v>
      </c>
      <c r="G146" s="10" t="s">
        <v>179</v>
      </c>
      <c r="H146" s="10" t="s">
        <v>21</v>
      </c>
      <c r="I146" s="10" t="s">
        <v>22</v>
      </c>
      <c r="J146" s="10" t="s">
        <v>38</v>
      </c>
      <c r="K146" s="10" t="s">
        <v>39</v>
      </c>
      <c r="L146" s="12">
        <v>4275</v>
      </c>
      <c r="M146" s="10">
        <v>5</v>
      </c>
      <c r="N146" s="13">
        <v>0.1</v>
      </c>
      <c r="O146" s="14">
        <v>554.13</v>
      </c>
      <c r="P146" s="10" t="s">
        <v>25</v>
      </c>
    </row>
    <row r="147" spans="1:16">
      <c r="A147" s="10" t="s">
        <v>444</v>
      </c>
      <c r="B147" s="11">
        <v>46197</v>
      </c>
      <c r="C147" s="11">
        <v>46092</v>
      </c>
      <c r="D147" s="10" t="s">
        <v>362</v>
      </c>
      <c r="E147" s="10" t="s">
        <v>445</v>
      </c>
      <c r="F147" s="10" t="s">
        <v>43</v>
      </c>
      <c r="G147" s="10" t="s">
        <v>101</v>
      </c>
      <c r="H147" s="10" t="s">
        <v>102</v>
      </c>
      <c r="I147" s="10" t="s">
        <v>103</v>
      </c>
      <c r="J147" s="10" t="s">
        <v>38</v>
      </c>
      <c r="K147" s="10" t="s">
        <v>55</v>
      </c>
      <c r="L147" s="12">
        <v>495</v>
      </c>
      <c r="M147" s="10">
        <v>1</v>
      </c>
      <c r="N147" s="13">
        <v>0.1</v>
      </c>
      <c r="O147" s="14">
        <v>116.07</v>
      </c>
      <c r="P147" s="10" t="s">
        <v>56</v>
      </c>
    </row>
    <row r="148" spans="1:16">
      <c r="A148" s="10" t="s">
        <v>446</v>
      </c>
      <c r="B148" s="11">
        <v>45320</v>
      </c>
      <c r="C148" s="11">
        <v>46093</v>
      </c>
      <c r="D148" s="10" t="s">
        <v>447</v>
      </c>
      <c r="E148" s="10" t="s">
        <v>448</v>
      </c>
      <c r="F148" s="10" t="s">
        <v>29</v>
      </c>
      <c r="G148" s="10" t="s">
        <v>101</v>
      </c>
      <c r="H148" s="10" t="s">
        <v>102</v>
      </c>
      <c r="I148" s="10" t="s">
        <v>103</v>
      </c>
      <c r="J148" s="10" t="s">
        <v>38</v>
      </c>
      <c r="K148" s="10" t="s">
        <v>169</v>
      </c>
      <c r="L148" s="12">
        <v>4350</v>
      </c>
      <c r="M148" s="10">
        <v>3</v>
      </c>
      <c r="N148" s="13">
        <v>0</v>
      </c>
      <c r="O148" s="14">
        <v>1609.68</v>
      </c>
      <c r="P148" s="10" t="s">
        <v>25</v>
      </c>
    </row>
    <row r="149" spans="1:16">
      <c r="A149" s="10" t="s">
        <v>449</v>
      </c>
      <c r="B149" s="11">
        <v>45751</v>
      </c>
      <c r="C149" s="11">
        <v>46094</v>
      </c>
      <c r="D149" s="10" t="s">
        <v>257</v>
      </c>
      <c r="E149" s="10" t="s">
        <v>450</v>
      </c>
      <c r="F149" s="10" t="s">
        <v>43</v>
      </c>
      <c r="G149" s="10" t="s">
        <v>135</v>
      </c>
      <c r="H149" s="10" t="s">
        <v>21</v>
      </c>
      <c r="I149" s="10" t="s">
        <v>22</v>
      </c>
      <c r="J149" s="10" t="s">
        <v>38</v>
      </c>
      <c r="K149" s="10" t="s">
        <v>104</v>
      </c>
      <c r="L149" s="12">
        <v>3250</v>
      </c>
      <c r="M149" s="10">
        <v>5</v>
      </c>
      <c r="N149" s="13">
        <v>0</v>
      </c>
      <c r="O149" s="14">
        <v>529.46</v>
      </c>
      <c r="P149" s="10" t="s">
        <v>48</v>
      </c>
    </row>
    <row r="150" spans="1:16">
      <c r="A150" s="10" t="s">
        <v>451</v>
      </c>
      <c r="B150" s="11">
        <v>46086</v>
      </c>
      <c r="C150" s="11">
        <v>46095</v>
      </c>
      <c r="D150" s="10" t="s">
        <v>452</v>
      </c>
      <c r="E150" s="10" t="s">
        <v>389</v>
      </c>
      <c r="F150" s="10" t="s">
        <v>29</v>
      </c>
      <c r="G150" s="10" t="s">
        <v>111</v>
      </c>
      <c r="H150" s="10" t="s">
        <v>21</v>
      </c>
      <c r="I150" s="10" t="s">
        <v>22</v>
      </c>
      <c r="J150" s="10" t="s">
        <v>23</v>
      </c>
      <c r="K150" s="10" t="s">
        <v>120</v>
      </c>
      <c r="L150" s="12">
        <v>4200</v>
      </c>
      <c r="M150" s="10">
        <v>1</v>
      </c>
      <c r="N150" s="13">
        <v>0</v>
      </c>
      <c r="O150" s="14">
        <v>1137.55</v>
      </c>
      <c r="P150" s="10" t="s">
        <v>48</v>
      </c>
    </row>
    <row r="151" spans="1:16">
      <c r="A151" s="10" t="s">
        <v>453</v>
      </c>
      <c r="B151" s="11">
        <v>46148</v>
      </c>
      <c r="C151" s="11">
        <v>46096</v>
      </c>
      <c r="D151" s="10" t="s">
        <v>454</v>
      </c>
      <c r="E151" s="10" t="s">
        <v>455</v>
      </c>
      <c r="F151" s="10" t="s">
        <v>43</v>
      </c>
      <c r="G151" s="10" t="s">
        <v>224</v>
      </c>
      <c r="H151" s="10" t="s">
        <v>225</v>
      </c>
      <c r="I151" s="10" t="s">
        <v>75</v>
      </c>
      <c r="J151" s="10" t="s">
        <v>38</v>
      </c>
      <c r="K151" s="10" t="s">
        <v>62</v>
      </c>
      <c r="L151" s="12">
        <v>27200</v>
      </c>
      <c r="M151" s="10">
        <v>4</v>
      </c>
      <c r="N151" s="13">
        <v>0.2</v>
      </c>
      <c r="O151" s="14">
        <v>8504.6200000000008</v>
      </c>
      <c r="P151" s="10" t="s">
        <v>56</v>
      </c>
    </row>
    <row r="152" spans="1:16">
      <c r="A152" s="10" t="s">
        <v>456</v>
      </c>
      <c r="B152" s="11">
        <v>45876</v>
      </c>
      <c r="C152" s="11">
        <v>46097</v>
      </c>
      <c r="D152" s="10" t="s">
        <v>457</v>
      </c>
      <c r="E152" s="10" t="s">
        <v>458</v>
      </c>
      <c r="F152" s="10" t="s">
        <v>19</v>
      </c>
      <c r="G152" s="10" t="s">
        <v>97</v>
      </c>
      <c r="H152" s="10" t="s">
        <v>21</v>
      </c>
      <c r="I152" s="10" t="s">
        <v>22</v>
      </c>
      <c r="J152" s="10" t="s">
        <v>38</v>
      </c>
      <c r="K152" s="10" t="s">
        <v>62</v>
      </c>
      <c r="L152" s="12">
        <v>51000</v>
      </c>
      <c r="M152" s="10">
        <v>6</v>
      </c>
      <c r="N152" s="13">
        <v>0</v>
      </c>
      <c r="O152" s="14">
        <v>6737.87</v>
      </c>
      <c r="P152" s="10" t="s">
        <v>63</v>
      </c>
    </row>
    <row r="153" spans="1:16">
      <c r="A153" s="10" t="s">
        <v>459</v>
      </c>
      <c r="B153" s="11">
        <v>45312</v>
      </c>
      <c r="C153" s="11">
        <v>46098</v>
      </c>
      <c r="D153" s="10" t="s">
        <v>460</v>
      </c>
      <c r="E153" s="10" t="s">
        <v>251</v>
      </c>
      <c r="F153" s="10" t="s">
        <v>29</v>
      </c>
      <c r="G153" s="10" t="s">
        <v>44</v>
      </c>
      <c r="H153" s="10" t="s">
        <v>45</v>
      </c>
      <c r="I153" s="10" t="s">
        <v>46</v>
      </c>
      <c r="J153" s="10" t="s">
        <v>76</v>
      </c>
      <c r="K153" s="10" t="s">
        <v>206</v>
      </c>
      <c r="L153" s="12">
        <v>7315</v>
      </c>
      <c r="M153" s="10">
        <v>7</v>
      </c>
      <c r="N153" s="13">
        <v>0.05</v>
      </c>
      <c r="O153" s="14">
        <v>2242.42</v>
      </c>
      <c r="P153" s="10" t="s">
        <v>69</v>
      </c>
    </row>
    <row r="154" spans="1:16">
      <c r="A154" s="10" t="s">
        <v>461</v>
      </c>
      <c r="B154" s="11">
        <v>45538</v>
      </c>
      <c r="C154" s="11">
        <v>46099</v>
      </c>
      <c r="D154" s="10" t="s">
        <v>457</v>
      </c>
      <c r="E154" s="10" t="s">
        <v>426</v>
      </c>
      <c r="F154" s="10" t="s">
        <v>19</v>
      </c>
      <c r="G154" s="10" t="s">
        <v>167</v>
      </c>
      <c r="H154" s="10" t="s">
        <v>168</v>
      </c>
      <c r="I154" s="10" t="s">
        <v>37</v>
      </c>
      <c r="J154" s="10" t="s">
        <v>38</v>
      </c>
      <c r="K154" s="10" t="s">
        <v>62</v>
      </c>
      <c r="L154" s="12">
        <v>51000</v>
      </c>
      <c r="M154" s="10">
        <v>6</v>
      </c>
      <c r="N154" s="13">
        <v>0</v>
      </c>
      <c r="O154" s="14">
        <v>18792.11</v>
      </c>
      <c r="P154" s="10" t="s">
        <v>56</v>
      </c>
    </row>
    <row r="155" spans="1:16">
      <c r="A155" s="10" t="s">
        <v>462</v>
      </c>
      <c r="B155" s="11">
        <v>46142</v>
      </c>
      <c r="C155" s="11">
        <v>46100</v>
      </c>
      <c r="D155" s="10" t="s">
        <v>463</v>
      </c>
      <c r="E155" s="10" t="s">
        <v>338</v>
      </c>
      <c r="F155" s="10" t="s">
        <v>43</v>
      </c>
      <c r="G155" s="10" t="s">
        <v>167</v>
      </c>
      <c r="H155" s="10" t="s">
        <v>168</v>
      </c>
      <c r="I155" s="10" t="s">
        <v>37</v>
      </c>
      <c r="J155" s="10" t="s">
        <v>76</v>
      </c>
      <c r="K155" s="10" t="s">
        <v>77</v>
      </c>
      <c r="L155" s="12">
        <v>4800</v>
      </c>
      <c r="M155" s="10">
        <v>3</v>
      </c>
      <c r="N155" s="13">
        <v>0</v>
      </c>
      <c r="O155" s="14">
        <v>1745.25</v>
      </c>
      <c r="P155" s="10" t="s">
        <v>56</v>
      </c>
    </row>
    <row r="156" spans="1:16">
      <c r="A156" s="10" t="s">
        <v>464</v>
      </c>
      <c r="B156" s="11">
        <v>45336</v>
      </c>
      <c r="C156" s="11">
        <v>46101</v>
      </c>
      <c r="D156" s="10" t="s">
        <v>465</v>
      </c>
      <c r="E156" s="10" t="s">
        <v>466</v>
      </c>
      <c r="F156" s="10" t="s">
        <v>43</v>
      </c>
      <c r="G156" s="10" t="s">
        <v>111</v>
      </c>
      <c r="H156" s="10" t="s">
        <v>21</v>
      </c>
      <c r="I156" s="10" t="s">
        <v>22</v>
      </c>
      <c r="J156" s="10" t="s">
        <v>38</v>
      </c>
      <c r="K156" s="10" t="s">
        <v>169</v>
      </c>
      <c r="L156" s="12">
        <v>6162.5</v>
      </c>
      <c r="M156" s="10">
        <v>5</v>
      </c>
      <c r="N156" s="13">
        <v>0.15</v>
      </c>
      <c r="O156" s="14">
        <v>1565.04</v>
      </c>
      <c r="P156" s="10" t="s">
        <v>48</v>
      </c>
    </row>
    <row r="157" spans="1:16">
      <c r="A157" s="10" t="s">
        <v>467</v>
      </c>
      <c r="B157" s="11">
        <v>46063</v>
      </c>
      <c r="C157" s="11">
        <v>46102</v>
      </c>
      <c r="D157" s="10" t="s">
        <v>468</v>
      </c>
      <c r="E157" s="10" t="s">
        <v>469</v>
      </c>
      <c r="F157" s="10" t="s">
        <v>43</v>
      </c>
      <c r="G157" s="10" t="s">
        <v>111</v>
      </c>
      <c r="H157" s="10" t="s">
        <v>21</v>
      </c>
      <c r="I157" s="10" t="s">
        <v>22</v>
      </c>
      <c r="J157" s="10" t="s">
        <v>23</v>
      </c>
      <c r="K157" s="10" t="s">
        <v>89</v>
      </c>
      <c r="L157" s="12">
        <v>2240</v>
      </c>
      <c r="M157" s="10">
        <v>1</v>
      </c>
      <c r="N157" s="13">
        <v>0.2</v>
      </c>
      <c r="O157" s="14">
        <v>590.69000000000005</v>
      </c>
      <c r="P157" s="10" t="s">
        <v>25</v>
      </c>
    </row>
    <row r="158" spans="1:16">
      <c r="A158" s="10" t="s">
        <v>470</v>
      </c>
      <c r="B158" s="11">
        <v>46208</v>
      </c>
      <c r="C158" s="11">
        <v>46103</v>
      </c>
      <c r="D158" s="10" t="s">
        <v>471</v>
      </c>
      <c r="E158" s="10" t="s">
        <v>472</v>
      </c>
      <c r="F158" s="10" t="s">
        <v>29</v>
      </c>
      <c r="G158" s="10" t="s">
        <v>67</v>
      </c>
      <c r="H158" s="10" t="s">
        <v>68</v>
      </c>
      <c r="I158" s="10" t="s">
        <v>22</v>
      </c>
      <c r="J158" s="10" t="s">
        <v>30</v>
      </c>
      <c r="K158" s="10" t="s">
        <v>127</v>
      </c>
      <c r="L158" s="12">
        <v>1140</v>
      </c>
      <c r="M158" s="10">
        <v>8</v>
      </c>
      <c r="N158" s="13">
        <v>0.05</v>
      </c>
      <c r="O158" s="14">
        <v>150.68</v>
      </c>
      <c r="P158" s="10" t="s">
        <v>25</v>
      </c>
    </row>
    <row r="159" spans="1:16">
      <c r="A159" s="10" t="s">
        <v>473</v>
      </c>
      <c r="B159" s="11">
        <v>45372</v>
      </c>
      <c r="C159" s="11">
        <v>46104</v>
      </c>
      <c r="D159" s="10" t="s">
        <v>386</v>
      </c>
      <c r="E159" s="10" t="s">
        <v>474</v>
      </c>
      <c r="F159" s="10" t="s">
        <v>43</v>
      </c>
      <c r="G159" s="10" t="s">
        <v>224</v>
      </c>
      <c r="H159" s="10" t="s">
        <v>225</v>
      </c>
      <c r="I159" s="10" t="s">
        <v>75</v>
      </c>
      <c r="J159" s="10" t="s">
        <v>30</v>
      </c>
      <c r="K159" s="10" t="s">
        <v>93</v>
      </c>
      <c r="L159" s="12">
        <v>427.5</v>
      </c>
      <c r="M159" s="10">
        <v>5</v>
      </c>
      <c r="N159" s="13">
        <v>0.05</v>
      </c>
      <c r="O159" s="14">
        <v>147.84</v>
      </c>
      <c r="P159" s="10" t="s">
        <v>63</v>
      </c>
    </row>
    <row r="160" spans="1:16">
      <c r="A160" s="10" t="s">
        <v>475</v>
      </c>
      <c r="B160" s="11">
        <v>46026</v>
      </c>
      <c r="C160" s="11">
        <v>46105</v>
      </c>
      <c r="D160" s="10" t="s">
        <v>476</v>
      </c>
      <c r="E160" s="10" t="s">
        <v>477</v>
      </c>
      <c r="F160" s="10" t="s">
        <v>43</v>
      </c>
      <c r="G160" s="10" t="s">
        <v>97</v>
      </c>
      <c r="H160" s="10" t="s">
        <v>21</v>
      </c>
      <c r="I160" s="10" t="s">
        <v>22</v>
      </c>
      <c r="J160" s="10" t="s">
        <v>76</v>
      </c>
      <c r="K160" s="10" t="s">
        <v>229</v>
      </c>
      <c r="L160" s="12">
        <v>15200</v>
      </c>
      <c r="M160" s="10">
        <v>8</v>
      </c>
      <c r="N160" s="13">
        <v>0</v>
      </c>
      <c r="O160" s="14">
        <v>2903.63</v>
      </c>
      <c r="P160" s="10" t="s">
        <v>69</v>
      </c>
    </row>
    <row r="161" spans="1:16">
      <c r="A161" s="10" t="s">
        <v>478</v>
      </c>
      <c r="B161" s="11">
        <v>45946</v>
      </c>
      <c r="C161" s="11">
        <v>46106</v>
      </c>
      <c r="D161" s="10" t="s">
        <v>17</v>
      </c>
      <c r="E161" s="10" t="s">
        <v>134</v>
      </c>
      <c r="F161" s="10" t="s">
        <v>29</v>
      </c>
      <c r="G161" s="10" t="s">
        <v>135</v>
      </c>
      <c r="H161" s="10" t="s">
        <v>21</v>
      </c>
      <c r="I161" s="10" t="s">
        <v>22</v>
      </c>
      <c r="J161" s="10" t="s">
        <v>38</v>
      </c>
      <c r="K161" s="10" t="s">
        <v>55</v>
      </c>
      <c r="L161" s="12">
        <v>2805</v>
      </c>
      <c r="M161" s="10">
        <v>6</v>
      </c>
      <c r="N161" s="13">
        <v>0.15</v>
      </c>
      <c r="O161" s="14">
        <v>418.55</v>
      </c>
      <c r="P161" s="10" t="s">
        <v>63</v>
      </c>
    </row>
    <row r="162" spans="1:16">
      <c r="A162" s="10" t="s">
        <v>479</v>
      </c>
      <c r="B162" s="11">
        <v>45986</v>
      </c>
      <c r="C162" s="11">
        <v>46107</v>
      </c>
      <c r="D162" s="10" t="s">
        <v>53</v>
      </c>
      <c r="E162" s="10" t="s">
        <v>469</v>
      </c>
      <c r="F162" s="10" t="s">
        <v>19</v>
      </c>
      <c r="G162" s="10" t="s">
        <v>73</v>
      </c>
      <c r="H162" s="10" t="s">
        <v>74</v>
      </c>
      <c r="I162" s="10" t="s">
        <v>75</v>
      </c>
      <c r="J162" s="10" t="s">
        <v>38</v>
      </c>
      <c r="K162" s="10" t="s">
        <v>39</v>
      </c>
      <c r="L162" s="12">
        <v>1900</v>
      </c>
      <c r="M162" s="10">
        <v>2</v>
      </c>
      <c r="N162" s="13">
        <v>0</v>
      </c>
      <c r="O162" s="14">
        <v>337.41</v>
      </c>
      <c r="P162" s="10" t="s">
        <v>48</v>
      </c>
    </row>
    <row r="163" spans="1:16">
      <c r="A163" s="10" t="s">
        <v>480</v>
      </c>
      <c r="B163" s="11">
        <v>45911</v>
      </c>
      <c r="C163" s="11">
        <v>46108</v>
      </c>
      <c r="D163" s="10" t="s">
        <v>113</v>
      </c>
      <c r="E163" s="10" t="s">
        <v>160</v>
      </c>
      <c r="F163" s="10" t="s">
        <v>43</v>
      </c>
      <c r="G163" s="10" t="s">
        <v>167</v>
      </c>
      <c r="H163" s="10" t="s">
        <v>168</v>
      </c>
      <c r="I163" s="10" t="s">
        <v>37</v>
      </c>
      <c r="J163" s="10" t="s">
        <v>76</v>
      </c>
      <c r="K163" s="10" t="s">
        <v>229</v>
      </c>
      <c r="L163" s="12">
        <v>10260</v>
      </c>
      <c r="M163" s="10">
        <v>6</v>
      </c>
      <c r="N163" s="13">
        <v>0.1</v>
      </c>
      <c r="O163" s="14">
        <v>1709.3</v>
      </c>
      <c r="P163" s="10" t="s">
        <v>25</v>
      </c>
    </row>
    <row r="164" spans="1:16">
      <c r="A164" s="10" t="s">
        <v>481</v>
      </c>
      <c r="B164" s="11">
        <v>45613</v>
      </c>
      <c r="C164" s="11">
        <v>46109</v>
      </c>
      <c r="D164" s="10" t="s">
        <v>471</v>
      </c>
      <c r="E164" s="10" t="s">
        <v>482</v>
      </c>
      <c r="F164" s="10" t="s">
        <v>19</v>
      </c>
      <c r="G164" s="10" t="s">
        <v>179</v>
      </c>
      <c r="H164" s="10" t="s">
        <v>21</v>
      </c>
      <c r="I164" s="10" t="s">
        <v>22</v>
      </c>
      <c r="J164" s="10" t="s">
        <v>30</v>
      </c>
      <c r="K164" s="10" t="s">
        <v>261</v>
      </c>
      <c r="L164" s="12">
        <v>144</v>
      </c>
      <c r="M164" s="10">
        <v>1</v>
      </c>
      <c r="N164" s="13">
        <v>0.2</v>
      </c>
      <c r="O164" s="14">
        <v>43.43</v>
      </c>
      <c r="P164" s="10" t="s">
        <v>48</v>
      </c>
    </row>
    <row r="165" spans="1:16">
      <c r="A165" s="10" t="s">
        <v>483</v>
      </c>
      <c r="B165" s="11">
        <v>45560</v>
      </c>
      <c r="C165" s="11">
        <v>46110</v>
      </c>
      <c r="D165" s="10" t="s">
        <v>484</v>
      </c>
      <c r="E165" s="10" t="s">
        <v>214</v>
      </c>
      <c r="F165" s="10" t="s">
        <v>29</v>
      </c>
      <c r="G165" s="10" t="s">
        <v>179</v>
      </c>
      <c r="H165" s="10" t="s">
        <v>21</v>
      </c>
      <c r="I165" s="10" t="s">
        <v>22</v>
      </c>
      <c r="J165" s="10" t="s">
        <v>76</v>
      </c>
      <c r="K165" s="10" t="s">
        <v>131</v>
      </c>
      <c r="L165" s="12">
        <v>1400</v>
      </c>
      <c r="M165" s="10">
        <v>5</v>
      </c>
      <c r="N165" s="13">
        <v>0.2</v>
      </c>
      <c r="O165" s="14">
        <v>156.4</v>
      </c>
      <c r="P165" s="10" t="s">
        <v>48</v>
      </c>
    </row>
    <row r="166" spans="1:16">
      <c r="A166" s="10" t="s">
        <v>485</v>
      </c>
      <c r="B166" s="11">
        <v>45754</v>
      </c>
      <c r="C166" s="11">
        <v>46111</v>
      </c>
      <c r="D166" s="10" t="s">
        <v>65</v>
      </c>
      <c r="E166" s="10" t="s">
        <v>72</v>
      </c>
      <c r="F166" s="10" t="s">
        <v>43</v>
      </c>
      <c r="G166" s="10" t="s">
        <v>101</v>
      </c>
      <c r="H166" s="10" t="s">
        <v>102</v>
      </c>
      <c r="I166" s="10" t="s">
        <v>103</v>
      </c>
      <c r="J166" s="10" t="s">
        <v>76</v>
      </c>
      <c r="K166" s="10" t="s">
        <v>206</v>
      </c>
      <c r="L166" s="12">
        <v>5280</v>
      </c>
      <c r="M166" s="10">
        <v>6</v>
      </c>
      <c r="N166" s="13">
        <v>0.2</v>
      </c>
      <c r="O166" s="14">
        <v>1371.05</v>
      </c>
      <c r="P166" s="10" t="s">
        <v>69</v>
      </c>
    </row>
    <row r="167" spans="1:16">
      <c r="A167" s="10" t="s">
        <v>486</v>
      </c>
      <c r="B167" s="11">
        <v>46163</v>
      </c>
      <c r="C167" s="11">
        <v>46112</v>
      </c>
      <c r="D167" s="10" t="s">
        <v>487</v>
      </c>
      <c r="E167" s="10" t="s">
        <v>488</v>
      </c>
      <c r="F167" s="10" t="s">
        <v>43</v>
      </c>
      <c r="G167" s="10" t="s">
        <v>60</v>
      </c>
      <c r="H167" s="10" t="s">
        <v>61</v>
      </c>
      <c r="I167" s="10" t="s">
        <v>37</v>
      </c>
      <c r="J167" s="10" t="s">
        <v>30</v>
      </c>
      <c r="K167" s="10" t="s">
        <v>173</v>
      </c>
      <c r="L167" s="12">
        <v>1280</v>
      </c>
      <c r="M167" s="10">
        <v>4</v>
      </c>
      <c r="N167" s="13">
        <v>0</v>
      </c>
      <c r="O167" s="14">
        <v>158.55000000000001</v>
      </c>
      <c r="P167" s="10" t="s">
        <v>48</v>
      </c>
    </row>
    <row r="168" spans="1:16">
      <c r="A168" s="10" t="s">
        <v>489</v>
      </c>
      <c r="B168" s="11">
        <v>45661</v>
      </c>
      <c r="C168" s="11">
        <v>46113</v>
      </c>
      <c r="D168" s="10" t="s">
        <v>65</v>
      </c>
      <c r="E168" s="10" t="s">
        <v>490</v>
      </c>
      <c r="F168" s="10" t="s">
        <v>19</v>
      </c>
      <c r="G168" s="10" t="s">
        <v>224</v>
      </c>
      <c r="H168" s="10" t="s">
        <v>225</v>
      </c>
      <c r="I168" s="10" t="s">
        <v>75</v>
      </c>
      <c r="J168" s="10" t="s">
        <v>23</v>
      </c>
      <c r="K168" s="10" t="s">
        <v>293</v>
      </c>
      <c r="L168" s="12">
        <v>1912.5</v>
      </c>
      <c r="M168" s="10">
        <v>3</v>
      </c>
      <c r="N168" s="13">
        <v>0.15</v>
      </c>
      <c r="O168" s="14">
        <v>244.03</v>
      </c>
      <c r="P168" s="10" t="s">
        <v>25</v>
      </c>
    </row>
    <row r="169" spans="1:16">
      <c r="A169" s="10" t="s">
        <v>491</v>
      </c>
      <c r="B169" s="11">
        <v>45830</v>
      </c>
      <c r="C169" s="11">
        <v>46114</v>
      </c>
      <c r="D169" s="10" t="s">
        <v>425</v>
      </c>
      <c r="E169" s="10" t="s">
        <v>492</v>
      </c>
      <c r="F169" s="10" t="s">
        <v>43</v>
      </c>
      <c r="G169" s="10" t="s">
        <v>35</v>
      </c>
      <c r="H169" s="10" t="s">
        <v>36</v>
      </c>
      <c r="I169" s="10" t="s">
        <v>37</v>
      </c>
      <c r="J169" s="10" t="s">
        <v>76</v>
      </c>
      <c r="K169" s="10" t="s">
        <v>85</v>
      </c>
      <c r="L169" s="12">
        <v>440</v>
      </c>
      <c r="M169" s="10">
        <v>2</v>
      </c>
      <c r="N169" s="13">
        <v>0</v>
      </c>
      <c r="O169" s="14">
        <v>55.96</v>
      </c>
      <c r="P169" s="10" t="s">
        <v>63</v>
      </c>
    </row>
    <row r="170" spans="1:16">
      <c r="A170" s="10" t="s">
        <v>493</v>
      </c>
      <c r="B170" s="11">
        <v>45644</v>
      </c>
      <c r="C170" s="11">
        <v>46115</v>
      </c>
      <c r="D170" s="10" t="s">
        <v>129</v>
      </c>
      <c r="E170" s="10" t="s">
        <v>404</v>
      </c>
      <c r="F170" s="10" t="s">
        <v>29</v>
      </c>
      <c r="G170" s="10" t="s">
        <v>101</v>
      </c>
      <c r="H170" s="10" t="s">
        <v>102</v>
      </c>
      <c r="I170" s="10" t="s">
        <v>103</v>
      </c>
      <c r="J170" s="10" t="s">
        <v>30</v>
      </c>
      <c r="K170" s="10" t="s">
        <v>31</v>
      </c>
      <c r="L170" s="12">
        <v>714</v>
      </c>
      <c r="M170" s="10">
        <v>7</v>
      </c>
      <c r="N170" s="13">
        <v>0.15</v>
      </c>
      <c r="O170" s="14">
        <v>86.19</v>
      </c>
      <c r="P170" s="10" t="s">
        <v>69</v>
      </c>
    </row>
    <row r="171" spans="1:16">
      <c r="A171" s="10" t="s">
        <v>494</v>
      </c>
      <c r="B171" s="11">
        <v>45460</v>
      </c>
      <c r="C171" s="11">
        <v>46116</v>
      </c>
      <c r="D171" s="10" t="s">
        <v>384</v>
      </c>
      <c r="E171" s="10" t="s">
        <v>495</v>
      </c>
      <c r="F171" s="10" t="s">
        <v>29</v>
      </c>
      <c r="G171" s="10" t="s">
        <v>67</v>
      </c>
      <c r="H171" s="10" t="s">
        <v>68</v>
      </c>
      <c r="I171" s="10" t="s">
        <v>22</v>
      </c>
      <c r="J171" s="10" t="s">
        <v>30</v>
      </c>
      <c r="K171" s="10" t="s">
        <v>173</v>
      </c>
      <c r="L171" s="12">
        <v>1600</v>
      </c>
      <c r="M171" s="10">
        <v>5</v>
      </c>
      <c r="N171" s="13">
        <v>0</v>
      </c>
      <c r="O171" s="14">
        <v>503.75</v>
      </c>
      <c r="P171" s="10" t="s">
        <v>69</v>
      </c>
    </row>
    <row r="172" spans="1:16">
      <c r="A172" s="10" t="s">
        <v>496</v>
      </c>
      <c r="B172" s="11">
        <v>45921</v>
      </c>
      <c r="C172" s="11">
        <v>46117</v>
      </c>
      <c r="D172" s="10" t="s">
        <v>187</v>
      </c>
      <c r="E172" s="10" t="s">
        <v>409</v>
      </c>
      <c r="F172" s="10" t="s">
        <v>19</v>
      </c>
      <c r="G172" s="10" t="s">
        <v>20</v>
      </c>
      <c r="H172" s="10" t="s">
        <v>21</v>
      </c>
      <c r="I172" s="10" t="s">
        <v>22</v>
      </c>
      <c r="J172" s="10" t="s">
        <v>30</v>
      </c>
      <c r="K172" s="10" t="s">
        <v>93</v>
      </c>
      <c r="L172" s="12">
        <v>270</v>
      </c>
      <c r="M172" s="10">
        <v>3</v>
      </c>
      <c r="N172" s="13">
        <v>0</v>
      </c>
      <c r="O172" s="14">
        <v>56.36</v>
      </c>
      <c r="P172" s="10" t="s">
        <v>48</v>
      </c>
    </row>
    <row r="173" spans="1:16">
      <c r="A173" s="10" t="s">
        <v>497</v>
      </c>
      <c r="B173" s="11">
        <v>46137</v>
      </c>
      <c r="C173" s="11">
        <v>46118</v>
      </c>
      <c r="D173" s="10" t="s">
        <v>113</v>
      </c>
      <c r="E173" s="10" t="s">
        <v>498</v>
      </c>
      <c r="F173" s="10" t="s">
        <v>19</v>
      </c>
      <c r="G173" s="10" t="s">
        <v>135</v>
      </c>
      <c r="H173" s="10" t="s">
        <v>21</v>
      </c>
      <c r="I173" s="10" t="s">
        <v>22</v>
      </c>
      <c r="J173" s="10" t="s">
        <v>38</v>
      </c>
      <c r="K173" s="10" t="s">
        <v>104</v>
      </c>
      <c r="L173" s="12">
        <v>2600</v>
      </c>
      <c r="M173" s="10">
        <v>5</v>
      </c>
      <c r="N173" s="13">
        <v>0.2</v>
      </c>
      <c r="O173" s="14">
        <v>767.49</v>
      </c>
      <c r="P173" s="10" t="s">
        <v>48</v>
      </c>
    </row>
    <row r="174" spans="1:16">
      <c r="A174" s="10" t="s">
        <v>499</v>
      </c>
      <c r="B174" s="11">
        <v>45801</v>
      </c>
      <c r="C174" s="11">
        <v>46119</v>
      </c>
      <c r="D174" s="10" t="s">
        <v>153</v>
      </c>
      <c r="E174" s="10" t="s">
        <v>500</v>
      </c>
      <c r="F174" s="10" t="s">
        <v>43</v>
      </c>
      <c r="G174" s="10" t="s">
        <v>151</v>
      </c>
      <c r="H174" s="10" t="s">
        <v>151</v>
      </c>
      <c r="I174" s="10" t="s">
        <v>75</v>
      </c>
      <c r="J174" s="10" t="s">
        <v>23</v>
      </c>
      <c r="K174" s="10" t="s">
        <v>89</v>
      </c>
      <c r="L174" s="12">
        <v>22400</v>
      </c>
      <c r="M174" s="10">
        <v>8</v>
      </c>
      <c r="N174" s="13">
        <v>0</v>
      </c>
      <c r="O174" s="14">
        <v>3825.5</v>
      </c>
      <c r="P174" s="10" t="s">
        <v>48</v>
      </c>
    </row>
    <row r="175" spans="1:16">
      <c r="A175" s="10" t="s">
        <v>501</v>
      </c>
      <c r="B175" s="11">
        <v>45997</v>
      </c>
      <c r="C175" s="11">
        <v>46120</v>
      </c>
      <c r="D175" s="10" t="s">
        <v>502</v>
      </c>
      <c r="E175" s="10" t="s">
        <v>503</v>
      </c>
      <c r="F175" s="10" t="s">
        <v>19</v>
      </c>
      <c r="G175" s="10" t="s">
        <v>97</v>
      </c>
      <c r="H175" s="10" t="s">
        <v>21</v>
      </c>
      <c r="I175" s="10" t="s">
        <v>22</v>
      </c>
      <c r="J175" s="10" t="s">
        <v>76</v>
      </c>
      <c r="K175" s="10" t="s">
        <v>77</v>
      </c>
      <c r="L175" s="12">
        <v>11520</v>
      </c>
      <c r="M175" s="10">
        <v>8</v>
      </c>
      <c r="N175" s="13">
        <v>0.1</v>
      </c>
      <c r="O175" s="14">
        <v>3593.71</v>
      </c>
      <c r="P175" s="10" t="s">
        <v>69</v>
      </c>
    </row>
    <row r="176" spans="1:16">
      <c r="A176" s="10" t="s">
        <v>504</v>
      </c>
      <c r="B176" s="11">
        <v>46043</v>
      </c>
      <c r="C176" s="11">
        <v>46121</v>
      </c>
      <c r="D176" s="10" t="s">
        <v>505</v>
      </c>
      <c r="E176" s="10" t="s">
        <v>199</v>
      </c>
      <c r="F176" s="10" t="s">
        <v>29</v>
      </c>
      <c r="G176" s="10" t="s">
        <v>67</v>
      </c>
      <c r="H176" s="10" t="s">
        <v>68</v>
      </c>
      <c r="I176" s="10" t="s">
        <v>22</v>
      </c>
      <c r="J176" s="10" t="s">
        <v>76</v>
      </c>
      <c r="K176" s="10" t="s">
        <v>131</v>
      </c>
      <c r="L176" s="12">
        <v>1785</v>
      </c>
      <c r="M176" s="10">
        <v>6</v>
      </c>
      <c r="N176" s="13">
        <v>0.15</v>
      </c>
      <c r="O176" s="14">
        <v>377.48</v>
      </c>
      <c r="P176" s="10" t="s">
        <v>69</v>
      </c>
    </row>
    <row r="177" spans="1:16">
      <c r="A177" s="10" t="s">
        <v>506</v>
      </c>
      <c r="B177" s="11">
        <v>45752</v>
      </c>
      <c r="C177" s="11">
        <v>46122</v>
      </c>
      <c r="D177" s="10" t="s">
        <v>507</v>
      </c>
      <c r="E177" s="10" t="s">
        <v>166</v>
      </c>
      <c r="F177" s="10" t="s">
        <v>29</v>
      </c>
      <c r="G177" s="10" t="s">
        <v>97</v>
      </c>
      <c r="H177" s="10" t="s">
        <v>21</v>
      </c>
      <c r="I177" s="10" t="s">
        <v>22</v>
      </c>
      <c r="J177" s="10" t="s">
        <v>38</v>
      </c>
      <c r="K177" s="10" t="s">
        <v>104</v>
      </c>
      <c r="L177" s="12">
        <v>2925</v>
      </c>
      <c r="M177" s="10">
        <v>5</v>
      </c>
      <c r="N177" s="13">
        <v>0.1</v>
      </c>
      <c r="O177" s="14">
        <v>410.43</v>
      </c>
      <c r="P177" s="10" t="s">
        <v>69</v>
      </c>
    </row>
    <row r="178" spans="1:16">
      <c r="A178" s="10" t="s">
        <v>508</v>
      </c>
      <c r="B178" s="11">
        <v>46248</v>
      </c>
      <c r="C178" s="11">
        <v>46123</v>
      </c>
      <c r="D178" s="10" t="s">
        <v>83</v>
      </c>
      <c r="E178" s="10" t="s">
        <v>509</v>
      </c>
      <c r="F178" s="10" t="s">
        <v>43</v>
      </c>
      <c r="G178" s="10" t="s">
        <v>60</v>
      </c>
      <c r="H178" s="10" t="s">
        <v>61</v>
      </c>
      <c r="I178" s="10" t="s">
        <v>37</v>
      </c>
      <c r="J178" s="10" t="s">
        <v>23</v>
      </c>
      <c r="K178" s="10" t="s">
        <v>24</v>
      </c>
      <c r="L178" s="12">
        <v>17550</v>
      </c>
      <c r="M178" s="10">
        <v>3</v>
      </c>
      <c r="N178" s="13">
        <v>0.1</v>
      </c>
      <c r="O178" s="14">
        <v>1861.14</v>
      </c>
      <c r="P178" s="10" t="s">
        <v>25</v>
      </c>
    </row>
    <row r="179" spans="1:16">
      <c r="A179" s="10" t="s">
        <v>510</v>
      </c>
      <c r="B179" s="11">
        <v>45315</v>
      </c>
      <c r="C179" s="11">
        <v>46124</v>
      </c>
      <c r="D179" s="10" t="s">
        <v>511</v>
      </c>
      <c r="E179" s="10" t="s">
        <v>512</v>
      </c>
      <c r="F179" s="10" t="s">
        <v>19</v>
      </c>
      <c r="G179" s="10" t="s">
        <v>81</v>
      </c>
      <c r="H179" s="10" t="s">
        <v>68</v>
      </c>
      <c r="I179" s="10" t="s">
        <v>22</v>
      </c>
      <c r="J179" s="10" t="s">
        <v>76</v>
      </c>
      <c r="K179" s="10" t="s">
        <v>131</v>
      </c>
      <c r="L179" s="12">
        <v>1190</v>
      </c>
      <c r="M179" s="10">
        <v>4</v>
      </c>
      <c r="N179" s="13">
        <v>0.15</v>
      </c>
      <c r="O179" s="14">
        <v>316.24</v>
      </c>
      <c r="P179" s="10" t="s">
        <v>25</v>
      </c>
    </row>
    <row r="180" spans="1:16">
      <c r="A180" s="10" t="s">
        <v>513</v>
      </c>
      <c r="B180" s="11">
        <v>45584</v>
      </c>
      <c r="C180" s="11">
        <v>46125</v>
      </c>
      <c r="D180" s="10" t="s">
        <v>514</v>
      </c>
      <c r="E180" s="10" t="s">
        <v>515</v>
      </c>
      <c r="F180" s="10" t="s">
        <v>29</v>
      </c>
      <c r="G180" s="10" t="s">
        <v>135</v>
      </c>
      <c r="H180" s="10" t="s">
        <v>21</v>
      </c>
      <c r="I180" s="10" t="s">
        <v>22</v>
      </c>
      <c r="J180" s="10" t="s">
        <v>38</v>
      </c>
      <c r="K180" s="10" t="s">
        <v>55</v>
      </c>
      <c r="L180" s="12">
        <v>1567.5</v>
      </c>
      <c r="M180" s="10">
        <v>3</v>
      </c>
      <c r="N180" s="13">
        <v>0.05</v>
      </c>
      <c r="O180" s="14">
        <v>287.39999999999998</v>
      </c>
      <c r="P180" s="10" t="s">
        <v>25</v>
      </c>
    </row>
    <row r="181" spans="1:16">
      <c r="A181" s="10" t="s">
        <v>516</v>
      </c>
      <c r="B181" s="11">
        <v>45344</v>
      </c>
      <c r="C181" s="11">
        <v>46126</v>
      </c>
      <c r="D181" s="10" t="s">
        <v>248</v>
      </c>
      <c r="E181" s="10" t="s">
        <v>495</v>
      </c>
      <c r="F181" s="10" t="s">
        <v>19</v>
      </c>
      <c r="G181" s="10" t="s">
        <v>151</v>
      </c>
      <c r="H181" s="10" t="s">
        <v>151</v>
      </c>
      <c r="I181" s="10" t="s">
        <v>75</v>
      </c>
      <c r="J181" s="10" t="s">
        <v>30</v>
      </c>
      <c r="K181" s="10" t="s">
        <v>173</v>
      </c>
      <c r="L181" s="12">
        <v>1600</v>
      </c>
      <c r="M181" s="10">
        <v>5</v>
      </c>
      <c r="N181" s="13">
        <v>0</v>
      </c>
      <c r="O181" s="14">
        <v>447.28</v>
      </c>
      <c r="P181" s="10" t="s">
        <v>63</v>
      </c>
    </row>
    <row r="182" spans="1:16">
      <c r="A182" s="10" t="s">
        <v>517</v>
      </c>
      <c r="B182" s="11">
        <v>45413</v>
      </c>
      <c r="C182" s="11">
        <v>46127</v>
      </c>
      <c r="D182" s="10" t="s">
        <v>79</v>
      </c>
      <c r="E182" s="10" t="s">
        <v>488</v>
      </c>
      <c r="F182" s="10" t="s">
        <v>19</v>
      </c>
      <c r="G182" s="10" t="s">
        <v>20</v>
      </c>
      <c r="H182" s="10" t="s">
        <v>21</v>
      </c>
      <c r="I182" s="10" t="s">
        <v>22</v>
      </c>
      <c r="J182" s="10" t="s">
        <v>76</v>
      </c>
      <c r="K182" s="10" t="s">
        <v>229</v>
      </c>
      <c r="L182" s="12">
        <v>9690</v>
      </c>
      <c r="M182" s="10">
        <v>6</v>
      </c>
      <c r="N182" s="13">
        <v>0.15</v>
      </c>
      <c r="O182" s="14">
        <v>1098.5899999999999</v>
      </c>
      <c r="P182" s="10" t="s">
        <v>63</v>
      </c>
    </row>
    <row r="183" spans="1:16">
      <c r="A183" s="10" t="s">
        <v>518</v>
      </c>
      <c r="B183" s="11">
        <v>45703</v>
      </c>
      <c r="C183" s="11">
        <v>46128</v>
      </c>
      <c r="D183" s="10" t="s">
        <v>519</v>
      </c>
      <c r="E183" s="10" t="s">
        <v>520</v>
      </c>
      <c r="F183" s="10" t="s">
        <v>29</v>
      </c>
      <c r="G183" s="10" t="s">
        <v>135</v>
      </c>
      <c r="H183" s="10" t="s">
        <v>21</v>
      </c>
      <c r="I183" s="10" t="s">
        <v>22</v>
      </c>
      <c r="J183" s="10" t="s">
        <v>38</v>
      </c>
      <c r="K183" s="10" t="s">
        <v>104</v>
      </c>
      <c r="L183" s="12">
        <v>1560</v>
      </c>
      <c r="M183" s="10">
        <v>3</v>
      </c>
      <c r="N183" s="13">
        <v>0.2</v>
      </c>
      <c r="O183" s="14">
        <v>410.92</v>
      </c>
      <c r="P183" s="10" t="s">
        <v>63</v>
      </c>
    </row>
    <row r="184" spans="1:16">
      <c r="A184" s="10" t="s">
        <v>521</v>
      </c>
      <c r="B184" s="11">
        <v>46206</v>
      </c>
      <c r="C184" s="11">
        <v>46129</v>
      </c>
      <c r="D184" s="10" t="s">
        <v>522</v>
      </c>
      <c r="E184" s="10" t="s">
        <v>237</v>
      </c>
      <c r="F184" s="10" t="s">
        <v>43</v>
      </c>
      <c r="G184" s="10" t="s">
        <v>97</v>
      </c>
      <c r="H184" s="10" t="s">
        <v>21</v>
      </c>
      <c r="I184" s="10" t="s">
        <v>22</v>
      </c>
      <c r="J184" s="10" t="s">
        <v>23</v>
      </c>
      <c r="K184" s="10" t="s">
        <v>47</v>
      </c>
      <c r="L184" s="12">
        <v>18600</v>
      </c>
      <c r="M184" s="10">
        <v>6</v>
      </c>
      <c r="N184" s="13">
        <v>0</v>
      </c>
      <c r="O184" s="14">
        <v>5167.67</v>
      </c>
      <c r="P184" s="10" t="s">
        <v>63</v>
      </c>
    </row>
    <row r="185" spans="1:16">
      <c r="A185" s="10" t="s">
        <v>523</v>
      </c>
      <c r="B185" s="11">
        <v>46140</v>
      </c>
      <c r="C185" s="11">
        <v>46130</v>
      </c>
      <c r="D185" s="10" t="s">
        <v>354</v>
      </c>
      <c r="E185" s="10" t="s">
        <v>320</v>
      </c>
      <c r="F185" s="10" t="s">
        <v>29</v>
      </c>
      <c r="G185" s="10" t="s">
        <v>151</v>
      </c>
      <c r="H185" s="10" t="s">
        <v>151</v>
      </c>
      <c r="I185" s="10" t="s">
        <v>75</v>
      </c>
      <c r="J185" s="10" t="s">
        <v>76</v>
      </c>
      <c r="K185" s="10" t="s">
        <v>85</v>
      </c>
      <c r="L185" s="12">
        <v>990</v>
      </c>
      <c r="M185" s="10">
        <v>5</v>
      </c>
      <c r="N185" s="13">
        <v>0.1</v>
      </c>
      <c r="O185" s="14">
        <v>151.38</v>
      </c>
      <c r="P185" s="10" t="s">
        <v>25</v>
      </c>
    </row>
    <row r="186" spans="1:16">
      <c r="A186" s="10" t="s">
        <v>524</v>
      </c>
      <c r="B186" s="11">
        <v>45889</v>
      </c>
      <c r="C186" s="11">
        <v>46131</v>
      </c>
      <c r="D186" s="10" t="s">
        <v>525</v>
      </c>
      <c r="E186" s="10" t="s">
        <v>194</v>
      </c>
      <c r="F186" s="10" t="s">
        <v>29</v>
      </c>
      <c r="G186" s="10" t="s">
        <v>35</v>
      </c>
      <c r="H186" s="10" t="s">
        <v>36</v>
      </c>
      <c r="I186" s="10" t="s">
        <v>37</v>
      </c>
      <c r="J186" s="10" t="s">
        <v>38</v>
      </c>
      <c r="K186" s="10" t="s">
        <v>62</v>
      </c>
      <c r="L186" s="12">
        <v>64600</v>
      </c>
      <c r="M186" s="10">
        <v>8</v>
      </c>
      <c r="N186" s="13">
        <v>0.05</v>
      </c>
      <c r="O186" s="14">
        <v>7820.58</v>
      </c>
      <c r="P186" s="10" t="s">
        <v>48</v>
      </c>
    </row>
    <row r="187" spans="1:16">
      <c r="A187" s="10" t="s">
        <v>526</v>
      </c>
      <c r="B187" s="11">
        <v>45889</v>
      </c>
      <c r="C187" s="11">
        <v>46132</v>
      </c>
      <c r="D187" s="10" t="s">
        <v>381</v>
      </c>
      <c r="E187" s="10" t="s">
        <v>527</v>
      </c>
      <c r="F187" s="10" t="s">
        <v>29</v>
      </c>
      <c r="G187" s="10" t="s">
        <v>97</v>
      </c>
      <c r="H187" s="10" t="s">
        <v>21</v>
      </c>
      <c r="I187" s="10" t="s">
        <v>22</v>
      </c>
      <c r="J187" s="10" t="s">
        <v>76</v>
      </c>
      <c r="K187" s="10" t="s">
        <v>131</v>
      </c>
      <c r="L187" s="12">
        <v>1400</v>
      </c>
      <c r="M187" s="10">
        <v>4</v>
      </c>
      <c r="N187" s="13">
        <v>0</v>
      </c>
      <c r="O187" s="14">
        <v>323.58</v>
      </c>
      <c r="P187" s="10" t="s">
        <v>25</v>
      </c>
    </row>
    <row r="188" spans="1:16">
      <c r="A188" s="10" t="s">
        <v>528</v>
      </c>
      <c r="B188" s="11">
        <v>45613</v>
      </c>
      <c r="C188" s="11">
        <v>46133</v>
      </c>
      <c r="D188" s="10" t="s">
        <v>529</v>
      </c>
      <c r="E188" s="10" t="s">
        <v>530</v>
      </c>
      <c r="F188" s="10" t="s">
        <v>19</v>
      </c>
      <c r="G188" s="10" t="s">
        <v>97</v>
      </c>
      <c r="H188" s="10" t="s">
        <v>21</v>
      </c>
      <c r="I188" s="10" t="s">
        <v>22</v>
      </c>
      <c r="J188" s="10" t="s">
        <v>76</v>
      </c>
      <c r="K188" s="10" t="s">
        <v>131</v>
      </c>
      <c r="L188" s="12">
        <v>2082.5</v>
      </c>
      <c r="M188" s="10">
        <v>7</v>
      </c>
      <c r="N188" s="13">
        <v>0.15</v>
      </c>
      <c r="O188" s="14">
        <v>324.88</v>
      </c>
      <c r="P188" s="10" t="s">
        <v>48</v>
      </c>
    </row>
    <row r="189" spans="1:16">
      <c r="A189" s="10" t="s">
        <v>531</v>
      </c>
      <c r="B189" s="11">
        <v>46014</v>
      </c>
      <c r="C189" s="11">
        <v>46134</v>
      </c>
      <c r="D189" s="10" t="s">
        <v>532</v>
      </c>
      <c r="E189" s="10" t="s">
        <v>533</v>
      </c>
      <c r="F189" s="10" t="s">
        <v>43</v>
      </c>
      <c r="G189" s="10" t="s">
        <v>151</v>
      </c>
      <c r="H189" s="10" t="s">
        <v>151</v>
      </c>
      <c r="I189" s="10" t="s">
        <v>75</v>
      </c>
      <c r="J189" s="10" t="s">
        <v>30</v>
      </c>
      <c r="K189" s="10" t="s">
        <v>93</v>
      </c>
      <c r="L189" s="12">
        <v>432</v>
      </c>
      <c r="M189" s="10">
        <v>6</v>
      </c>
      <c r="N189" s="13">
        <v>0.2</v>
      </c>
      <c r="O189" s="14">
        <v>97.47</v>
      </c>
      <c r="P189" s="10" t="s">
        <v>63</v>
      </c>
    </row>
    <row r="190" spans="1:16">
      <c r="A190" s="10" t="s">
        <v>534</v>
      </c>
      <c r="B190" s="11">
        <v>45642</v>
      </c>
      <c r="C190" s="11">
        <v>46135</v>
      </c>
      <c r="D190" s="10" t="s">
        <v>535</v>
      </c>
      <c r="E190" s="10" t="s">
        <v>495</v>
      </c>
      <c r="F190" s="10" t="s">
        <v>29</v>
      </c>
      <c r="G190" s="10" t="s">
        <v>67</v>
      </c>
      <c r="H190" s="10" t="s">
        <v>68</v>
      </c>
      <c r="I190" s="10" t="s">
        <v>22</v>
      </c>
      <c r="J190" s="10" t="s">
        <v>23</v>
      </c>
      <c r="K190" s="10" t="s">
        <v>47</v>
      </c>
      <c r="L190" s="12">
        <v>24800</v>
      </c>
      <c r="M190" s="10">
        <v>8</v>
      </c>
      <c r="N190" s="13">
        <v>0</v>
      </c>
      <c r="O190" s="14">
        <v>3251.09</v>
      </c>
      <c r="P190" s="10" t="s">
        <v>69</v>
      </c>
    </row>
    <row r="191" spans="1:16">
      <c r="A191" s="10" t="s">
        <v>536</v>
      </c>
      <c r="B191" s="11">
        <v>46081</v>
      </c>
      <c r="C191" s="11">
        <v>46136</v>
      </c>
      <c r="D191" s="10" t="s">
        <v>537</v>
      </c>
      <c r="E191" s="10" t="s">
        <v>538</v>
      </c>
      <c r="F191" s="10" t="s">
        <v>29</v>
      </c>
      <c r="G191" s="10" t="s">
        <v>60</v>
      </c>
      <c r="H191" s="10" t="s">
        <v>61</v>
      </c>
      <c r="I191" s="10" t="s">
        <v>37</v>
      </c>
      <c r="J191" s="10" t="s">
        <v>30</v>
      </c>
      <c r="K191" s="10" t="s">
        <v>127</v>
      </c>
      <c r="L191" s="12">
        <v>810</v>
      </c>
      <c r="M191" s="10">
        <v>6</v>
      </c>
      <c r="N191" s="13">
        <v>0.1</v>
      </c>
      <c r="O191" s="14">
        <v>222.19</v>
      </c>
      <c r="P191" s="10" t="s">
        <v>63</v>
      </c>
    </row>
    <row r="192" spans="1:16">
      <c r="A192" s="10" t="s">
        <v>539</v>
      </c>
      <c r="B192" s="11">
        <v>45984</v>
      </c>
      <c r="C192" s="11">
        <v>46137</v>
      </c>
      <c r="D192" s="10" t="s">
        <v>540</v>
      </c>
      <c r="E192" s="10" t="s">
        <v>541</v>
      </c>
      <c r="F192" s="10" t="s">
        <v>43</v>
      </c>
      <c r="G192" s="10" t="s">
        <v>81</v>
      </c>
      <c r="H192" s="10" t="s">
        <v>68</v>
      </c>
      <c r="I192" s="10" t="s">
        <v>22</v>
      </c>
      <c r="J192" s="10" t="s">
        <v>76</v>
      </c>
      <c r="K192" s="10" t="s">
        <v>229</v>
      </c>
      <c r="L192" s="12">
        <v>5415</v>
      </c>
      <c r="M192" s="10">
        <v>3</v>
      </c>
      <c r="N192" s="13">
        <v>0.05</v>
      </c>
      <c r="O192" s="14">
        <v>1957.86</v>
      </c>
      <c r="P192" s="10" t="s">
        <v>69</v>
      </c>
    </row>
    <row r="193" spans="1:16">
      <c r="A193" s="10" t="s">
        <v>542</v>
      </c>
      <c r="B193" s="11">
        <v>46057</v>
      </c>
      <c r="C193" s="11">
        <v>46138</v>
      </c>
      <c r="D193" s="10" t="s">
        <v>543</v>
      </c>
      <c r="E193" s="10" t="s">
        <v>544</v>
      </c>
      <c r="F193" s="10" t="s">
        <v>19</v>
      </c>
      <c r="G193" s="10" t="s">
        <v>111</v>
      </c>
      <c r="H193" s="10" t="s">
        <v>21</v>
      </c>
      <c r="I193" s="10" t="s">
        <v>22</v>
      </c>
      <c r="J193" s="10" t="s">
        <v>30</v>
      </c>
      <c r="K193" s="10" t="s">
        <v>93</v>
      </c>
      <c r="L193" s="12">
        <v>382.5</v>
      </c>
      <c r="M193" s="10">
        <v>5</v>
      </c>
      <c r="N193" s="13">
        <v>0.15</v>
      </c>
      <c r="O193" s="14">
        <v>67.510000000000005</v>
      </c>
      <c r="P193" s="10" t="s">
        <v>63</v>
      </c>
    </row>
    <row r="194" spans="1:16">
      <c r="A194" s="10" t="s">
        <v>545</v>
      </c>
      <c r="B194" s="11">
        <v>45537</v>
      </c>
      <c r="C194" s="11">
        <v>46139</v>
      </c>
      <c r="D194" s="10" t="s">
        <v>546</v>
      </c>
      <c r="E194" s="10" t="s">
        <v>266</v>
      </c>
      <c r="F194" s="10" t="s">
        <v>19</v>
      </c>
      <c r="G194" s="10" t="s">
        <v>135</v>
      </c>
      <c r="H194" s="10" t="s">
        <v>21</v>
      </c>
      <c r="I194" s="10" t="s">
        <v>22</v>
      </c>
      <c r="J194" s="10" t="s">
        <v>30</v>
      </c>
      <c r="K194" s="10" t="s">
        <v>31</v>
      </c>
      <c r="L194" s="12">
        <v>120</v>
      </c>
      <c r="M194" s="10">
        <v>1</v>
      </c>
      <c r="N194" s="13">
        <v>0</v>
      </c>
      <c r="O194" s="14">
        <v>32.700000000000003</v>
      </c>
      <c r="P194" s="10" t="s">
        <v>56</v>
      </c>
    </row>
    <row r="195" spans="1:16">
      <c r="A195" s="10" t="s">
        <v>547</v>
      </c>
      <c r="B195" s="11">
        <v>45297</v>
      </c>
      <c r="C195" s="11">
        <v>46140</v>
      </c>
      <c r="D195" s="10" t="s">
        <v>79</v>
      </c>
      <c r="E195" s="10" t="s">
        <v>548</v>
      </c>
      <c r="F195" s="10" t="s">
        <v>43</v>
      </c>
      <c r="G195" s="10" t="s">
        <v>101</v>
      </c>
      <c r="H195" s="10" t="s">
        <v>102</v>
      </c>
      <c r="I195" s="10" t="s">
        <v>103</v>
      </c>
      <c r="J195" s="10" t="s">
        <v>30</v>
      </c>
      <c r="K195" s="10" t="s">
        <v>127</v>
      </c>
      <c r="L195" s="12">
        <v>1080</v>
      </c>
      <c r="M195" s="10">
        <v>8</v>
      </c>
      <c r="N195" s="13">
        <v>0.1</v>
      </c>
      <c r="O195" s="14">
        <v>211.53</v>
      </c>
      <c r="P195" s="10" t="s">
        <v>48</v>
      </c>
    </row>
    <row r="196" spans="1:16">
      <c r="A196" s="10" t="s">
        <v>549</v>
      </c>
      <c r="B196" s="11">
        <v>46221</v>
      </c>
      <c r="C196" s="11">
        <v>46141</v>
      </c>
      <c r="D196" s="10" t="s">
        <v>550</v>
      </c>
      <c r="E196" s="10" t="s">
        <v>551</v>
      </c>
      <c r="F196" s="10" t="s">
        <v>29</v>
      </c>
      <c r="G196" s="10" t="s">
        <v>20</v>
      </c>
      <c r="H196" s="10" t="s">
        <v>21</v>
      </c>
      <c r="I196" s="10" t="s">
        <v>22</v>
      </c>
      <c r="J196" s="10" t="s">
        <v>30</v>
      </c>
      <c r="K196" s="10" t="s">
        <v>93</v>
      </c>
      <c r="L196" s="12">
        <v>90</v>
      </c>
      <c r="M196" s="10">
        <v>1</v>
      </c>
      <c r="N196" s="13">
        <v>0</v>
      </c>
      <c r="O196" s="14">
        <v>24.42</v>
      </c>
      <c r="P196" s="10" t="s">
        <v>25</v>
      </c>
    </row>
    <row r="197" spans="1:16">
      <c r="A197" s="10" t="s">
        <v>552</v>
      </c>
      <c r="B197" s="11">
        <v>46098</v>
      </c>
      <c r="C197" s="11">
        <v>46142</v>
      </c>
      <c r="D197" s="10" t="s">
        <v>347</v>
      </c>
      <c r="E197" s="10" t="s">
        <v>553</v>
      </c>
      <c r="F197" s="10" t="s">
        <v>43</v>
      </c>
      <c r="G197" s="10" t="s">
        <v>97</v>
      </c>
      <c r="H197" s="10" t="s">
        <v>21</v>
      </c>
      <c r="I197" s="10" t="s">
        <v>22</v>
      </c>
      <c r="J197" s="10" t="s">
        <v>23</v>
      </c>
      <c r="K197" s="10" t="s">
        <v>120</v>
      </c>
      <c r="L197" s="12">
        <v>3990</v>
      </c>
      <c r="M197" s="10">
        <v>1</v>
      </c>
      <c r="N197" s="13">
        <v>0.05</v>
      </c>
      <c r="O197" s="14">
        <v>897.07</v>
      </c>
      <c r="P197" s="10" t="s">
        <v>63</v>
      </c>
    </row>
    <row r="198" spans="1:16">
      <c r="A198" s="10" t="s">
        <v>554</v>
      </c>
      <c r="B198" s="11">
        <v>45828</v>
      </c>
      <c r="C198" s="11">
        <v>46143</v>
      </c>
      <c r="D198" s="10" t="s">
        <v>555</v>
      </c>
      <c r="E198" s="10" t="s">
        <v>533</v>
      </c>
      <c r="F198" s="10" t="s">
        <v>19</v>
      </c>
      <c r="G198" s="10" t="s">
        <v>101</v>
      </c>
      <c r="H198" s="10" t="s">
        <v>102</v>
      </c>
      <c r="I198" s="10" t="s">
        <v>103</v>
      </c>
      <c r="J198" s="10" t="s">
        <v>30</v>
      </c>
      <c r="K198" s="10" t="s">
        <v>93</v>
      </c>
      <c r="L198" s="12">
        <v>684</v>
      </c>
      <c r="M198" s="10">
        <v>8</v>
      </c>
      <c r="N198" s="13">
        <v>0.05</v>
      </c>
      <c r="O198" s="14">
        <v>220.5</v>
      </c>
      <c r="P198" s="10" t="s">
        <v>25</v>
      </c>
    </row>
    <row r="199" spans="1:16">
      <c r="A199" s="10" t="s">
        <v>556</v>
      </c>
      <c r="B199" s="11">
        <v>45955</v>
      </c>
      <c r="C199" s="11">
        <v>46144</v>
      </c>
      <c r="D199" s="10" t="s">
        <v>79</v>
      </c>
      <c r="E199" s="10" t="s">
        <v>557</v>
      </c>
      <c r="F199" s="10" t="s">
        <v>19</v>
      </c>
      <c r="G199" s="10" t="s">
        <v>60</v>
      </c>
      <c r="H199" s="10" t="s">
        <v>61</v>
      </c>
      <c r="I199" s="10" t="s">
        <v>37</v>
      </c>
      <c r="J199" s="10" t="s">
        <v>30</v>
      </c>
      <c r="K199" s="10" t="s">
        <v>261</v>
      </c>
      <c r="L199" s="12">
        <v>1026</v>
      </c>
      <c r="M199" s="10">
        <v>6</v>
      </c>
      <c r="N199" s="13">
        <v>0.05</v>
      </c>
      <c r="O199" s="14">
        <v>230.72</v>
      </c>
      <c r="P199" s="10" t="s">
        <v>25</v>
      </c>
    </row>
    <row r="200" spans="1:16">
      <c r="A200" s="10" t="s">
        <v>558</v>
      </c>
      <c r="B200" s="11">
        <v>46138</v>
      </c>
      <c r="C200" s="11">
        <v>46145</v>
      </c>
      <c r="D200" s="10" t="s">
        <v>543</v>
      </c>
      <c r="E200" s="10" t="s">
        <v>559</v>
      </c>
      <c r="F200" s="10" t="s">
        <v>29</v>
      </c>
      <c r="G200" s="10" t="s">
        <v>151</v>
      </c>
      <c r="H200" s="10" t="s">
        <v>151</v>
      </c>
      <c r="I200" s="10" t="s">
        <v>75</v>
      </c>
      <c r="J200" s="10" t="s">
        <v>23</v>
      </c>
      <c r="K200" s="10" t="s">
        <v>120</v>
      </c>
      <c r="L200" s="12">
        <v>23520</v>
      </c>
      <c r="M200" s="10">
        <v>7</v>
      </c>
      <c r="N200" s="13">
        <v>0.2</v>
      </c>
      <c r="O200" s="14">
        <v>7648.7</v>
      </c>
      <c r="P200" s="10" t="s">
        <v>48</v>
      </c>
    </row>
    <row r="201" spans="1:16">
      <c r="A201" s="10" t="s">
        <v>560</v>
      </c>
      <c r="B201" s="11">
        <v>45559</v>
      </c>
      <c r="C201" s="11">
        <v>46146</v>
      </c>
      <c r="D201" s="10" t="s">
        <v>113</v>
      </c>
      <c r="E201" s="10" t="s">
        <v>561</v>
      </c>
      <c r="F201" s="10" t="s">
        <v>19</v>
      </c>
      <c r="G201" s="10" t="s">
        <v>111</v>
      </c>
      <c r="H201" s="10" t="s">
        <v>21</v>
      </c>
      <c r="I201" s="10" t="s">
        <v>22</v>
      </c>
      <c r="J201" s="10" t="s">
        <v>76</v>
      </c>
      <c r="K201" s="10" t="s">
        <v>229</v>
      </c>
      <c r="L201" s="12">
        <v>10830</v>
      </c>
      <c r="M201" s="10">
        <v>6</v>
      </c>
      <c r="N201" s="13">
        <v>0.05</v>
      </c>
      <c r="O201" s="14">
        <v>2394.08</v>
      </c>
      <c r="P201" s="10" t="s">
        <v>69</v>
      </c>
    </row>
    <row r="202" spans="1:16">
      <c r="A202" s="10" t="s">
        <v>562</v>
      </c>
      <c r="B202" s="11">
        <v>46001</v>
      </c>
      <c r="C202" s="11">
        <v>46147</v>
      </c>
      <c r="D202" s="10" t="s">
        <v>417</v>
      </c>
      <c r="E202" s="10" t="s">
        <v>277</v>
      </c>
      <c r="F202" s="10" t="s">
        <v>29</v>
      </c>
      <c r="G202" s="10" t="s">
        <v>135</v>
      </c>
      <c r="H202" s="10" t="s">
        <v>21</v>
      </c>
      <c r="I202" s="10" t="s">
        <v>22</v>
      </c>
      <c r="J202" s="10" t="s">
        <v>38</v>
      </c>
      <c r="K202" s="10" t="s">
        <v>55</v>
      </c>
      <c r="L202" s="12">
        <v>2750</v>
      </c>
      <c r="M202" s="10">
        <v>5</v>
      </c>
      <c r="N202" s="13">
        <v>0</v>
      </c>
      <c r="O202" s="14">
        <v>755.13</v>
      </c>
      <c r="P202" s="10" t="s">
        <v>69</v>
      </c>
    </row>
    <row r="203" spans="1:16">
      <c r="A203" s="10" t="s">
        <v>563</v>
      </c>
      <c r="B203" s="11">
        <v>45668</v>
      </c>
      <c r="C203" s="11">
        <v>46148</v>
      </c>
      <c r="D203" s="10" t="s">
        <v>502</v>
      </c>
      <c r="E203" s="10" t="s">
        <v>469</v>
      </c>
      <c r="F203" s="10" t="s">
        <v>19</v>
      </c>
      <c r="G203" s="10" t="s">
        <v>111</v>
      </c>
      <c r="H203" s="10" t="s">
        <v>21</v>
      </c>
      <c r="I203" s="10" t="s">
        <v>22</v>
      </c>
      <c r="J203" s="10" t="s">
        <v>30</v>
      </c>
      <c r="K203" s="10" t="s">
        <v>31</v>
      </c>
      <c r="L203" s="12">
        <v>960</v>
      </c>
      <c r="M203" s="10">
        <v>8</v>
      </c>
      <c r="N203" s="13">
        <v>0</v>
      </c>
      <c r="O203" s="14">
        <v>251.24</v>
      </c>
      <c r="P203" s="10" t="s">
        <v>63</v>
      </c>
    </row>
    <row r="204" spans="1:16">
      <c r="A204" s="10" t="s">
        <v>564</v>
      </c>
      <c r="B204" s="11">
        <v>46226</v>
      </c>
      <c r="C204" s="11">
        <v>46149</v>
      </c>
      <c r="D204" s="10" t="s">
        <v>213</v>
      </c>
      <c r="E204" s="10" t="s">
        <v>565</v>
      </c>
      <c r="F204" s="10" t="s">
        <v>19</v>
      </c>
      <c r="G204" s="10" t="s">
        <v>35</v>
      </c>
      <c r="H204" s="10" t="s">
        <v>36</v>
      </c>
      <c r="I204" s="10" t="s">
        <v>37</v>
      </c>
      <c r="J204" s="10" t="s">
        <v>30</v>
      </c>
      <c r="K204" s="10" t="s">
        <v>31</v>
      </c>
      <c r="L204" s="12">
        <v>204</v>
      </c>
      <c r="M204" s="10">
        <v>2</v>
      </c>
      <c r="N204" s="13">
        <v>0.15</v>
      </c>
      <c r="O204" s="14">
        <v>49.23</v>
      </c>
      <c r="P204" s="10" t="s">
        <v>48</v>
      </c>
    </row>
    <row r="205" spans="1:16">
      <c r="A205" s="10" t="s">
        <v>566</v>
      </c>
      <c r="B205" s="11">
        <v>45355</v>
      </c>
      <c r="C205" s="11">
        <v>46150</v>
      </c>
      <c r="D205" s="10" t="s">
        <v>184</v>
      </c>
      <c r="E205" s="10" t="s">
        <v>567</v>
      </c>
      <c r="F205" s="10" t="s">
        <v>19</v>
      </c>
      <c r="G205" s="10" t="s">
        <v>151</v>
      </c>
      <c r="H205" s="10" t="s">
        <v>151</v>
      </c>
      <c r="I205" s="10" t="s">
        <v>75</v>
      </c>
      <c r="J205" s="10" t="s">
        <v>30</v>
      </c>
      <c r="K205" s="10" t="s">
        <v>93</v>
      </c>
      <c r="L205" s="12">
        <v>270</v>
      </c>
      <c r="M205" s="10">
        <v>3</v>
      </c>
      <c r="N205" s="13">
        <v>0</v>
      </c>
      <c r="O205" s="14">
        <v>79.569999999999993</v>
      </c>
      <c r="P205" s="10" t="s">
        <v>56</v>
      </c>
    </row>
    <row r="206" spans="1:16">
      <c r="A206" s="10" t="s">
        <v>568</v>
      </c>
      <c r="B206" s="11">
        <v>46026</v>
      </c>
      <c r="C206" s="11">
        <v>46151</v>
      </c>
      <c r="D206" s="10" t="s">
        <v>569</v>
      </c>
      <c r="E206" s="10" t="s">
        <v>570</v>
      </c>
      <c r="F206" s="10" t="s">
        <v>19</v>
      </c>
      <c r="G206" s="10" t="s">
        <v>73</v>
      </c>
      <c r="H206" s="10" t="s">
        <v>74</v>
      </c>
      <c r="I206" s="10" t="s">
        <v>75</v>
      </c>
      <c r="J206" s="10" t="s">
        <v>38</v>
      </c>
      <c r="K206" s="10" t="s">
        <v>62</v>
      </c>
      <c r="L206" s="12">
        <v>68000</v>
      </c>
      <c r="M206" s="10">
        <v>8</v>
      </c>
      <c r="N206" s="13">
        <v>0</v>
      </c>
      <c r="O206" s="14">
        <v>17823.32</v>
      </c>
      <c r="P206" s="10" t="s">
        <v>48</v>
      </c>
    </row>
    <row r="207" spans="1:16">
      <c r="A207" s="10" t="s">
        <v>571</v>
      </c>
      <c r="B207" s="11">
        <v>45864</v>
      </c>
      <c r="C207" s="11">
        <v>46152</v>
      </c>
      <c r="D207" s="10" t="s">
        <v>71</v>
      </c>
      <c r="E207" s="10" t="s">
        <v>572</v>
      </c>
      <c r="F207" s="10" t="s">
        <v>29</v>
      </c>
      <c r="G207" s="10" t="s">
        <v>167</v>
      </c>
      <c r="H207" s="10" t="s">
        <v>168</v>
      </c>
      <c r="I207" s="10" t="s">
        <v>37</v>
      </c>
      <c r="J207" s="10" t="s">
        <v>23</v>
      </c>
      <c r="K207" s="10" t="s">
        <v>120</v>
      </c>
      <c r="L207" s="12">
        <v>27930</v>
      </c>
      <c r="M207" s="10">
        <v>7</v>
      </c>
      <c r="N207" s="13">
        <v>0.05</v>
      </c>
      <c r="O207" s="14">
        <v>4475</v>
      </c>
      <c r="P207" s="10" t="s">
        <v>48</v>
      </c>
    </row>
    <row r="208" spans="1:16">
      <c r="A208" s="10" t="s">
        <v>573</v>
      </c>
      <c r="B208" s="11">
        <v>45725</v>
      </c>
      <c r="C208" s="11">
        <v>46153</v>
      </c>
      <c r="D208" s="10" t="s">
        <v>574</v>
      </c>
      <c r="E208" s="10" t="s">
        <v>575</v>
      </c>
      <c r="F208" s="10" t="s">
        <v>43</v>
      </c>
      <c r="G208" s="10" t="s">
        <v>60</v>
      </c>
      <c r="H208" s="10" t="s">
        <v>61</v>
      </c>
      <c r="I208" s="10" t="s">
        <v>37</v>
      </c>
      <c r="J208" s="10" t="s">
        <v>38</v>
      </c>
      <c r="K208" s="10" t="s">
        <v>62</v>
      </c>
      <c r="L208" s="12">
        <v>8500</v>
      </c>
      <c r="M208" s="10">
        <v>1</v>
      </c>
      <c r="N208" s="13">
        <v>0</v>
      </c>
      <c r="O208" s="14">
        <v>1050.6400000000001</v>
      </c>
      <c r="P208" s="10" t="s">
        <v>56</v>
      </c>
    </row>
    <row r="209" spans="1:16">
      <c r="A209" s="10" t="s">
        <v>576</v>
      </c>
      <c r="B209" s="11">
        <v>46079</v>
      </c>
      <c r="C209" s="11">
        <v>46154</v>
      </c>
      <c r="D209" s="10" t="s">
        <v>577</v>
      </c>
      <c r="E209" s="10" t="s">
        <v>578</v>
      </c>
      <c r="F209" s="10" t="s">
        <v>29</v>
      </c>
      <c r="G209" s="10" t="s">
        <v>35</v>
      </c>
      <c r="H209" s="10" t="s">
        <v>36</v>
      </c>
      <c r="I209" s="10" t="s">
        <v>37</v>
      </c>
      <c r="J209" s="10" t="s">
        <v>76</v>
      </c>
      <c r="K209" s="10" t="s">
        <v>229</v>
      </c>
      <c r="L209" s="12">
        <v>11970</v>
      </c>
      <c r="M209" s="10">
        <v>7</v>
      </c>
      <c r="N209" s="13">
        <v>0.1</v>
      </c>
      <c r="O209" s="14">
        <v>1662.62</v>
      </c>
      <c r="P209" s="10" t="s">
        <v>63</v>
      </c>
    </row>
    <row r="210" spans="1:16">
      <c r="A210" s="10" t="s">
        <v>579</v>
      </c>
      <c r="B210" s="11">
        <v>45428</v>
      </c>
      <c r="C210" s="11">
        <v>46155</v>
      </c>
      <c r="D210" s="10" t="s">
        <v>580</v>
      </c>
      <c r="E210" s="10" t="s">
        <v>166</v>
      </c>
      <c r="F210" s="10" t="s">
        <v>29</v>
      </c>
      <c r="G210" s="10" t="s">
        <v>44</v>
      </c>
      <c r="H210" s="10" t="s">
        <v>45</v>
      </c>
      <c r="I210" s="10" t="s">
        <v>46</v>
      </c>
      <c r="J210" s="10" t="s">
        <v>23</v>
      </c>
      <c r="K210" s="10" t="s">
        <v>120</v>
      </c>
      <c r="L210" s="12">
        <v>10710</v>
      </c>
      <c r="M210" s="10">
        <v>3</v>
      </c>
      <c r="N210" s="13">
        <v>0.15</v>
      </c>
      <c r="O210" s="14">
        <v>2734.31</v>
      </c>
      <c r="P210" s="10" t="s">
        <v>48</v>
      </c>
    </row>
    <row r="211" spans="1:16">
      <c r="A211" s="10" t="s">
        <v>581</v>
      </c>
      <c r="B211" s="11">
        <v>45597</v>
      </c>
      <c r="C211" s="11">
        <v>46156</v>
      </c>
      <c r="D211" s="10" t="s">
        <v>582</v>
      </c>
      <c r="E211" s="10" t="s">
        <v>150</v>
      </c>
      <c r="F211" s="10" t="s">
        <v>29</v>
      </c>
      <c r="G211" s="10" t="s">
        <v>167</v>
      </c>
      <c r="H211" s="10" t="s">
        <v>168</v>
      </c>
      <c r="I211" s="10" t="s">
        <v>37</v>
      </c>
      <c r="J211" s="10" t="s">
        <v>76</v>
      </c>
      <c r="K211" s="10" t="s">
        <v>85</v>
      </c>
      <c r="L211" s="12">
        <v>1540</v>
      </c>
      <c r="M211" s="10">
        <v>7</v>
      </c>
      <c r="N211" s="13">
        <v>0</v>
      </c>
      <c r="O211" s="14">
        <v>486.1</v>
      </c>
      <c r="P211" s="10" t="s">
        <v>48</v>
      </c>
    </row>
    <row r="212" spans="1:16">
      <c r="A212" s="10" t="s">
        <v>583</v>
      </c>
      <c r="B212" s="11">
        <v>45324</v>
      </c>
      <c r="C212" s="11">
        <v>46157</v>
      </c>
      <c r="D212" s="10" t="s">
        <v>143</v>
      </c>
      <c r="E212" s="10" t="s">
        <v>584</v>
      </c>
      <c r="F212" s="10" t="s">
        <v>43</v>
      </c>
      <c r="G212" s="10" t="s">
        <v>167</v>
      </c>
      <c r="H212" s="10" t="s">
        <v>168</v>
      </c>
      <c r="I212" s="10" t="s">
        <v>37</v>
      </c>
      <c r="J212" s="10" t="s">
        <v>76</v>
      </c>
      <c r="K212" s="10" t="s">
        <v>85</v>
      </c>
      <c r="L212" s="12">
        <v>220</v>
      </c>
      <c r="M212" s="10">
        <v>1</v>
      </c>
      <c r="N212" s="13">
        <v>0</v>
      </c>
      <c r="O212" s="14">
        <v>71.81</v>
      </c>
      <c r="P212" s="10" t="s">
        <v>63</v>
      </c>
    </row>
    <row r="213" spans="1:16">
      <c r="A213" s="10" t="s">
        <v>585</v>
      </c>
      <c r="B213" s="11">
        <v>45980</v>
      </c>
      <c r="C213" s="11">
        <v>46158</v>
      </c>
      <c r="D213" s="10" t="s">
        <v>122</v>
      </c>
      <c r="E213" s="10" t="s">
        <v>586</v>
      </c>
      <c r="F213" s="10" t="s">
        <v>29</v>
      </c>
      <c r="G213" s="10" t="s">
        <v>44</v>
      </c>
      <c r="H213" s="10" t="s">
        <v>45</v>
      </c>
      <c r="I213" s="10" t="s">
        <v>46</v>
      </c>
      <c r="J213" s="10" t="s">
        <v>38</v>
      </c>
      <c r="K213" s="10" t="s">
        <v>39</v>
      </c>
      <c r="L213" s="12">
        <v>855</v>
      </c>
      <c r="M213" s="10">
        <v>1</v>
      </c>
      <c r="N213" s="13">
        <v>0.1</v>
      </c>
      <c r="O213" s="14">
        <v>214.49</v>
      </c>
      <c r="P213" s="10" t="s">
        <v>56</v>
      </c>
    </row>
    <row r="214" spans="1:16">
      <c r="A214" s="10" t="s">
        <v>587</v>
      </c>
      <c r="B214" s="11">
        <v>45807</v>
      </c>
      <c r="C214" s="11">
        <v>46159</v>
      </c>
      <c r="D214" s="10" t="s">
        <v>588</v>
      </c>
      <c r="E214" s="10" t="s">
        <v>589</v>
      </c>
      <c r="F214" s="10" t="s">
        <v>43</v>
      </c>
      <c r="G214" s="10" t="s">
        <v>111</v>
      </c>
      <c r="H214" s="10" t="s">
        <v>21</v>
      </c>
      <c r="I214" s="10" t="s">
        <v>22</v>
      </c>
      <c r="J214" s="10" t="s">
        <v>23</v>
      </c>
      <c r="K214" s="10" t="s">
        <v>47</v>
      </c>
      <c r="L214" s="12">
        <v>18600</v>
      </c>
      <c r="M214" s="10">
        <v>6</v>
      </c>
      <c r="N214" s="13">
        <v>0</v>
      </c>
      <c r="O214" s="14">
        <v>5608.67</v>
      </c>
      <c r="P214" s="10" t="s">
        <v>69</v>
      </c>
    </row>
    <row r="215" spans="1:16">
      <c r="A215" s="10" t="s">
        <v>590</v>
      </c>
      <c r="B215" s="11">
        <v>45573</v>
      </c>
      <c r="C215" s="11">
        <v>46160</v>
      </c>
      <c r="D215" s="10" t="s">
        <v>591</v>
      </c>
      <c r="E215" s="10" t="s">
        <v>592</v>
      </c>
      <c r="F215" s="10" t="s">
        <v>19</v>
      </c>
      <c r="G215" s="10" t="s">
        <v>151</v>
      </c>
      <c r="H215" s="10" t="s">
        <v>151</v>
      </c>
      <c r="I215" s="10" t="s">
        <v>75</v>
      </c>
      <c r="J215" s="10" t="s">
        <v>30</v>
      </c>
      <c r="K215" s="10" t="s">
        <v>127</v>
      </c>
      <c r="L215" s="12">
        <v>1200</v>
      </c>
      <c r="M215" s="10">
        <v>8</v>
      </c>
      <c r="N215" s="13">
        <v>0</v>
      </c>
      <c r="O215" s="14">
        <v>152.65</v>
      </c>
      <c r="P215" s="10" t="s">
        <v>69</v>
      </c>
    </row>
    <row r="216" spans="1:16">
      <c r="A216" s="10" t="s">
        <v>593</v>
      </c>
      <c r="B216" s="11">
        <v>46005</v>
      </c>
      <c r="C216" s="11">
        <v>46161</v>
      </c>
      <c r="D216" s="10" t="s">
        <v>519</v>
      </c>
      <c r="E216" s="10" t="s">
        <v>166</v>
      </c>
      <c r="F216" s="10" t="s">
        <v>29</v>
      </c>
      <c r="G216" s="10" t="s">
        <v>81</v>
      </c>
      <c r="H216" s="10" t="s">
        <v>68</v>
      </c>
      <c r="I216" s="10" t="s">
        <v>22</v>
      </c>
      <c r="J216" s="10" t="s">
        <v>30</v>
      </c>
      <c r="K216" s="10" t="s">
        <v>173</v>
      </c>
      <c r="L216" s="12">
        <v>2240</v>
      </c>
      <c r="M216" s="10">
        <v>7</v>
      </c>
      <c r="N216" s="13">
        <v>0</v>
      </c>
      <c r="O216" s="14">
        <v>411.83</v>
      </c>
      <c r="P216" s="10" t="s">
        <v>69</v>
      </c>
    </row>
    <row r="217" spans="1:16">
      <c r="A217" s="10" t="s">
        <v>594</v>
      </c>
      <c r="B217" s="11">
        <v>46170</v>
      </c>
      <c r="C217" s="11">
        <v>46162</v>
      </c>
      <c r="D217" s="10" t="s">
        <v>222</v>
      </c>
      <c r="E217" s="10" t="s">
        <v>304</v>
      </c>
      <c r="F217" s="10" t="s">
        <v>43</v>
      </c>
      <c r="G217" s="10" t="s">
        <v>97</v>
      </c>
      <c r="H217" s="10" t="s">
        <v>21</v>
      </c>
      <c r="I217" s="10" t="s">
        <v>22</v>
      </c>
      <c r="J217" s="10" t="s">
        <v>76</v>
      </c>
      <c r="K217" s="10" t="s">
        <v>206</v>
      </c>
      <c r="L217" s="12">
        <v>6930</v>
      </c>
      <c r="M217" s="10">
        <v>7</v>
      </c>
      <c r="N217" s="13">
        <v>0.1</v>
      </c>
      <c r="O217" s="14">
        <v>1525.33</v>
      </c>
      <c r="P217" s="10" t="s">
        <v>56</v>
      </c>
    </row>
    <row r="218" spans="1:16">
      <c r="A218" s="10" t="s">
        <v>595</v>
      </c>
      <c r="B218" s="11">
        <v>45630</v>
      </c>
      <c r="C218" s="11">
        <v>46163</v>
      </c>
      <c r="D218" s="10" t="s">
        <v>356</v>
      </c>
      <c r="E218" s="10" t="s">
        <v>575</v>
      </c>
      <c r="F218" s="10" t="s">
        <v>43</v>
      </c>
      <c r="G218" s="10" t="s">
        <v>20</v>
      </c>
      <c r="H218" s="10" t="s">
        <v>21</v>
      </c>
      <c r="I218" s="10" t="s">
        <v>22</v>
      </c>
      <c r="J218" s="10" t="s">
        <v>76</v>
      </c>
      <c r="K218" s="10" t="s">
        <v>229</v>
      </c>
      <c r="L218" s="12">
        <v>3230</v>
      </c>
      <c r="M218" s="10">
        <v>2</v>
      </c>
      <c r="N218" s="13">
        <v>0.15</v>
      </c>
      <c r="O218" s="14">
        <v>546.22</v>
      </c>
      <c r="P218" s="10" t="s">
        <v>63</v>
      </c>
    </row>
    <row r="219" spans="1:16">
      <c r="A219" s="10" t="s">
        <v>596</v>
      </c>
      <c r="B219" s="11">
        <v>45909</v>
      </c>
      <c r="C219" s="11">
        <v>46164</v>
      </c>
      <c r="D219" s="10" t="s">
        <v>577</v>
      </c>
      <c r="E219" s="10" t="s">
        <v>553</v>
      </c>
      <c r="F219" s="10" t="s">
        <v>29</v>
      </c>
      <c r="G219" s="10" t="s">
        <v>44</v>
      </c>
      <c r="H219" s="10" t="s">
        <v>45</v>
      </c>
      <c r="I219" s="10" t="s">
        <v>46</v>
      </c>
      <c r="J219" s="10" t="s">
        <v>38</v>
      </c>
      <c r="K219" s="10" t="s">
        <v>39</v>
      </c>
      <c r="L219" s="12">
        <v>3420</v>
      </c>
      <c r="M219" s="10">
        <v>4</v>
      </c>
      <c r="N219" s="13">
        <v>0.1</v>
      </c>
      <c r="O219" s="14">
        <v>1062.56</v>
      </c>
      <c r="P219" s="10" t="s">
        <v>56</v>
      </c>
    </row>
    <row r="220" spans="1:16">
      <c r="A220" s="10" t="s">
        <v>597</v>
      </c>
      <c r="B220" s="11">
        <v>46251</v>
      </c>
      <c r="C220" s="11">
        <v>46165</v>
      </c>
      <c r="D220" s="10" t="s">
        <v>598</v>
      </c>
      <c r="E220" s="10" t="s">
        <v>482</v>
      </c>
      <c r="F220" s="10" t="s">
        <v>29</v>
      </c>
      <c r="G220" s="10" t="s">
        <v>60</v>
      </c>
      <c r="H220" s="10" t="s">
        <v>61</v>
      </c>
      <c r="I220" s="10" t="s">
        <v>37</v>
      </c>
      <c r="J220" s="10" t="s">
        <v>38</v>
      </c>
      <c r="K220" s="10" t="s">
        <v>55</v>
      </c>
      <c r="L220" s="12">
        <v>1760</v>
      </c>
      <c r="M220" s="10">
        <v>4</v>
      </c>
      <c r="N220" s="13">
        <v>0.2</v>
      </c>
      <c r="O220" s="14">
        <v>339.43</v>
      </c>
      <c r="P220" s="10" t="s">
        <v>63</v>
      </c>
    </row>
    <row r="221" spans="1:16">
      <c r="A221" s="10" t="s">
        <v>599</v>
      </c>
      <c r="B221" s="11">
        <v>45621</v>
      </c>
      <c r="C221" s="11">
        <v>46166</v>
      </c>
      <c r="D221" s="10" t="s">
        <v>569</v>
      </c>
      <c r="E221" s="10" t="s">
        <v>209</v>
      </c>
      <c r="F221" s="10" t="s">
        <v>29</v>
      </c>
      <c r="G221" s="10" t="s">
        <v>179</v>
      </c>
      <c r="H221" s="10" t="s">
        <v>21</v>
      </c>
      <c r="I221" s="10" t="s">
        <v>22</v>
      </c>
      <c r="J221" s="10" t="s">
        <v>76</v>
      </c>
      <c r="K221" s="10" t="s">
        <v>77</v>
      </c>
      <c r="L221" s="12">
        <v>9120</v>
      </c>
      <c r="M221" s="10">
        <v>6</v>
      </c>
      <c r="N221" s="13">
        <v>0.05</v>
      </c>
      <c r="O221" s="14">
        <v>2776.99</v>
      </c>
      <c r="P221" s="10" t="s">
        <v>25</v>
      </c>
    </row>
    <row r="222" spans="1:16">
      <c r="A222" s="10" t="s">
        <v>600</v>
      </c>
      <c r="B222" s="11">
        <v>46071</v>
      </c>
      <c r="C222" s="11">
        <v>46167</v>
      </c>
      <c r="D222" s="10" t="s">
        <v>601</v>
      </c>
      <c r="E222" s="10" t="s">
        <v>253</v>
      </c>
      <c r="F222" s="10" t="s">
        <v>29</v>
      </c>
      <c r="G222" s="10" t="s">
        <v>67</v>
      </c>
      <c r="H222" s="10" t="s">
        <v>68</v>
      </c>
      <c r="I222" s="10" t="s">
        <v>22</v>
      </c>
      <c r="J222" s="10" t="s">
        <v>30</v>
      </c>
      <c r="K222" s="10" t="s">
        <v>173</v>
      </c>
      <c r="L222" s="12">
        <v>1728</v>
      </c>
      <c r="M222" s="10">
        <v>6</v>
      </c>
      <c r="N222" s="13">
        <v>0.1</v>
      </c>
      <c r="O222" s="14">
        <v>610.17999999999995</v>
      </c>
      <c r="P222" s="10" t="s">
        <v>48</v>
      </c>
    </row>
    <row r="223" spans="1:16">
      <c r="A223" s="10" t="s">
        <v>602</v>
      </c>
      <c r="B223" s="11">
        <v>45559</v>
      </c>
      <c r="C223" s="11">
        <v>46168</v>
      </c>
      <c r="D223" s="10" t="s">
        <v>319</v>
      </c>
      <c r="E223" s="10" t="s">
        <v>603</v>
      </c>
      <c r="F223" s="10" t="s">
        <v>29</v>
      </c>
      <c r="G223" s="10" t="s">
        <v>101</v>
      </c>
      <c r="H223" s="10" t="s">
        <v>102</v>
      </c>
      <c r="I223" s="10" t="s">
        <v>103</v>
      </c>
      <c r="J223" s="10" t="s">
        <v>76</v>
      </c>
      <c r="K223" s="10" t="s">
        <v>229</v>
      </c>
      <c r="L223" s="12">
        <v>5700</v>
      </c>
      <c r="M223" s="10">
        <v>3</v>
      </c>
      <c r="N223" s="13">
        <v>0</v>
      </c>
      <c r="O223" s="14">
        <v>1677.14</v>
      </c>
      <c r="P223" s="10" t="s">
        <v>25</v>
      </c>
    </row>
    <row r="224" spans="1:16">
      <c r="A224" s="10" t="s">
        <v>604</v>
      </c>
      <c r="B224" s="11">
        <v>45855</v>
      </c>
      <c r="C224" s="11">
        <v>46169</v>
      </c>
      <c r="D224" s="10" t="s">
        <v>484</v>
      </c>
      <c r="E224" s="10" t="s">
        <v>223</v>
      </c>
      <c r="F224" s="10" t="s">
        <v>19</v>
      </c>
      <c r="G224" s="10" t="s">
        <v>167</v>
      </c>
      <c r="H224" s="10" t="s">
        <v>168</v>
      </c>
      <c r="I224" s="10" t="s">
        <v>37</v>
      </c>
      <c r="J224" s="10" t="s">
        <v>23</v>
      </c>
      <c r="K224" s="10" t="s">
        <v>89</v>
      </c>
      <c r="L224" s="12">
        <v>17920</v>
      </c>
      <c r="M224" s="10">
        <v>8</v>
      </c>
      <c r="N224" s="13">
        <v>0.2</v>
      </c>
      <c r="O224" s="14">
        <v>3282.22</v>
      </c>
      <c r="P224" s="10" t="s">
        <v>69</v>
      </c>
    </row>
    <row r="225" spans="1:16">
      <c r="A225" s="10" t="s">
        <v>605</v>
      </c>
      <c r="B225" s="11">
        <v>45465</v>
      </c>
      <c r="C225" s="11">
        <v>46170</v>
      </c>
      <c r="D225" s="10" t="s">
        <v>606</v>
      </c>
      <c r="E225" s="10" t="s">
        <v>373</v>
      </c>
      <c r="F225" s="10" t="s">
        <v>19</v>
      </c>
      <c r="G225" s="10" t="s">
        <v>60</v>
      </c>
      <c r="H225" s="10" t="s">
        <v>61</v>
      </c>
      <c r="I225" s="10" t="s">
        <v>37</v>
      </c>
      <c r="J225" s="10" t="s">
        <v>76</v>
      </c>
      <c r="K225" s="10" t="s">
        <v>131</v>
      </c>
      <c r="L225" s="12">
        <v>297.5</v>
      </c>
      <c r="M225" s="10">
        <v>1</v>
      </c>
      <c r="N225" s="13">
        <v>0.15</v>
      </c>
      <c r="O225" s="14">
        <v>103.74</v>
      </c>
      <c r="P225" s="10" t="s">
        <v>48</v>
      </c>
    </row>
    <row r="226" spans="1:16">
      <c r="A226" s="10" t="s">
        <v>607</v>
      </c>
      <c r="B226" s="11">
        <v>46074</v>
      </c>
      <c r="C226" s="11">
        <v>46171</v>
      </c>
      <c r="D226" s="10" t="s">
        <v>33</v>
      </c>
      <c r="E226" s="10" t="s">
        <v>520</v>
      </c>
      <c r="F226" s="10" t="s">
        <v>43</v>
      </c>
      <c r="G226" s="10" t="s">
        <v>81</v>
      </c>
      <c r="H226" s="10" t="s">
        <v>68</v>
      </c>
      <c r="I226" s="10" t="s">
        <v>22</v>
      </c>
      <c r="J226" s="10" t="s">
        <v>30</v>
      </c>
      <c r="K226" s="10" t="s">
        <v>31</v>
      </c>
      <c r="L226" s="12">
        <v>192</v>
      </c>
      <c r="M226" s="10">
        <v>2</v>
      </c>
      <c r="N226" s="13">
        <v>0.2</v>
      </c>
      <c r="O226" s="14">
        <v>59.66</v>
      </c>
      <c r="P226" s="10" t="s">
        <v>48</v>
      </c>
    </row>
    <row r="227" spans="1:16">
      <c r="A227" s="10" t="s">
        <v>608</v>
      </c>
      <c r="B227" s="11">
        <v>45924</v>
      </c>
      <c r="C227" s="11">
        <v>46172</v>
      </c>
      <c r="D227" s="10" t="s">
        <v>311</v>
      </c>
      <c r="E227" s="10" t="s">
        <v>609</v>
      </c>
      <c r="F227" s="10" t="s">
        <v>19</v>
      </c>
      <c r="G227" s="10" t="s">
        <v>167</v>
      </c>
      <c r="H227" s="10" t="s">
        <v>168</v>
      </c>
      <c r="I227" s="10" t="s">
        <v>37</v>
      </c>
      <c r="J227" s="10" t="s">
        <v>76</v>
      </c>
      <c r="K227" s="10" t="s">
        <v>77</v>
      </c>
      <c r="L227" s="12">
        <v>1600</v>
      </c>
      <c r="M227" s="10">
        <v>1</v>
      </c>
      <c r="N227" s="13">
        <v>0</v>
      </c>
      <c r="O227" s="14">
        <v>386.6</v>
      </c>
      <c r="P227" s="10" t="s">
        <v>69</v>
      </c>
    </row>
    <row r="228" spans="1:16">
      <c r="A228" s="10" t="s">
        <v>610</v>
      </c>
      <c r="B228" s="11">
        <v>45840</v>
      </c>
      <c r="C228" s="11">
        <v>46173</v>
      </c>
      <c r="D228" s="10" t="s">
        <v>140</v>
      </c>
      <c r="E228" s="10" t="s">
        <v>572</v>
      </c>
      <c r="F228" s="10" t="s">
        <v>19</v>
      </c>
      <c r="G228" s="10" t="s">
        <v>135</v>
      </c>
      <c r="H228" s="10" t="s">
        <v>21</v>
      </c>
      <c r="I228" s="10" t="s">
        <v>22</v>
      </c>
      <c r="J228" s="10" t="s">
        <v>76</v>
      </c>
      <c r="K228" s="10" t="s">
        <v>131</v>
      </c>
      <c r="L228" s="12">
        <v>700</v>
      </c>
      <c r="M228" s="10">
        <v>2</v>
      </c>
      <c r="N228" s="13">
        <v>0</v>
      </c>
      <c r="O228" s="14">
        <v>170.56</v>
      </c>
      <c r="P228" s="10" t="s">
        <v>69</v>
      </c>
    </row>
    <row r="229" spans="1:16">
      <c r="A229" s="10" t="s">
        <v>611</v>
      </c>
      <c r="B229" s="11">
        <v>46126</v>
      </c>
      <c r="C229" s="11">
        <v>46174</v>
      </c>
      <c r="D229" s="10" t="s">
        <v>612</v>
      </c>
      <c r="E229" s="10" t="s">
        <v>172</v>
      </c>
      <c r="F229" s="10" t="s">
        <v>19</v>
      </c>
      <c r="G229" s="10" t="s">
        <v>179</v>
      </c>
      <c r="H229" s="10" t="s">
        <v>21</v>
      </c>
      <c r="I229" s="10" t="s">
        <v>22</v>
      </c>
      <c r="J229" s="10" t="s">
        <v>76</v>
      </c>
      <c r="K229" s="10" t="s">
        <v>206</v>
      </c>
      <c r="L229" s="12">
        <v>5940</v>
      </c>
      <c r="M229" s="10">
        <v>6</v>
      </c>
      <c r="N229" s="13">
        <v>0.1</v>
      </c>
      <c r="O229" s="14">
        <v>1459.22</v>
      </c>
      <c r="P229" s="10" t="s">
        <v>48</v>
      </c>
    </row>
    <row r="230" spans="1:16">
      <c r="A230" s="10" t="s">
        <v>613</v>
      </c>
      <c r="B230" s="11">
        <v>45961</v>
      </c>
      <c r="C230" s="11">
        <v>46175</v>
      </c>
      <c r="D230" s="10" t="s">
        <v>519</v>
      </c>
      <c r="E230" s="10" t="s">
        <v>116</v>
      </c>
      <c r="F230" s="10" t="s">
        <v>29</v>
      </c>
      <c r="G230" s="10" t="s">
        <v>167</v>
      </c>
      <c r="H230" s="10" t="s">
        <v>168</v>
      </c>
      <c r="I230" s="10" t="s">
        <v>37</v>
      </c>
      <c r="J230" s="10" t="s">
        <v>38</v>
      </c>
      <c r="K230" s="10" t="s">
        <v>104</v>
      </c>
      <c r="L230" s="12">
        <v>4095</v>
      </c>
      <c r="M230" s="10">
        <v>7</v>
      </c>
      <c r="N230" s="13">
        <v>0.1</v>
      </c>
      <c r="O230" s="14">
        <v>1093.0999999999999</v>
      </c>
      <c r="P230" s="10" t="s">
        <v>56</v>
      </c>
    </row>
    <row r="231" spans="1:16">
      <c r="A231" s="10" t="s">
        <v>614</v>
      </c>
      <c r="B231" s="11">
        <v>45376</v>
      </c>
      <c r="C231" s="11">
        <v>46176</v>
      </c>
      <c r="D231" s="10" t="s">
        <v>335</v>
      </c>
      <c r="E231" s="10" t="s">
        <v>66</v>
      </c>
      <c r="F231" s="10" t="s">
        <v>19</v>
      </c>
      <c r="G231" s="10" t="s">
        <v>44</v>
      </c>
      <c r="H231" s="10" t="s">
        <v>45</v>
      </c>
      <c r="I231" s="10" t="s">
        <v>46</v>
      </c>
      <c r="J231" s="10" t="s">
        <v>76</v>
      </c>
      <c r="K231" s="10" t="s">
        <v>229</v>
      </c>
      <c r="L231" s="12">
        <v>3230</v>
      </c>
      <c r="M231" s="10">
        <v>2</v>
      </c>
      <c r="N231" s="13">
        <v>0.15</v>
      </c>
      <c r="O231" s="14">
        <v>382.82</v>
      </c>
      <c r="P231" s="10" t="s">
        <v>63</v>
      </c>
    </row>
    <row r="232" spans="1:16">
      <c r="A232" s="10" t="s">
        <v>615</v>
      </c>
      <c r="B232" s="11">
        <v>45778</v>
      </c>
      <c r="C232" s="11">
        <v>46177</v>
      </c>
      <c r="D232" s="10" t="s">
        <v>616</v>
      </c>
      <c r="E232" s="10" t="s">
        <v>617</v>
      </c>
      <c r="F232" s="10" t="s">
        <v>19</v>
      </c>
      <c r="G232" s="10" t="s">
        <v>135</v>
      </c>
      <c r="H232" s="10" t="s">
        <v>21</v>
      </c>
      <c r="I232" s="10" t="s">
        <v>22</v>
      </c>
      <c r="J232" s="10" t="s">
        <v>38</v>
      </c>
      <c r="K232" s="10" t="s">
        <v>169</v>
      </c>
      <c r="L232" s="12">
        <v>1450</v>
      </c>
      <c r="M232" s="10">
        <v>1</v>
      </c>
      <c r="N232" s="13">
        <v>0</v>
      </c>
      <c r="O232" s="14">
        <v>200.86</v>
      </c>
      <c r="P232" s="10" t="s">
        <v>56</v>
      </c>
    </row>
    <row r="233" spans="1:16">
      <c r="A233" s="10" t="s">
        <v>618</v>
      </c>
      <c r="B233" s="11">
        <v>46062</v>
      </c>
      <c r="C233" s="11">
        <v>46178</v>
      </c>
      <c r="D233" s="10" t="s">
        <v>137</v>
      </c>
      <c r="E233" s="10" t="s">
        <v>191</v>
      </c>
      <c r="F233" s="10" t="s">
        <v>19</v>
      </c>
      <c r="G233" s="10" t="s">
        <v>60</v>
      </c>
      <c r="H233" s="10" t="s">
        <v>61</v>
      </c>
      <c r="I233" s="10" t="s">
        <v>37</v>
      </c>
      <c r="J233" s="10" t="s">
        <v>76</v>
      </c>
      <c r="K233" s="10" t="s">
        <v>206</v>
      </c>
      <c r="L233" s="12">
        <v>5500</v>
      </c>
      <c r="M233" s="10">
        <v>5</v>
      </c>
      <c r="N233" s="13">
        <v>0</v>
      </c>
      <c r="O233" s="14">
        <v>1283.54</v>
      </c>
      <c r="P233" s="10" t="s">
        <v>69</v>
      </c>
    </row>
    <row r="234" spans="1:16">
      <c r="A234" s="10" t="s">
        <v>619</v>
      </c>
      <c r="B234" s="11">
        <v>45685</v>
      </c>
      <c r="C234" s="11">
        <v>46179</v>
      </c>
      <c r="D234" s="10" t="s">
        <v>436</v>
      </c>
      <c r="E234" s="10" t="s">
        <v>541</v>
      </c>
      <c r="F234" s="10" t="s">
        <v>19</v>
      </c>
      <c r="G234" s="10" t="s">
        <v>60</v>
      </c>
      <c r="H234" s="10" t="s">
        <v>61</v>
      </c>
      <c r="I234" s="10" t="s">
        <v>37</v>
      </c>
      <c r="J234" s="10" t="s">
        <v>30</v>
      </c>
      <c r="K234" s="10" t="s">
        <v>261</v>
      </c>
      <c r="L234" s="12">
        <v>1080</v>
      </c>
      <c r="M234" s="10">
        <v>6</v>
      </c>
      <c r="N234" s="13">
        <v>0</v>
      </c>
      <c r="O234" s="14">
        <v>382.97</v>
      </c>
      <c r="P234" s="10" t="s">
        <v>63</v>
      </c>
    </row>
    <row r="235" spans="1:16">
      <c r="A235" s="10" t="s">
        <v>620</v>
      </c>
      <c r="B235" s="11">
        <v>46269</v>
      </c>
      <c r="C235" s="11">
        <v>46180</v>
      </c>
      <c r="D235" s="10" t="s">
        <v>621</v>
      </c>
      <c r="E235" s="10" t="s">
        <v>28</v>
      </c>
      <c r="F235" s="10" t="s">
        <v>43</v>
      </c>
      <c r="G235" s="10" t="s">
        <v>81</v>
      </c>
      <c r="H235" s="10" t="s">
        <v>68</v>
      </c>
      <c r="I235" s="10" t="s">
        <v>22</v>
      </c>
      <c r="J235" s="10" t="s">
        <v>23</v>
      </c>
      <c r="K235" s="10" t="s">
        <v>120</v>
      </c>
      <c r="L235" s="12">
        <v>18900</v>
      </c>
      <c r="M235" s="10">
        <v>5</v>
      </c>
      <c r="N235" s="13">
        <v>0.1</v>
      </c>
      <c r="O235" s="14">
        <v>4487.67</v>
      </c>
      <c r="P235" s="10" t="s">
        <v>56</v>
      </c>
    </row>
    <row r="236" spans="1:16">
      <c r="A236" s="10" t="s">
        <v>622</v>
      </c>
      <c r="B236" s="11">
        <v>45988</v>
      </c>
      <c r="C236" s="11">
        <v>46181</v>
      </c>
      <c r="D236" s="10" t="s">
        <v>196</v>
      </c>
      <c r="E236" s="10" t="s">
        <v>623</v>
      </c>
      <c r="F236" s="10" t="s">
        <v>43</v>
      </c>
      <c r="G236" s="10" t="s">
        <v>167</v>
      </c>
      <c r="H236" s="10" t="s">
        <v>168</v>
      </c>
      <c r="I236" s="10" t="s">
        <v>37</v>
      </c>
      <c r="J236" s="10" t="s">
        <v>76</v>
      </c>
      <c r="K236" s="10" t="s">
        <v>206</v>
      </c>
      <c r="L236" s="12">
        <v>5500</v>
      </c>
      <c r="M236" s="10">
        <v>5</v>
      </c>
      <c r="N236" s="13">
        <v>0</v>
      </c>
      <c r="O236" s="14">
        <v>1070.25</v>
      </c>
      <c r="P236" s="10" t="s">
        <v>56</v>
      </c>
    </row>
    <row r="237" spans="1:16">
      <c r="A237" s="10" t="s">
        <v>624</v>
      </c>
      <c r="B237" s="11">
        <v>46049</v>
      </c>
      <c r="C237" s="11">
        <v>46182</v>
      </c>
      <c r="D237" s="10" t="s">
        <v>625</v>
      </c>
      <c r="E237" s="10" t="s">
        <v>251</v>
      </c>
      <c r="F237" s="10" t="s">
        <v>43</v>
      </c>
      <c r="G237" s="10" t="s">
        <v>67</v>
      </c>
      <c r="H237" s="10" t="s">
        <v>68</v>
      </c>
      <c r="I237" s="10" t="s">
        <v>22</v>
      </c>
      <c r="J237" s="10" t="s">
        <v>23</v>
      </c>
      <c r="K237" s="10" t="s">
        <v>120</v>
      </c>
      <c r="L237" s="12">
        <v>8400</v>
      </c>
      <c r="M237" s="10">
        <v>2</v>
      </c>
      <c r="N237" s="13">
        <v>0</v>
      </c>
      <c r="O237" s="14">
        <v>1132.57</v>
      </c>
      <c r="P237" s="10" t="s">
        <v>48</v>
      </c>
    </row>
    <row r="238" spans="1:16">
      <c r="A238" s="10" t="s">
        <v>626</v>
      </c>
      <c r="B238" s="11">
        <v>45427</v>
      </c>
      <c r="C238" s="11">
        <v>46183</v>
      </c>
      <c r="D238" s="10" t="s">
        <v>411</v>
      </c>
      <c r="E238" s="10" t="s">
        <v>18</v>
      </c>
      <c r="F238" s="10" t="s">
        <v>19</v>
      </c>
      <c r="G238" s="10" t="s">
        <v>97</v>
      </c>
      <c r="H238" s="10" t="s">
        <v>21</v>
      </c>
      <c r="I238" s="10" t="s">
        <v>22</v>
      </c>
      <c r="J238" s="10" t="s">
        <v>76</v>
      </c>
      <c r="K238" s="10" t="s">
        <v>77</v>
      </c>
      <c r="L238" s="12">
        <v>11200</v>
      </c>
      <c r="M238" s="10">
        <v>7</v>
      </c>
      <c r="N238" s="13">
        <v>0</v>
      </c>
      <c r="O238" s="14">
        <v>4179.53</v>
      </c>
      <c r="P238" s="10" t="s">
        <v>63</v>
      </c>
    </row>
    <row r="239" spans="1:16">
      <c r="A239" s="10" t="s">
        <v>627</v>
      </c>
      <c r="B239" s="11">
        <v>46095</v>
      </c>
      <c r="C239" s="11">
        <v>46184</v>
      </c>
      <c r="D239" s="10" t="s">
        <v>196</v>
      </c>
      <c r="E239" s="10" t="s">
        <v>341</v>
      </c>
      <c r="F239" s="10" t="s">
        <v>29</v>
      </c>
      <c r="G239" s="10" t="s">
        <v>44</v>
      </c>
      <c r="H239" s="10" t="s">
        <v>45</v>
      </c>
      <c r="I239" s="10" t="s">
        <v>46</v>
      </c>
      <c r="J239" s="10" t="s">
        <v>76</v>
      </c>
      <c r="K239" s="10" t="s">
        <v>206</v>
      </c>
      <c r="L239" s="12">
        <v>4950</v>
      </c>
      <c r="M239" s="10">
        <v>5</v>
      </c>
      <c r="N239" s="13">
        <v>0.1</v>
      </c>
      <c r="O239" s="14">
        <v>1307.6500000000001</v>
      </c>
      <c r="P239" s="10" t="s">
        <v>63</v>
      </c>
    </row>
    <row r="240" spans="1:16">
      <c r="A240" s="10" t="s">
        <v>628</v>
      </c>
      <c r="B240" s="11">
        <v>45825</v>
      </c>
      <c r="C240" s="11">
        <v>46185</v>
      </c>
      <c r="D240" s="10" t="s">
        <v>629</v>
      </c>
      <c r="E240" s="10" t="s">
        <v>317</v>
      </c>
      <c r="F240" s="10" t="s">
        <v>29</v>
      </c>
      <c r="G240" s="10" t="s">
        <v>167</v>
      </c>
      <c r="H240" s="10" t="s">
        <v>168</v>
      </c>
      <c r="I240" s="10" t="s">
        <v>37</v>
      </c>
      <c r="J240" s="10" t="s">
        <v>76</v>
      </c>
      <c r="K240" s="10" t="s">
        <v>131</v>
      </c>
      <c r="L240" s="12">
        <v>997.5</v>
      </c>
      <c r="M240" s="10">
        <v>3</v>
      </c>
      <c r="N240" s="13">
        <v>0.05</v>
      </c>
      <c r="O240" s="14">
        <v>293.47000000000003</v>
      </c>
      <c r="P240" s="10" t="s">
        <v>25</v>
      </c>
    </row>
    <row r="241" spans="1:16">
      <c r="A241" s="10" t="s">
        <v>630</v>
      </c>
      <c r="B241" s="11">
        <v>45574</v>
      </c>
      <c r="C241" s="11">
        <v>46186</v>
      </c>
      <c r="D241" s="10" t="s">
        <v>187</v>
      </c>
      <c r="E241" s="10" t="s">
        <v>631</v>
      </c>
      <c r="F241" s="10" t="s">
        <v>19</v>
      </c>
      <c r="G241" s="10" t="s">
        <v>179</v>
      </c>
      <c r="H241" s="10" t="s">
        <v>21</v>
      </c>
      <c r="I241" s="10" t="s">
        <v>22</v>
      </c>
      <c r="J241" s="10" t="s">
        <v>76</v>
      </c>
      <c r="K241" s="10" t="s">
        <v>206</v>
      </c>
      <c r="L241" s="12">
        <v>6270</v>
      </c>
      <c r="M241" s="10">
        <v>6</v>
      </c>
      <c r="N241" s="13">
        <v>0.05</v>
      </c>
      <c r="O241" s="14">
        <v>796.3</v>
      </c>
      <c r="P241" s="10" t="s">
        <v>56</v>
      </c>
    </row>
    <row r="242" spans="1:16">
      <c r="A242" s="10" t="s">
        <v>632</v>
      </c>
      <c r="B242" s="11">
        <v>45760</v>
      </c>
      <c r="C242" s="11">
        <v>46187</v>
      </c>
      <c r="D242" s="10" t="s">
        <v>319</v>
      </c>
      <c r="E242" s="10" t="s">
        <v>633</v>
      </c>
      <c r="F242" s="10" t="s">
        <v>43</v>
      </c>
      <c r="G242" s="10" t="s">
        <v>97</v>
      </c>
      <c r="H242" s="10" t="s">
        <v>21</v>
      </c>
      <c r="I242" s="10" t="s">
        <v>22</v>
      </c>
      <c r="J242" s="10" t="s">
        <v>23</v>
      </c>
      <c r="K242" s="10" t="s">
        <v>120</v>
      </c>
      <c r="L242" s="12">
        <v>27930</v>
      </c>
      <c r="M242" s="10">
        <v>7</v>
      </c>
      <c r="N242" s="13">
        <v>0.05</v>
      </c>
      <c r="O242" s="14">
        <v>4292.3</v>
      </c>
      <c r="P242" s="10" t="s">
        <v>25</v>
      </c>
    </row>
    <row r="243" spans="1:16">
      <c r="A243" s="10" t="s">
        <v>634</v>
      </c>
      <c r="B243" s="11">
        <v>46127</v>
      </c>
      <c r="C243" s="11">
        <v>46188</v>
      </c>
      <c r="D243" s="10" t="s">
        <v>635</v>
      </c>
      <c r="E243" s="10" t="s">
        <v>559</v>
      </c>
      <c r="F243" s="10" t="s">
        <v>29</v>
      </c>
      <c r="G243" s="10" t="s">
        <v>44</v>
      </c>
      <c r="H243" s="10" t="s">
        <v>45</v>
      </c>
      <c r="I243" s="10" t="s">
        <v>46</v>
      </c>
      <c r="J243" s="10" t="s">
        <v>30</v>
      </c>
      <c r="K243" s="10" t="s">
        <v>173</v>
      </c>
      <c r="L243" s="12">
        <v>1632</v>
      </c>
      <c r="M243" s="10">
        <v>6</v>
      </c>
      <c r="N243" s="13">
        <v>0.15</v>
      </c>
      <c r="O243" s="14">
        <v>181.49</v>
      </c>
      <c r="P243" s="10" t="s">
        <v>25</v>
      </c>
    </row>
    <row r="244" spans="1:16">
      <c r="A244" s="10" t="s">
        <v>636</v>
      </c>
      <c r="B244" s="11">
        <v>46283</v>
      </c>
      <c r="C244" s="11">
        <v>46189</v>
      </c>
      <c r="D244" s="10" t="s">
        <v>637</v>
      </c>
      <c r="E244" s="10" t="s">
        <v>515</v>
      </c>
      <c r="F244" s="10" t="s">
        <v>29</v>
      </c>
      <c r="G244" s="10" t="s">
        <v>179</v>
      </c>
      <c r="H244" s="10" t="s">
        <v>21</v>
      </c>
      <c r="I244" s="10" t="s">
        <v>22</v>
      </c>
      <c r="J244" s="10" t="s">
        <v>76</v>
      </c>
      <c r="K244" s="10" t="s">
        <v>85</v>
      </c>
      <c r="L244" s="12">
        <v>836</v>
      </c>
      <c r="M244" s="10">
        <v>4</v>
      </c>
      <c r="N244" s="13">
        <v>0.05</v>
      </c>
      <c r="O244" s="14">
        <v>229.67</v>
      </c>
      <c r="P244" s="10" t="s">
        <v>63</v>
      </c>
    </row>
    <row r="245" spans="1:16">
      <c r="A245" s="10" t="s">
        <v>638</v>
      </c>
      <c r="B245" s="11">
        <v>45496</v>
      </c>
      <c r="C245" s="11">
        <v>46190</v>
      </c>
      <c r="D245" s="10" t="s">
        <v>639</v>
      </c>
      <c r="E245" s="10" t="s">
        <v>235</v>
      </c>
      <c r="F245" s="10" t="s">
        <v>43</v>
      </c>
      <c r="G245" s="10" t="s">
        <v>151</v>
      </c>
      <c r="H245" s="10" t="s">
        <v>151</v>
      </c>
      <c r="I245" s="10" t="s">
        <v>75</v>
      </c>
      <c r="J245" s="10" t="s">
        <v>30</v>
      </c>
      <c r="K245" s="10" t="s">
        <v>93</v>
      </c>
      <c r="L245" s="12">
        <v>72</v>
      </c>
      <c r="M245" s="10">
        <v>1</v>
      </c>
      <c r="N245" s="13">
        <v>0.2</v>
      </c>
      <c r="O245" s="14">
        <v>16.559999999999999</v>
      </c>
      <c r="P245" s="10" t="s">
        <v>48</v>
      </c>
    </row>
    <row r="246" spans="1:16">
      <c r="A246" s="10" t="s">
        <v>640</v>
      </c>
      <c r="B246" s="11">
        <v>46130</v>
      </c>
      <c r="C246" s="11">
        <v>46191</v>
      </c>
      <c r="D246" s="10" t="s">
        <v>292</v>
      </c>
      <c r="E246" s="10" t="s">
        <v>641</v>
      </c>
      <c r="F246" s="10" t="s">
        <v>43</v>
      </c>
      <c r="G246" s="10" t="s">
        <v>35</v>
      </c>
      <c r="H246" s="10" t="s">
        <v>36</v>
      </c>
      <c r="I246" s="10" t="s">
        <v>37</v>
      </c>
      <c r="J246" s="10" t="s">
        <v>76</v>
      </c>
      <c r="K246" s="10" t="s">
        <v>77</v>
      </c>
      <c r="L246" s="12">
        <v>3840</v>
      </c>
      <c r="M246" s="10">
        <v>3</v>
      </c>
      <c r="N246" s="13">
        <v>0.2</v>
      </c>
      <c r="O246" s="14">
        <v>1041.6500000000001</v>
      </c>
      <c r="P246" s="10" t="s">
        <v>25</v>
      </c>
    </row>
    <row r="247" spans="1:16">
      <c r="A247" s="10" t="s">
        <v>642</v>
      </c>
      <c r="B247" s="11">
        <v>45367</v>
      </c>
      <c r="C247" s="11">
        <v>46192</v>
      </c>
      <c r="D247" s="10" t="s">
        <v>529</v>
      </c>
      <c r="E247" s="10" t="s">
        <v>643</v>
      </c>
      <c r="F247" s="10" t="s">
        <v>29</v>
      </c>
      <c r="G247" s="10" t="s">
        <v>224</v>
      </c>
      <c r="H247" s="10" t="s">
        <v>225</v>
      </c>
      <c r="I247" s="10" t="s">
        <v>75</v>
      </c>
      <c r="J247" s="10" t="s">
        <v>76</v>
      </c>
      <c r="K247" s="10" t="s">
        <v>85</v>
      </c>
      <c r="L247" s="12">
        <v>1309</v>
      </c>
      <c r="M247" s="10">
        <v>7</v>
      </c>
      <c r="N247" s="13">
        <v>0.15</v>
      </c>
      <c r="O247" s="14">
        <v>295.55</v>
      </c>
      <c r="P247" s="10" t="s">
        <v>69</v>
      </c>
    </row>
    <row r="248" spans="1:16">
      <c r="A248" s="10" t="s">
        <v>644</v>
      </c>
      <c r="B248" s="11">
        <v>46010</v>
      </c>
      <c r="C248" s="11">
        <v>46193</v>
      </c>
      <c r="D248" s="10" t="s">
        <v>645</v>
      </c>
      <c r="E248" s="10" t="s">
        <v>584</v>
      </c>
      <c r="F248" s="10" t="s">
        <v>19</v>
      </c>
      <c r="G248" s="10" t="s">
        <v>151</v>
      </c>
      <c r="H248" s="10" t="s">
        <v>151</v>
      </c>
      <c r="I248" s="10" t="s">
        <v>75</v>
      </c>
      <c r="J248" s="10" t="s">
        <v>38</v>
      </c>
      <c r="K248" s="10" t="s">
        <v>104</v>
      </c>
      <c r="L248" s="12">
        <v>2080</v>
      </c>
      <c r="M248" s="10">
        <v>4</v>
      </c>
      <c r="N248" s="13">
        <v>0.2</v>
      </c>
      <c r="O248" s="14">
        <v>368.53</v>
      </c>
      <c r="P248" s="10" t="s">
        <v>25</v>
      </c>
    </row>
    <row r="249" spans="1:16">
      <c r="A249" s="10" t="s">
        <v>646</v>
      </c>
      <c r="B249" s="11">
        <v>46282</v>
      </c>
      <c r="C249" s="11">
        <v>46194</v>
      </c>
      <c r="D249" s="10" t="s">
        <v>647</v>
      </c>
      <c r="E249" s="10" t="s">
        <v>648</v>
      </c>
      <c r="F249" s="10" t="s">
        <v>19</v>
      </c>
      <c r="G249" s="10" t="s">
        <v>67</v>
      </c>
      <c r="H249" s="10" t="s">
        <v>68</v>
      </c>
      <c r="I249" s="10" t="s">
        <v>22</v>
      </c>
      <c r="J249" s="10" t="s">
        <v>76</v>
      </c>
      <c r="K249" s="10" t="s">
        <v>206</v>
      </c>
      <c r="L249" s="12">
        <v>1100</v>
      </c>
      <c r="M249" s="10">
        <v>1</v>
      </c>
      <c r="N249" s="13">
        <v>0</v>
      </c>
      <c r="O249" s="14">
        <v>344</v>
      </c>
      <c r="P249" s="10" t="s">
        <v>63</v>
      </c>
    </row>
    <row r="250" spans="1:16">
      <c r="A250" s="10" t="s">
        <v>649</v>
      </c>
      <c r="B250" s="11">
        <v>45518</v>
      </c>
      <c r="C250" s="11">
        <v>46195</v>
      </c>
      <c r="D250" s="10" t="s">
        <v>441</v>
      </c>
      <c r="E250" s="10" t="s">
        <v>650</v>
      </c>
      <c r="F250" s="10" t="s">
        <v>43</v>
      </c>
      <c r="G250" s="10" t="s">
        <v>67</v>
      </c>
      <c r="H250" s="10" t="s">
        <v>68</v>
      </c>
      <c r="I250" s="10" t="s">
        <v>22</v>
      </c>
      <c r="J250" s="10" t="s">
        <v>76</v>
      </c>
      <c r="K250" s="10" t="s">
        <v>77</v>
      </c>
      <c r="L250" s="12">
        <v>4560</v>
      </c>
      <c r="M250" s="10">
        <v>3</v>
      </c>
      <c r="N250" s="13">
        <v>0.05</v>
      </c>
      <c r="O250" s="14">
        <v>515.72</v>
      </c>
      <c r="P250" s="10" t="s">
        <v>48</v>
      </c>
    </row>
    <row r="251" spans="1:16">
      <c r="A251" s="10" t="s">
        <v>651</v>
      </c>
      <c r="B251" s="11">
        <v>45410</v>
      </c>
      <c r="C251" s="11">
        <v>46196</v>
      </c>
      <c r="D251" s="10" t="s">
        <v>598</v>
      </c>
      <c r="E251" s="10" t="s">
        <v>520</v>
      </c>
      <c r="F251" s="10" t="s">
        <v>43</v>
      </c>
      <c r="G251" s="10" t="s">
        <v>60</v>
      </c>
      <c r="H251" s="10" t="s">
        <v>61</v>
      </c>
      <c r="I251" s="10" t="s">
        <v>37</v>
      </c>
      <c r="J251" s="10" t="s">
        <v>30</v>
      </c>
      <c r="K251" s="10" t="s">
        <v>173</v>
      </c>
      <c r="L251" s="12">
        <v>1520</v>
      </c>
      <c r="M251" s="10">
        <v>5</v>
      </c>
      <c r="N251" s="13">
        <v>0.05</v>
      </c>
      <c r="O251" s="14">
        <v>386.25</v>
      </c>
      <c r="P251" s="10" t="s">
        <v>25</v>
      </c>
    </row>
    <row r="252" spans="1:16">
      <c r="A252" s="10" t="s">
        <v>652</v>
      </c>
      <c r="B252" s="11">
        <v>45391</v>
      </c>
      <c r="C252" s="11">
        <v>46197</v>
      </c>
      <c r="D252" s="10" t="s">
        <v>639</v>
      </c>
      <c r="E252" s="10" t="s">
        <v>653</v>
      </c>
      <c r="F252" s="10" t="s">
        <v>43</v>
      </c>
      <c r="G252" s="10" t="s">
        <v>60</v>
      </c>
      <c r="H252" s="10" t="s">
        <v>61</v>
      </c>
      <c r="I252" s="10" t="s">
        <v>37</v>
      </c>
      <c r="J252" s="10" t="s">
        <v>76</v>
      </c>
      <c r="K252" s="10" t="s">
        <v>229</v>
      </c>
      <c r="L252" s="12">
        <v>3610</v>
      </c>
      <c r="M252" s="10">
        <v>2</v>
      </c>
      <c r="N252" s="13">
        <v>0.05</v>
      </c>
      <c r="O252" s="14">
        <v>1302.79</v>
      </c>
      <c r="P252" s="10" t="s">
        <v>48</v>
      </c>
    </row>
    <row r="253" spans="1:16">
      <c r="A253" s="10" t="s">
        <v>654</v>
      </c>
      <c r="B253" s="11">
        <v>45985</v>
      </c>
      <c r="C253" s="11">
        <v>46198</v>
      </c>
      <c r="D253" s="10" t="s">
        <v>375</v>
      </c>
      <c r="E253" s="10" t="s">
        <v>570</v>
      </c>
      <c r="F253" s="10" t="s">
        <v>29</v>
      </c>
      <c r="G253" s="10" t="s">
        <v>97</v>
      </c>
      <c r="H253" s="10" t="s">
        <v>21</v>
      </c>
      <c r="I253" s="10" t="s">
        <v>22</v>
      </c>
      <c r="J253" s="10" t="s">
        <v>30</v>
      </c>
      <c r="K253" s="10" t="s">
        <v>93</v>
      </c>
      <c r="L253" s="12">
        <v>229.5</v>
      </c>
      <c r="M253" s="10">
        <v>3</v>
      </c>
      <c r="N253" s="13">
        <v>0.15</v>
      </c>
      <c r="O253" s="14">
        <v>72.489999999999995</v>
      </c>
      <c r="P253" s="10" t="s">
        <v>25</v>
      </c>
    </row>
    <row r="254" spans="1:16">
      <c r="A254" s="10" t="s">
        <v>655</v>
      </c>
      <c r="B254" s="11">
        <v>45936</v>
      </c>
      <c r="C254" s="11">
        <v>46199</v>
      </c>
      <c r="D254" s="10" t="s">
        <v>406</v>
      </c>
      <c r="E254" s="10" t="s">
        <v>656</v>
      </c>
      <c r="F254" s="10" t="s">
        <v>43</v>
      </c>
      <c r="G254" s="10" t="s">
        <v>97</v>
      </c>
      <c r="H254" s="10" t="s">
        <v>21</v>
      </c>
      <c r="I254" s="10" t="s">
        <v>22</v>
      </c>
      <c r="J254" s="10" t="s">
        <v>76</v>
      </c>
      <c r="K254" s="10" t="s">
        <v>77</v>
      </c>
      <c r="L254" s="12">
        <v>1280</v>
      </c>
      <c r="M254" s="10">
        <v>1</v>
      </c>
      <c r="N254" s="13">
        <v>0.2</v>
      </c>
      <c r="O254" s="14">
        <v>243.63</v>
      </c>
      <c r="P254" s="10" t="s">
        <v>25</v>
      </c>
    </row>
    <row r="255" spans="1:16">
      <c r="A255" s="10" t="s">
        <v>657</v>
      </c>
      <c r="B255" s="11">
        <v>45296</v>
      </c>
      <c r="C255" s="11">
        <v>46200</v>
      </c>
      <c r="D255" s="10" t="s">
        <v>658</v>
      </c>
      <c r="E255" s="10" t="s">
        <v>659</v>
      </c>
      <c r="F255" s="10" t="s">
        <v>43</v>
      </c>
      <c r="G255" s="10" t="s">
        <v>111</v>
      </c>
      <c r="H255" s="10" t="s">
        <v>21</v>
      </c>
      <c r="I255" s="10" t="s">
        <v>22</v>
      </c>
      <c r="J255" s="10" t="s">
        <v>30</v>
      </c>
      <c r="K255" s="10" t="s">
        <v>173</v>
      </c>
      <c r="L255" s="12">
        <v>544</v>
      </c>
      <c r="M255" s="10">
        <v>2</v>
      </c>
      <c r="N255" s="13">
        <v>0.15</v>
      </c>
      <c r="O255" s="14">
        <v>180.09</v>
      </c>
      <c r="P255" s="10" t="s">
        <v>69</v>
      </c>
    </row>
    <row r="256" spans="1:16">
      <c r="A256" s="10" t="s">
        <v>660</v>
      </c>
      <c r="B256" s="11">
        <v>45493</v>
      </c>
      <c r="C256" s="11">
        <v>46201</v>
      </c>
      <c r="D256" s="10" t="s">
        <v>661</v>
      </c>
      <c r="E256" s="10" t="s">
        <v>662</v>
      </c>
      <c r="F256" s="10" t="s">
        <v>43</v>
      </c>
      <c r="G256" s="10" t="s">
        <v>20</v>
      </c>
      <c r="H256" s="10" t="s">
        <v>21</v>
      </c>
      <c r="I256" s="10" t="s">
        <v>22</v>
      </c>
      <c r="J256" s="10" t="s">
        <v>23</v>
      </c>
      <c r="K256" s="10" t="s">
        <v>293</v>
      </c>
      <c r="L256" s="12">
        <v>3825</v>
      </c>
      <c r="M256" s="10">
        <v>6</v>
      </c>
      <c r="N256" s="13">
        <v>0.15</v>
      </c>
      <c r="O256" s="14">
        <v>980.94</v>
      </c>
      <c r="P256" s="10" t="s">
        <v>69</v>
      </c>
    </row>
    <row r="257" spans="1:16">
      <c r="A257" s="10" t="s">
        <v>663</v>
      </c>
      <c r="B257" s="11">
        <v>46157</v>
      </c>
      <c r="C257" s="11">
        <v>46202</v>
      </c>
      <c r="D257" s="10" t="s">
        <v>300</v>
      </c>
      <c r="E257" s="10" t="s">
        <v>172</v>
      </c>
      <c r="F257" s="10" t="s">
        <v>29</v>
      </c>
      <c r="G257" s="10" t="s">
        <v>224</v>
      </c>
      <c r="H257" s="10" t="s">
        <v>225</v>
      </c>
      <c r="I257" s="10" t="s">
        <v>75</v>
      </c>
      <c r="J257" s="10" t="s">
        <v>30</v>
      </c>
      <c r="K257" s="10" t="s">
        <v>173</v>
      </c>
      <c r="L257" s="12">
        <v>512</v>
      </c>
      <c r="M257" s="10">
        <v>2</v>
      </c>
      <c r="N257" s="13">
        <v>0.2</v>
      </c>
      <c r="O257" s="14">
        <v>161.37</v>
      </c>
      <c r="P257" s="10" t="s">
        <v>56</v>
      </c>
    </row>
    <row r="258" spans="1:16">
      <c r="A258" s="10" t="s">
        <v>664</v>
      </c>
      <c r="B258" s="11">
        <v>45674</v>
      </c>
      <c r="C258" s="11">
        <v>46203</v>
      </c>
      <c r="D258" s="10" t="s">
        <v>665</v>
      </c>
      <c r="E258" s="10" t="s">
        <v>296</v>
      </c>
      <c r="F258" s="10" t="s">
        <v>19</v>
      </c>
      <c r="G258" s="10" t="s">
        <v>97</v>
      </c>
      <c r="H258" s="10" t="s">
        <v>21</v>
      </c>
      <c r="I258" s="10" t="s">
        <v>22</v>
      </c>
      <c r="J258" s="10" t="s">
        <v>76</v>
      </c>
      <c r="K258" s="10" t="s">
        <v>77</v>
      </c>
      <c r="L258" s="12">
        <v>4080</v>
      </c>
      <c r="M258" s="10">
        <v>3</v>
      </c>
      <c r="N258" s="13">
        <v>0.15</v>
      </c>
      <c r="O258" s="14">
        <v>1051.56</v>
      </c>
      <c r="P258" s="10" t="s">
        <v>56</v>
      </c>
    </row>
    <row r="259" spans="1:16">
      <c r="A259" s="10" t="s">
        <v>666</v>
      </c>
      <c r="B259" s="11">
        <v>45860</v>
      </c>
      <c r="C259" s="11">
        <v>46204</v>
      </c>
      <c r="D259" s="10" t="s">
        <v>667</v>
      </c>
      <c r="E259" s="10" t="s">
        <v>80</v>
      </c>
      <c r="F259" s="10" t="s">
        <v>43</v>
      </c>
      <c r="G259" s="10" t="s">
        <v>73</v>
      </c>
      <c r="H259" s="10" t="s">
        <v>74</v>
      </c>
      <c r="I259" s="10" t="s">
        <v>75</v>
      </c>
      <c r="J259" s="10" t="s">
        <v>23</v>
      </c>
      <c r="K259" s="10" t="s">
        <v>24</v>
      </c>
      <c r="L259" s="12">
        <v>18525</v>
      </c>
      <c r="M259" s="10">
        <v>3</v>
      </c>
      <c r="N259" s="13">
        <v>0.05</v>
      </c>
      <c r="O259" s="14">
        <v>2845.14</v>
      </c>
      <c r="P259" s="10" t="s">
        <v>48</v>
      </c>
    </row>
    <row r="260" spans="1:16">
      <c r="A260" s="10" t="s">
        <v>668</v>
      </c>
      <c r="B260" s="11">
        <v>45788</v>
      </c>
      <c r="C260" s="11">
        <v>46205</v>
      </c>
      <c r="D260" s="10" t="s">
        <v>669</v>
      </c>
      <c r="E260" s="10" t="s">
        <v>670</v>
      </c>
      <c r="F260" s="10" t="s">
        <v>29</v>
      </c>
      <c r="G260" s="10" t="s">
        <v>111</v>
      </c>
      <c r="H260" s="10" t="s">
        <v>21</v>
      </c>
      <c r="I260" s="10" t="s">
        <v>22</v>
      </c>
      <c r="J260" s="10" t="s">
        <v>76</v>
      </c>
      <c r="K260" s="10" t="s">
        <v>85</v>
      </c>
      <c r="L260" s="12">
        <v>1584</v>
      </c>
      <c r="M260" s="10">
        <v>8</v>
      </c>
      <c r="N260" s="13">
        <v>0.1</v>
      </c>
      <c r="O260" s="14">
        <v>296.17</v>
      </c>
      <c r="P260" s="10" t="s">
        <v>48</v>
      </c>
    </row>
    <row r="261" spans="1:16">
      <c r="A261" s="10" t="s">
        <v>671</v>
      </c>
      <c r="B261" s="11">
        <v>45870</v>
      </c>
      <c r="C261" s="11">
        <v>46206</v>
      </c>
      <c r="D261" s="10" t="s">
        <v>211</v>
      </c>
      <c r="E261" s="10" t="s">
        <v>399</v>
      </c>
      <c r="F261" s="10" t="s">
        <v>43</v>
      </c>
      <c r="G261" s="10" t="s">
        <v>35</v>
      </c>
      <c r="H261" s="10" t="s">
        <v>36</v>
      </c>
      <c r="I261" s="10" t="s">
        <v>37</v>
      </c>
      <c r="J261" s="10" t="s">
        <v>30</v>
      </c>
      <c r="K261" s="10" t="s">
        <v>173</v>
      </c>
      <c r="L261" s="12">
        <v>304</v>
      </c>
      <c r="M261" s="10">
        <v>1</v>
      </c>
      <c r="N261" s="13">
        <v>0.05</v>
      </c>
      <c r="O261" s="14">
        <v>95.47</v>
      </c>
      <c r="P261" s="10" t="s">
        <v>63</v>
      </c>
    </row>
    <row r="262" spans="1:16">
      <c r="A262" s="10" t="s">
        <v>672</v>
      </c>
      <c r="B262" s="11">
        <v>46052</v>
      </c>
      <c r="C262" s="11">
        <v>46207</v>
      </c>
      <c r="D262" s="10" t="s">
        <v>463</v>
      </c>
      <c r="E262" s="10" t="s">
        <v>673</v>
      </c>
      <c r="F262" s="10" t="s">
        <v>43</v>
      </c>
      <c r="G262" s="10" t="s">
        <v>35</v>
      </c>
      <c r="H262" s="10" t="s">
        <v>36</v>
      </c>
      <c r="I262" s="10" t="s">
        <v>37</v>
      </c>
      <c r="J262" s="10" t="s">
        <v>76</v>
      </c>
      <c r="K262" s="10" t="s">
        <v>85</v>
      </c>
      <c r="L262" s="12">
        <v>374</v>
      </c>
      <c r="M262" s="10">
        <v>2</v>
      </c>
      <c r="N262" s="13">
        <v>0.15</v>
      </c>
      <c r="O262" s="14">
        <v>122.6</v>
      </c>
      <c r="P262" s="10" t="s">
        <v>63</v>
      </c>
    </row>
    <row r="263" spans="1:16">
      <c r="A263" s="10" t="s">
        <v>674</v>
      </c>
      <c r="B263" s="11">
        <v>46134</v>
      </c>
      <c r="C263" s="11">
        <v>46208</v>
      </c>
      <c r="D263" s="10" t="s">
        <v>434</v>
      </c>
      <c r="E263" s="10" t="s">
        <v>172</v>
      </c>
      <c r="F263" s="10" t="s">
        <v>29</v>
      </c>
      <c r="G263" s="10" t="s">
        <v>135</v>
      </c>
      <c r="H263" s="10" t="s">
        <v>21</v>
      </c>
      <c r="I263" s="10" t="s">
        <v>22</v>
      </c>
      <c r="J263" s="10" t="s">
        <v>76</v>
      </c>
      <c r="K263" s="10" t="s">
        <v>85</v>
      </c>
      <c r="L263" s="12">
        <v>792</v>
      </c>
      <c r="M263" s="10">
        <v>4</v>
      </c>
      <c r="N263" s="13">
        <v>0.1</v>
      </c>
      <c r="O263" s="14">
        <v>267.99</v>
      </c>
      <c r="P263" s="10" t="s">
        <v>25</v>
      </c>
    </row>
    <row r="264" spans="1:16">
      <c r="A264" s="10" t="s">
        <v>675</v>
      </c>
      <c r="B264" s="11">
        <v>45561</v>
      </c>
      <c r="C264" s="11">
        <v>46209</v>
      </c>
      <c r="D264" s="10" t="s">
        <v>217</v>
      </c>
      <c r="E264" s="10" t="s">
        <v>130</v>
      </c>
      <c r="F264" s="10" t="s">
        <v>43</v>
      </c>
      <c r="G264" s="10" t="s">
        <v>44</v>
      </c>
      <c r="H264" s="10" t="s">
        <v>45</v>
      </c>
      <c r="I264" s="10" t="s">
        <v>46</v>
      </c>
      <c r="J264" s="10" t="s">
        <v>38</v>
      </c>
      <c r="K264" s="10" t="s">
        <v>55</v>
      </c>
      <c r="L264" s="12">
        <v>1100</v>
      </c>
      <c r="M264" s="10">
        <v>2</v>
      </c>
      <c r="N264" s="13">
        <v>0</v>
      </c>
      <c r="O264" s="14">
        <v>357.97</v>
      </c>
      <c r="P264" s="10" t="s">
        <v>63</v>
      </c>
    </row>
    <row r="265" spans="1:16">
      <c r="A265" s="10" t="s">
        <v>676</v>
      </c>
      <c r="B265" s="11">
        <v>45939</v>
      </c>
      <c r="C265" s="11">
        <v>46210</v>
      </c>
      <c r="D265" s="10" t="s">
        <v>99</v>
      </c>
      <c r="E265" s="10" t="s">
        <v>246</v>
      </c>
      <c r="F265" s="10" t="s">
        <v>19</v>
      </c>
      <c r="G265" s="10" t="s">
        <v>97</v>
      </c>
      <c r="H265" s="10" t="s">
        <v>21</v>
      </c>
      <c r="I265" s="10" t="s">
        <v>22</v>
      </c>
      <c r="J265" s="10" t="s">
        <v>30</v>
      </c>
      <c r="K265" s="10" t="s">
        <v>31</v>
      </c>
      <c r="L265" s="12">
        <v>480</v>
      </c>
      <c r="M265" s="10">
        <v>4</v>
      </c>
      <c r="N265" s="13">
        <v>0</v>
      </c>
      <c r="O265" s="14">
        <v>111.25</v>
      </c>
      <c r="P265" s="10" t="s">
        <v>56</v>
      </c>
    </row>
    <row r="266" spans="1:16">
      <c r="A266" s="10" t="s">
        <v>677</v>
      </c>
      <c r="B266" s="11">
        <v>45623</v>
      </c>
      <c r="C266" s="11">
        <v>46211</v>
      </c>
      <c r="D266" s="10" t="s">
        <v>17</v>
      </c>
      <c r="E266" s="10" t="s">
        <v>350</v>
      </c>
      <c r="F266" s="10" t="s">
        <v>43</v>
      </c>
      <c r="G266" s="10" t="s">
        <v>179</v>
      </c>
      <c r="H266" s="10" t="s">
        <v>21</v>
      </c>
      <c r="I266" s="10" t="s">
        <v>22</v>
      </c>
      <c r="J266" s="10" t="s">
        <v>23</v>
      </c>
      <c r="K266" s="10" t="s">
        <v>47</v>
      </c>
      <c r="L266" s="12">
        <v>13175</v>
      </c>
      <c r="M266" s="10">
        <v>5</v>
      </c>
      <c r="N266" s="13">
        <v>0.15</v>
      </c>
      <c r="O266" s="14">
        <v>1334.27</v>
      </c>
      <c r="P266" s="10" t="s">
        <v>48</v>
      </c>
    </row>
    <row r="267" spans="1:16">
      <c r="A267" s="10" t="s">
        <v>678</v>
      </c>
      <c r="B267" s="11">
        <v>45575</v>
      </c>
      <c r="C267" s="11">
        <v>46212</v>
      </c>
      <c r="D267" s="10" t="s">
        <v>434</v>
      </c>
      <c r="E267" s="10" t="s">
        <v>51</v>
      </c>
      <c r="F267" s="10" t="s">
        <v>19</v>
      </c>
      <c r="G267" s="10" t="s">
        <v>167</v>
      </c>
      <c r="H267" s="10" t="s">
        <v>168</v>
      </c>
      <c r="I267" s="10" t="s">
        <v>37</v>
      </c>
      <c r="J267" s="10" t="s">
        <v>30</v>
      </c>
      <c r="K267" s="10" t="s">
        <v>31</v>
      </c>
      <c r="L267" s="12">
        <v>480</v>
      </c>
      <c r="M267" s="10">
        <v>4</v>
      </c>
      <c r="N267" s="13">
        <v>0</v>
      </c>
      <c r="O267" s="14">
        <v>93.62</v>
      </c>
      <c r="P267" s="10" t="s">
        <v>25</v>
      </c>
    </row>
    <row r="268" spans="1:16">
      <c r="A268" s="10" t="s">
        <v>679</v>
      </c>
      <c r="B268" s="11">
        <v>45793</v>
      </c>
      <c r="C268" s="11">
        <v>46213</v>
      </c>
      <c r="D268" s="10" t="s">
        <v>452</v>
      </c>
      <c r="E268" s="10" t="s">
        <v>680</v>
      </c>
      <c r="F268" s="10" t="s">
        <v>19</v>
      </c>
      <c r="G268" s="10" t="s">
        <v>224</v>
      </c>
      <c r="H268" s="10" t="s">
        <v>225</v>
      </c>
      <c r="I268" s="10" t="s">
        <v>75</v>
      </c>
      <c r="J268" s="10" t="s">
        <v>23</v>
      </c>
      <c r="K268" s="10" t="s">
        <v>293</v>
      </c>
      <c r="L268" s="12">
        <v>4725</v>
      </c>
      <c r="M268" s="10">
        <v>7</v>
      </c>
      <c r="N268" s="13">
        <v>0.1</v>
      </c>
      <c r="O268" s="14">
        <v>1631.85</v>
      </c>
      <c r="P268" s="10" t="s">
        <v>69</v>
      </c>
    </row>
    <row r="269" spans="1:16">
      <c r="A269" s="10" t="s">
        <v>681</v>
      </c>
      <c r="B269" s="11">
        <v>46003</v>
      </c>
      <c r="C269" s="11">
        <v>46214</v>
      </c>
      <c r="D269" s="10" t="s">
        <v>316</v>
      </c>
      <c r="E269" s="10" t="s">
        <v>205</v>
      </c>
      <c r="F269" s="10" t="s">
        <v>19</v>
      </c>
      <c r="G269" s="10" t="s">
        <v>73</v>
      </c>
      <c r="H269" s="10" t="s">
        <v>74</v>
      </c>
      <c r="I269" s="10" t="s">
        <v>75</v>
      </c>
      <c r="J269" s="10" t="s">
        <v>76</v>
      </c>
      <c r="K269" s="10" t="s">
        <v>229</v>
      </c>
      <c r="L269" s="12">
        <v>1520</v>
      </c>
      <c r="M269" s="10">
        <v>1</v>
      </c>
      <c r="N269" s="13">
        <v>0.2</v>
      </c>
      <c r="O269" s="14">
        <v>495.19</v>
      </c>
      <c r="P269" s="10" t="s">
        <v>69</v>
      </c>
    </row>
    <row r="270" spans="1:16">
      <c r="A270" s="10" t="s">
        <v>682</v>
      </c>
      <c r="B270" s="11">
        <v>46162</v>
      </c>
      <c r="C270" s="11">
        <v>46215</v>
      </c>
      <c r="D270" s="10" t="s">
        <v>289</v>
      </c>
      <c r="E270" s="10" t="s">
        <v>548</v>
      </c>
      <c r="F270" s="10" t="s">
        <v>19</v>
      </c>
      <c r="G270" s="10" t="s">
        <v>35</v>
      </c>
      <c r="H270" s="10" t="s">
        <v>36</v>
      </c>
      <c r="I270" s="10" t="s">
        <v>37</v>
      </c>
      <c r="J270" s="10" t="s">
        <v>76</v>
      </c>
      <c r="K270" s="10" t="s">
        <v>131</v>
      </c>
      <c r="L270" s="12">
        <v>2450</v>
      </c>
      <c r="M270" s="10">
        <v>7</v>
      </c>
      <c r="N270" s="13">
        <v>0</v>
      </c>
      <c r="O270" s="14">
        <v>615.87</v>
      </c>
      <c r="P270" s="10" t="s">
        <v>63</v>
      </c>
    </row>
    <row r="271" spans="1:16">
      <c r="A271" s="10" t="s">
        <v>683</v>
      </c>
      <c r="B271" s="11">
        <v>45425</v>
      </c>
      <c r="C271" s="11">
        <v>46216</v>
      </c>
      <c r="D271" s="10" t="s">
        <v>525</v>
      </c>
      <c r="E271" s="10" t="s">
        <v>338</v>
      </c>
      <c r="F271" s="10" t="s">
        <v>29</v>
      </c>
      <c r="G271" s="10" t="s">
        <v>44</v>
      </c>
      <c r="H271" s="10" t="s">
        <v>45</v>
      </c>
      <c r="I271" s="10" t="s">
        <v>46</v>
      </c>
      <c r="J271" s="10" t="s">
        <v>76</v>
      </c>
      <c r="K271" s="10" t="s">
        <v>229</v>
      </c>
      <c r="L271" s="12">
        <v>1900</v>
      </c>
      <c r="M271" s="10">
        <v>1</v>
      </c>
      <c r="N271" s="13">
        <v>0</v>
      </c>
      <c r="O271" s="14">
        <v>672.81</v>
      </c>
      <c r="P271" s="10" t="s">
        <v>56</v>
      </c>
    </row>
    <row r="272" spans="1:16">
      <c r="A272" s="10" t="s">
        <v>684</v>
      </c>
      <c r="B272" s="11">
        <v>45743</v>
      </c>
      <c r="C272" s="11">
        <v>46217</v>
      </c>
      <c r="D272" s="10" t="s">
        <v>658</v>
      </c>
      <c r="E272" s="10" t="s">
        <v>685</v>
      </c>
      <c r="F272" s="10" t="s">
        <v>19</v>
      </c>
      <c r="G272" s="10" t="s">
        <v>135</v>
      </c>
      <c r="H272" s="10" t="s">
        <v>21</v>
      </c>
      <c r="I272" s="10" t="s">
        <v>22</v>
      </c>
      <c r="J272" s="10" t="s">
        <v>76</v>
      </c>
      <c r="K272" s="10" t="s">
        <v>131</v>
      </c>
      <c r="L272" s="12">
        <v>840</v>
      </c>
      <c r="M272" s="10">
        <v>3</v>
      </c>
      <c r="N272" s="13">
        <v>0.2</v>
      </c>
      <c r="O272" s="14">
        <v>228.07</v>
      </c>
      <c r="P272" s="10" t="s">
        <v>69</v>
      </c>
    </row>
    <row r="273" spans="1:16">
      <c r="A273" s="10" t="s">
        <v>686</v>
      </c>
      <c r="B273" s="11">
        <v>45548</v>
      </c>
      <c r="C273" s="11">
        <v>46218</v>
      </c>
      <c r="D273" s="10" t="s">
        <v>381</v>
      </c>
      <c r="E273" s="10" t="s">
        <v>687</v>
      </c>
      <c r="F273" s="10" t="s">
        <v>19</v>
      </c>
      <c r="G273" s="10" t="s">
        <v>67</v>
      </c>
      <c r="H273" s="10" t="s">
        <v>68</v>
      </c>
      <c r="I273" s="10" t="s">
        <v>22</v>
      </c>
      <c r="J273" s="10" t="s">
        <v>30</v>
      </c>
      <c r="K273" s="10" t="s">
        <v>261</v>
      </c>
      <c r="L273" s="12">
        <v>1008</v>
      </c>
      <c r="M273" s="10">
        <v>7</v>
      </c>
      <c r="N273" s="13">
        <v>0.2</v>
      </c>
      <c r="O273" s="14">
        <v>272.73</v>
      </c>
      <c r="P273" s="10" t="s">
        <v>48</v>
      </c>
    </row>
    <row r="274" spans="1:16">
      <c r="A274" s="10" t="s">
        <v>688</v>
      </c>
      <c r="B274" s="11">
        <v>46012</v>
      </c>
      <c r="C274" s="11">
        <v>46219</v>
      </c>
      <c r="D274" s="10" t="s">
        <v>471</v>
      </c>
      <c r="E274" s="10" t="s">
        <v>338</v>
      </c>
      <c r="F274" s="10" t="s">
        <v>29</v>
      </c>
      <c r="G274" s="10" t="s">
        <v>135</v>
      </c>
      <c r="H274" s="10" t="s">
        <v>21</v>
      </c>
      <c r="I274" s="10" t="s">
        <v>22</v>
      </c>
      <c r="J274" s="10" t="s">
        <v>30</v>
      </c>
      <c r="K274" s="10" t="s">
        <v>127</v>
      </c>
      <c r="L274" s="12">
        <v>300</v>
      </c>
      <c r="M274" s="10">
        <v>2</v>
      </c>
      <c r="N274" s="13">
        <v>0</v>
      </c>
      <c r="O274" s="14">
        <v>67.69</v>
      </c>
      <c r="P274" s="10" t="s">
        <v>69</v>
      </c>
    </row>
    <row r="275" spans="1:16">
      <c r="A275" s="10" t="s">
        <v>689</v>
      </c>
      <c r="B275" s="11">
        <v>46128</v>
      </c>
      <c r="C275" s="11">
        <v>46220</v>
      </c>
      <c r="D275" s="10" t="s">
        <v>690</v>
      </c>
      <c r="E275" s="10" t="s">
        <v>691</v>
      </c>
      <c r="F275" s="10" t="s">
        <v>43</v>
      </c>
      <c r="G275" s="10" t="s">
        <v>44</v>
      </c>
      <c r="H275" s="10" t="s">
        <v>45</v>
      </c>
      <c r="I275" s="10" t="s">
        <v>46</v>
      </c>
      <c r="J275" s="10" t="s">
        <v>76</v>
      </c>
      <c r="K275" s="10" t="s">
        <v>131</v>
      </c>
      <c r="L275" s="12">
        <v>2800</v>
      </c>
      <c r="M275" s="10">
        <v>8</v>
      </c>
      <c r="N275" s="13">
        <v>0</v>
      </c>
      <c r="O275" s="14">
        <v>897.33</v>
      </c>
      <c r="P275" s="10" t="s">
        <v>69</v>
      </c>
    </row>
    <row r="276" spans="1:16">
      <c r="A276" s="10" t="s">
        <v>692</v>
      </c>
      <c r="B276" s="11">
        <v>46194</v>
      </c>
      <c r="C276" s="11">
        <v>46221</v>
      </c>
      <c r="D276" s="10" t="s">
        <v>330</v>
      </c>
      <c r="E276" s="10" t="s">
        <v>328</v>
      </c>
      <c r="F276" s="10" t="s">
        <v>29</v>
      </c>
      <c r="G276" s="10" t="s">
        <v>97</v>
      </c>
      <c r="H276" s="10" t="s">
        <v>21</v>
      </c>
      <c r="I276" s="10" t="s">
        <v>22</v>
      </c>
      <c r="J276" s="10" t="s">
        <v>76</v>
      </c>
      <c r="K276" s="10" t="s">
        <v>131</v>
      </c>
      <c r="L276" s="12">
        <v>1050</v>
      </c>
      <c r="M276" s="10">
        <v>3</v>
      </c>
      <c r="N276" s="13">
        <v>0</v>
      </c>
      <c r="O276" s="14">
        <v>254.17</v>
      </c>
      <c r="P276" s="10" t="s">
        <v>25</v>
      </c>
    </row>
    <row r="277" spans="1:16">
      <c r="A277" s="10" t="s">
        <v>693</v>
      </c>
      <c r="B277" s="11">
        <v>45651</v>
      </c>
      <c r="C277" s="11">
        <v>46222</v>
      </c>
      <c r="D277" s="10" t="s">
        <v>143</v>
      </c>
      <c r="E277" s="10" t="s">
        <v>393</v>
      </c>
      <c r="F277" s="10" t="s">
        <v>29</v>
      </c>
      <c r="G277" s="10" t="s">
        <v>111</v>
      </c>
      <c r="H277" s="10" t="s">
        <v>21</v>
      </c>
      <c r="I277" s="10" t="s">
        <v>22</v>
      </c>
      <c r="J277" s="10" t="s">
        <v>30</v>
      </c>
      <c r="K277" s="10" t="s">
        <v>127</v>
      </c>
      <c r="L277" s="12">
        <v>1200</v>
      </c>
      <c r="M277" s="10">
        <v>8</v>
      </c>
      <c r="N277" s="13">
        <v>0</v>
      </c>
      <c r="O277" s="14">
        <v>428.95</v>
      </c>
      <c r="P277" s="10" t="s">
        <v>63</v>
      </c>
    </row>
    <row r="278" spans="1:16">
      <c r="A278" s="10" t="s">
        <v>694</v>
      </c>
      <c r="B278" s="11">
        <v>46039</v>
      </c>
      <c r="C278" s="11">
        <v>46223</v>
      </c>
      <c r="D278" s="10" t="s">
        <v>196</v>
      </c>
      <c r="E278" s="10" t="s">
        <v>395</v>
      </c>
      <c r="F278" s="10" t="s">
        <v>19</v>
      </c>
      <c r="G278" s="10" t="s">
        <v>67</v>
      </c>
      <c r="H278" s="10" t="s">
        <v>68</v>
      </c>
      <c r="I278" s="10" t="s">
        <v>22</v>
      </c>
      <c r="J278" s="10" t="s">
        <v>76</v>
      </c>
      <c r="K278" s="10" t="s">
        <v>229</v>
      </c>
      <c r="L278" s="12">
        <v>5700</v>
      </c>
      <c r="M278" s="10">
        <v>3</v>
      </c>
      <c r="N278" s="13">
        <v>0</v>
      </c>
      <c r="O278" s="14">
        <v>1755.53</v>
      </c>
      <c r="P278" s="10" t="s">
        <v>63</v>
      </c>
    </row>
    <row r="279" spans="1:16">
      <c r="A279" s="10" t="s">
        <v>695</v>
      </c>
      <c r="B279" s="11">
        <v>46030</v>
      </c>
      <c r="C279" s="11">
        <v>46224</v>
      </c>
      <c r="D279" s="10" t="s">
        <v>356</v>
      </c>
      <c r="E279" s="10" t="s">
        <v>500</v>
      </c>
      <c r="F279" s="10" t="s">
        <v>19</v>
      </c>
      <c r="G279" s="10" t="s">
        <v>179</v>
      </c>
      <c r="H279" s="10" t="s">
        <v>21</v>
      </c>
      <c r="I279" s="10" t="s">
        <v>22</v>
      </c>
      <c r="J279" s="10" t="s">
        <v>38</v>
      </c>
      <c r="K279" s="10" t="s">
        <v>169</v>
      </c>
      <c r="L279" s="12">
        <v>4930</v>
      </c>
      <c r="M279" s="10">
        <v>4</v>
      </c>
      <c r="N279" s="13">
        <v>0.15</v>
      </c>
      <c r="O279" s="14">
        <v>984.52</v>
      </c>
      <c r="P279" s="10" t="s">
        <v>48</v>
      </c>
    </row>
    <row r="280" spans="1:16">
      <c r="A280" s="10" t="s">
        <v>696</v>
      </c>
      <c r="B280" s="11">
        <v>46094</v>
      </c>
      <c r="C280" s="11">
        <v>46225</v>
      </c>
      <c r="D280" s="10" t="s">
        <v>697</v>
      </c>
      <c r="E280" s="10" t="s">
        <v>144</v>
      </c>
      <c r="F280" s="10" t="s">
        <v>29</v>
      </c>
      <c r="G280" s="10" t="s">
        <v>111</v>
      </c>
      <c r="H280" s="10" t="s">
        <v>21</v>
      </c>
      <c r="I280" s="10" t="s">
        <v>22</v>
      </c>
      <c r="J280" s="10" t="s">
        <v>76</v>
      </c>
      <c r="K280" s="10" t="s">
        <v>77</v>
      </c>
      <c r="L280" s="12">
        <v>3200</v>
      </c>
      <c r="M280" s="10">
        <v>2</v>
      </c>
      <c r="N280" s="13">
        <v>0</v>
      </c>
      <c r="O280" s="14">
        <v>800.35</v>
      </c>
      <c r="P280" s="10" t="s">
        <v>69</v>
      </c>
    </row>
    <row r="281" spans="1:16">
      <c r="A281" s="10" t="s">
        <v>698</v>
      </c>
      <c r="B281" s="11">
        <v>46248</v>
      </c>
      <c r="C281" s="11">
        <v>46226</v>
      </c>
      <c r="D281" s="10" t="s">
        <v>699</v>
      </c>
      <c r="E281" s="10" t="s">
        <v>700</v>
      </c>
      <c r="F281" s="10" t="s">
        <v>29</v>
      </c>
      <c r="G281" s="10" t="s">
        <v>97</v>
      </c>
      <c r="H281" s="10" t="s">
        <v>21</v>
      </c>
      <c r="I281" s="10" t="s">
        <v>22</v>
      </c>
      <c r="J281" s="10" t="s">
        <v>76</v>
      </c>
      <c r="K281" s="10" t="s">
        <v>85</v>
      </c>
      <c r="L281" s="12">
        <v>1463</v>
      </c>
      <c r="M281" s="10">
        <v>7</v>
      </c>
      <c r="N281" s="13">
        <v>0.05</v>
      </c>
      <c r="O281" s="14">
        <v>337.14</v>
      </c>
      <c r="P281" s="10" t="s">
        <v>48</v>
      </c>
    </row>
    <row r="282" spans="1:16">
      <c r="A282" s="10" t="s">
        <v>701</v>
      </c>
      <c r="B282" s="11">
        <v>45893</v>
      </c>
      <c r="C282" s="11">
        <v>46227</v>
      </c>
      <c r="D282" s="10" t="s">
        <v>702</v>
      </c>
      <c r="E282" s="10" t="s">
        <v>84</v>
      </c>
      <c r="F282" s="10" t="s">
        <v>19</v>
      </c>
      <c r="G282" s="10" t="s">
        <v>135</v>
      </c>
      <c r="H282" s="10" t="s">
        <v>21</v>
      </c>
      <c r="I282" s="10" t="s">
        <v>22</v>
      </c>
      <c r="J282" s="10" t="s">
        <v>23</v>
      </c>
      <c r="K282" s="10" t="s">
        <v>24</v>
      </c>
      <c r="L282" s="12">
        <v>6500</v>
      </c>
      <c r="M282" s="10">
        <v>1</v>
      </c>
      <c r="N282" s="13">
        <v>0</v>
      </c>
      <c r="O282" s="14">
        <v>866.73</v>
      </c>
      <c r="P282" s="10" t="s">
        <v>63</v>
      </c>
    </row>
    <row r="283" spans="1:16">
      <c r="A283" s="10" t="s">
        <v>703</v>
      </c>
      <c r="B283" s="11">
        <v>46077</v>
      </c>
      <c r="C283" s="11">
        <v>46228</v>
      </c>
      <c r="D283" s="10" t="s">
        <v>704</v>
      </c>
      <c r="E283" s="10" t="s">
        <v>705</v>
      </c>
      <c r="F283" s="10" t="s">
        <v>29</v>
      </c>
      <c r="G283" s="10" t="s">
        <v>81</v>
      </c>
      <c r="H283" s="10" t="s">
        <v>68</v>
      </c>
      <c r="I283" s="10" t="s">
        <v>22</v>
      </c>
      <c r="J283" s="10" t="s">
        <v>76</v>
      </c>
      <c r="K283" s="10" t="s">
        <v>206</v>
      </c>
      <c r="L283" s="12">
        <v>3135</v>
      </c>
      <c r="M283" s="10">
        <v>3</v>
      </c>
      <c r="N283" s="13">
        <v>0.05</v>
      </c>
      <c r="O283" s="14">
        <v>1099.6500000000001</v>
      </c>
      <c r="P283" s="10" t="s">
        <v>56</v>
      </c>
    </row>
    <row r="284" spans="1:16">
      <c r="A284" s="10" t="s">
        <v>706</v>
      </c>
      <c r="B284" s="11">
        <v>45841</v>
      </c>
      <c r="C284" s="11">
        <v>46229</v>
      </c>
      <c r="D284" s="10" t="s">
        <v>140</v>
      </c>
      <c r="E284" s="10" t="s">
        <v>707</v>
      </c>
      <c r="F284" s="10" t="s">
        <v>29</v>
      </c>
      <c r="G284" s="10" t="s">
        <v>81</v>
      </c>
      <c r="H284" s="10" t="s">
        <v>68</v>
      </c>
      <c r="I284" s="10" t="s">
        <v>22</v>
      </c>
      <c r="J284" s="10" t="s">
        <v>38</v>
      </c>
      <c r="K284" s="10" t="s">
        <v>169</v>
      </c>
      <c r="L284" s="12">
        <v>8120</v>
      </c>
      <c r="M284" s="10">
        <v>7</v>
      </c>
      <c r="N284" s="13">
        <v>0.2</v>
      </c>
      <c r="O284" s="14">
        <v>829.12</v>
      </c>
      <c r="P284" s="10" t="s">
        <v>25</v>
      </c>
    </row>
    <row r="285" spans="1:16">
      <c r="A285" s="10" t="s">
        <v>708</v>
      </c>
      <c r="B285" s="11">
        <v>45410</v>
      </c>
      <c r="C285" s="11">
        <v>46230</v>
      </c>
      <c r="D285" s="10" t="s">
        <v>543</v>
      </c>
      <c r="E285" s="10" t="s">
        <v>709</v>
      </c>
      <c r="F285" s="10" t="s">
        <v>43</v>
      </c>
      <c r="G285" s="10" t="s">
        <v>224</v>
      </c>
      <c r="H285" s="10" t="s">
        <v>225</v>
      </c>
      <c r="I285" s="10" t="s">
        <v>75</v>
      </c>
      <c r="J285" s="10" t="s">
        <v>38</v>
      </c>
      <c r="K285" s="10" t="s">
        <v>169</v>
      </c>
      <c r="L285" s="12">
        <v>4350</v>
      </c>
      <c r="M285" s="10">
        <v>3</v>
      </c>
      <c r="N285" s="13">
        <v>0</v>
      </c>
      <c r="O285" s="14">
        <v>1638.68</v>
      </c>
      <c r="P285" s="10" t="s">
        <v>69</v>
      </c>
    </row>
    <row r="286" spans="1:16">
      <c r="A286" s="10" t="s">
        <v>710</v>
      </c>
      <c r="B286" s="11">
        <v>45827</v>
      </c>
      <c r="C286" s="11">
        <v>46231</v>
      </c>
      <c r="D286" s="10" t="s">
        <v>658</v>
      </c>
      <c r="E286" s="10" t="s">
        <v>711</v>
      </c>
      <c r="F286" s="10" t="s">
        <v>29</v>
      </c>
      <c r="G286" s="10" t="s">
        <v>35</v>
      </c>
      <c r="H286" s="10" t="s">
        <v>36</v>
      </c>
      <c r="I286" s="10" t="s">
        <v>37</v>
      </c>
      <c r="J286" s="10" t="s">
        <v>23</v>
      </c>
      <c r="K286" s="10" t="s">
        <v>24</v>
      </c>
      <c r="L286" s="12">
        <v>39000</v>
      </c>
      <c r="M286" s="10">
        <v>6</v>
      </c>
      <c r="N286" s="13">
        <v>0</v>
      </c>
      <c r="O286" s="14">
        <v>7217.27</v>
      </c>
      <c r="P286" s="10" t="s">
        <v>48</v>
      </c>
    </row>
    <row r="287" spans="1:16">
      <c r="A287" s="10" t="s">
        <v>712</v>
      </c>
      <c r="B287" s="11">
        <v>45635</v>
      </c>
      <c r="C287" s="11">
        <v>46232</v>
      </c>
      <c r="D287" s="10" t="s">
        <v>713</v>
      </c>
      <c r="E287" s="10" t="s">
        <v>492</v>
      </c>
      <c r="F287" s="10" t="s">
        <v>43</v>
      </c>
      <c r="G287" s="10" t="s">
        <v>81</v>
      </c>
      <c r="H287" s="10" t="s">
        <v>68</v>
      </c>
      <c r="I287" s="10" t="s">
        <v>22</v>
      </c>
      <c r="J287" s="10" t="s">
        <v>23</v>
      </c>
      <c r="K287" s="10" t="s">
        <v>47</v>
      </c>
      <c r="L287" s="12">
        <v>5890</v>
      </c>
      <c r="M287" s="10">
        <v>2</v>
      </c>
      <c r="N287" s="13">
        <v>0.05</v>
      </c>
      <c r="O287" s="14">
        <v>1103.17</v>
      </c>
      <c r="P287" s="10" t="s">
        <v>63</v>
      </c>
    </row>
    <row r="288" spans="1:16">
      <c r="A288" s="10" t="s">
        <v>714</v>
      </c>
      <c r="B288" s="11">
        <v>45660</v>
      </c>
      <c r="C288" s="11">
        <v>46233</v>
      </c>
      <c r="D288" s="10" t="s">
        <v>715</v>
      </c>
      <c r="E288" s="10" t="s">
        <v>716</v>
      </c>
      <c r="F288" s="10" t="s">
        <v>19</v>
      </c>
      <c r="G288" s="10" t="s">
        <v>73</v>
      </c>
      <c r="H288" s="10" t="s">
        <v>74</v>
      </c>
      <c r="I288" s="10" t="s">
        <v>75</v>
      </c>
      <c r="J288" s="10" t="s">
        <v>30</v>
      </c>
      <c r="K288" s="10" t="s">
        <v>173</v>
      </c>
      <c r="L288" s="12">
        <v>912</v>
      </c>
      <c r="M288" s="10">
        <v>3</v>
      </c>
      <c r="N288" s="13">
        <v>0.05</v>
      </c>
      <c r="O288" s="14">
        <v>156.35</v>
      </c>
      <c r="P288" s="10" t="s">
        <v>48</v>
      </c>
    </row>
    <row r="289" spans="1:16">
      <c r="A289" s="10" t="s">
        <v>717</v>
      </c>
      <c r="B289" s="11">
        <v>45525</v>
      </c>
      <c r="C289" s="11">
        <v>46234</v>
      </c>
      <c r="D289" s="10" t="s">
        <v>53</v>
      </c>
      <c r="E289" s="10" t="s">
        <v>482</v>
      </c>
      <c r="F289" s="10" t="s">
        <v>29</v>
      </c>
      <c r="G289" s="10" t="s">
        <v>151</v>
      </c>
      <c r="H289" s="10" t="s">
        <v>151</v>
      </c>
      <c r="I289" s="10" t="s">
        <v>75</v>
      </c>
      <c r="J289" s="10" t="s">
        <v>38</v>
      </c>
      <c r="K289" s="10" t="s">
        <v>104</v>
      </c>
      <c r="L289" s="12">
        <v>650</v>
      </c>
      <c r="M289" s="10">
        <v>1</v>
      </c>
      <c r="N289" s="13">
        <v>0</v>
      </c>
      <c r="O289" s="14">
        <v>239.23</v>
      </c>
      <c r="P289" s="10" t="s">
        <v>56</v>
      </c>
    </row>
    <row r="290" spans="1:16">
      <c r="A290" s="10" t="s">
        <v>718</v>
      </c>
      <c r="B290" s="11">
        <v>46245</v>
      </c>
      <c r="C290" s="11">
        <v>46235</v>
      </c>
      <c r="D290" s="10" t="s">
        <v>187</v>
      </c>
      <c r="E290" s="10" t="s">
        <v>553</v>
      </c>
      <c r="F290" s="10" t="s">
        <v>29</v>
      </c>
      <c r="G290" s="10" t="s">
        <v>135</v>
      </c>
      <c r="H290" s="10" t="s">
        <v>21</v>
      </c>
      <c r="I290" s="10" t="s">
        <v>22</v>
      </c>
      <c r="J290" s="10" t="s">
        <v>76</v>
      </c>
      <c r="K290" s="10" t="s">
        <v>131</v>
      </c>
      <c r="L290" s="12">
        <v>2100</v>
      </c>
      <c r="M290" s="10">
        <v>6</v>
      </c>
      <c r="N290" s="13">
        <v>0</v>
      </c>
      <c r="O290" s="14">
        <v>570.72</v>
      </c>
      <c r="P290" s="10" t="s">
        <v>63</v>
      </c>
    </row>
    <row r="291" spans="1:16">
      <c r="A291" s="10" t="s">
        <v>719</v>
      </c>
      <c r="B291" s="11">
        <v>45673</v>
      </c>
      <c r="C291" s="11">
        <v>46236</v>
      </c>
      <c r="D291" s="10" t="s">
        <v>540</v>
      </c>
      <c r="E291" s="10" t="s">
        <v>445</v>
      </c>
      <c r="F291" s="10" t="s">
        <v>43</v>
      </c>
      <c r="G291" s="10" t="s">
        <v>151</v>
      </c>
      <c r="H291" s="10" t="s">
        <v>151</v>
      </c>
      <c r="I291" s="10" t="s">
        <v>75</v>
      </c>
      <c r="J291" s="10" t="s">
        <v>38</v>
      </c>
      <c r="K291" s="10" t="s">
        <v>39</v>
      </c>
      <c r="L291" s="12">
        <v>3230</v>
      </c>
      <c r="M291" s="10">
        <v>4</v>
      </c>
      <c r="N291" s="13">
        <v>0.15</v>
      </c>
      <c r="O291" s="14">
        <v>330.53</v>
      </c>
      <c r="P291" s="10" t="s">
        <v>69</v>
      </c>
    </row>
    <row r="292" spans="1:16">
      <c r="A292" s="10" t="s">
        <v>720</v>
      </c>
      <c r="B292" s="11">
        <v>46084</v>
      </c>
      <c r="C292" s="11">
        <v>46237</v>
      </c>
      <c r="D292" s="10" t="s">
        <v>721</v>
      </c>
      <c r="E292" s="10" t="s">
        <v>722</v>
      </c>
      <c r="F292" s="10" t="s">
        <v>43</v>
      </c>
      <c r="G292" s="10" t="s">
        <v>179</v>
      </c>
      <c r="H292" s="10" t="s">
        <v>21</v>
      </c>
      <c r="I292" s="10" t="s">
        <v>22</v>
      </c>
      <c r="J292" s="10" t="s">
        <v>23</v>
      </c>
      <c r="K292" s="10" t="s">
        <v>120</v>
      </c>
      <c r="L292" s="12">
        <v>33600</v>
      </c>
      <c r="M292" s="10">
        <v>8</v>
      </c>
      <c r="N292" s="13">
        <v>0</v>
      </c>
      <c r="O292" s="14">
        <v>9545.1200000000008</v>
      </c>
      <c r="P292" s="10" t="s">
        <v>63</v>
      </c>
    </row>
    <row r="293" spans="1:16">
      <c r="A293" s="10" t="s">
        <v>723</v>
      </c>
      <c r="B293" s="11">
        <v>45540</v>
      </c>
      <c r="C293" s="11">
        <v>46238</v>
      </c>
      <c r="D293" s="10" t="s">
        <v>349</v>
      </c>
      <c r="E293" s="10" t="s">
        <v>617</v>
      </c>
      <c r="F293" s="10" t="s">
        <v>19</v>
      </c>
      <c r="G293" s="10" t="s">
        <v>67</v>
      </c>
      <c r="H293" s="10" t="s">
        <v>68</v>
      </c>
      <c r="I293" s="10" t="s">
        <v>22</v>
      </c>
      <c r="J293" s="10" t="s">
        <v>76</v>
      </c>
      <c r="K293" s="10" t="s">
        <v>131</v>
      </c>
      <c r="L293" s="12">
        <v>1400</v>
      </c>
      <c r="M293" s="10">
        <v>4</v>
      </c>
      <c r="N293" s="13">
        <v>0</v>
      </c>
      <c r="O293" s="14">
        <v>529.67999999999995</v>
      </c>
      <c r="P293" s="10" t="s">
        <v>69</v>
      </c>
    </row>
    <row r="294" spans="1:16">
      <c r="A294" s="10" t="s">
        <v>724</v>
      </c>
      <c r="B294" s="11">
        <v>45943</v>
      </c>
      <c r="C294" s="11">
        <v>46239</v>
      </c>
      <c r="D294" s="10" t="s">
        <v>217</v>
      </c>
      <c r="E294" s="10" t="s">
        <v>725</v>
      </c>
      <c r="F294" s="10" t="s">
        <v>29</v>
      </c>
      <c r="G294" s="10" t="s">
        <v>60</v>
      </c>
      <c r="H294" s="10" t="s">
        <v>61</v>
      </c>
      <c r="I294" s="10" t="s">
        <v>37</v>
      </c>
      <c r="J294" s="10" t="s">
        <v>38</v>
      </c>
      <c r="K294" s="10" t="s">
        <v>169</v>
      </c>
      <c r="L294" s="12">
        <v>1160</v>
      </c>
      <c r="M294" s="10">
        <v>1</v>
      </c>
      <c r="N294" s="13">
        <v>0.2</v>
      </c>
      <c r="O294" s="14">
        <v>292.52</v>
      </c>
      <c r="P294" s="10" t="s">
        <v>63</v>
      </c>
    </row>
    <row r="295" spans="1:16">
      <c r="A295" s="10" t="s">
        <v>726</v>
      </c>
      <c r="B295" s="11">
        <v>45535</v>
      </c>
      <c r="C295" s="11">
        <v>46240</v>
      </c>
      <c r="D295" s="10" t="s">
        <v>436</v>
      </c>
      <c r="E295" s="10" t="s">
        <v>727</v>
      </c>
      <c r="F295" s="10" t="s">
        <v>19</v>
      </c>
      <c r="G295" s="10" t="s">
        <v>73</v>
      </c>
      <c r="H295" s="10" t="s">
        <v>74</v>
      </c>
      <c r="I295" s="10" t="s">
        <v>75</v>
      </c>
      <c r="J295" s="10" t="s">
        <v>38</v>
      </c>
      <c r="K295" s="10" t="s">
        <v>39</v>
      </c>
      <c r="L295" s="12">
        <v>4750</v>
      </c>
      <c r="M295" s="10">
        <v>5</v>
      </c>
      <c r="N295" s="13">
        <v>0</v>
      </c>
      <c r="O295" s="14">
        <v>1750.78</v>
      </c>
      <c r="P295" s="10" t="s">
        <v>69</v>
      </c>
    </row>
    <row r="296" spans="1:16">
      <c r="A296" s="10" t="s">
        <v>728</v>
      </c>
      <c r="B296" s="11">
        <v>45761</v>
      </c>
      <c r="C296" s="11">
        <v>46241</v>
      </c>
      <c r="D296" s="10" t="s">
        <v>729</v>
      </c>
      <c r="E296" s="10" t="s">
        <v>194</v>
      </c>
      <c r="F296" s="10" t="s">
        <v>29</v>
      </c>
      <c r="G296" s="10" t="s">
        <v>20</v>
      </c>
      <c r="H296" s="10" t="s">
        <v>21</v>
      </c>
      <c r="I296" s="10" t="s">
        <v>22</v>
      </c>
      <c r="J296" s="10" t="s">
        <v>38</v>
      </c>
      <c r="K296" s="10" t="s">
        <v>62</v>
      </c>
      <c r="L296" s="12">
        <v>20400</v>
      </c>
      <c r="M296" s="10">
        <v>3</v>
      </c>
      <c r="N296" s="13">
        <v>0.2</v>
      </c>
      <c r="O296" s="14">
        <v>2790.92</v>
      </c>
      <c r="P296" s="10" t="s">
        <v>25</v>
      </c>
    </row>
    <row r="297" spans="1:16">
      <c r="A297" s="10" t="s">
        <v>730</v>
      </c>
      <c r="B297" s="11">
        <v>45970</v>
      </c>
      <c r="C297" s="11">
        <v>46242</v>
      </c>
      <c r="D297" s="10" t="s">
        <v>217</v>
      </c>
      <c r="E297" s="10" t="s">
        <v>258</v>
      </c>
      <c r="F297" s="10" t="s">
        <v>43</v>
      </c>
      <c r="G297" s="10" t="s">
        <v>111</v>
      </c>
      <c r="H297" s="10" t="s">
        <v>21</v>
      </c>
      <c r="I297" s="10" t="s">
        <v>22</v>
      </c>
      <c r="J297" s="10" t="s">
        <v>23</v>
      </c>
      <c r="K297" s="10" t="s">
        <v>89</v>
      </c>
      <c r="L297" s="12">
        <v>15120</v>
      </c>
      <c r="M297" s="10">
        <v>6</v>
      </c>
      <c r="N297" s="13">
        <v>0.1</v>
      </c>
      <c r="O297" s="14">
        <v>2764.11</v>
      </c>
      <c r="P297" s="10" t="s">
        <v>69</v>
      </c>
    </row>
    <row r="298" spans="1:16">
      <c r="A298" s="10" t="s">
        <v>731</v>
      </c>
      <c r="B298" s="11">
        <v>45531</v>
      </c>
      <c r="C298" s="11">
        <v>46243</v>
      </c>
      <c r="D298" s="10" t="s">
        <v>248</v>
      </c>
      <c r="E298" s="10" t="s">
        <v>732</v>
      </c>
      <c r="F298" s="10" t="s">
        <v>43</v>
      </c>
      <c r="G298" s="10" t="s">
        <v>111</v>
      </c>
      <c r="H298" s="10" t="s">
        <v>21</v>
      </c>
      <c r="I298" s="10" t="s">
        <v>22</v>
      </c>
      <c r="J298" s="10" t="s">
        <v>30</v>
      </c>
      <c r="K298" s="10" t="s">
        <v>93</v>
      </c>
      <c r="L298" s="12">
        <v>180</v>
      </c>
      <c r="M298" s="10">
        <v>2</v>
      </c>
      <c r="N298" s="13">
        <v>0</v>
      </c>
      <c r="O298" s="14">
        <v>63.46</v>
      </c>
      <c r="P298" s="10" t="s">
        <v>48</v>
      </c>
    </row>
    <row r="299" spans="1:16">
      <c r="A299" s="10" t="s">
        <v>733</v>
      </c>
      <c r="B299" s="11">
        <v>45840</v>
      </c>
      <c r="C299" s="11">
        <v>46244</v>
      </c>
      <c r="D299" s="10" t="s">
        <v>300</v>
      </c>
      <c r="E299" s="10" t="s">
        <v>734</v>
      </c>
      <c r="F299" s="10" t="s">
        <v>19</v>
      </c>
      <c r="G299" s="10" t="s">
        <v>35</v>
      </c>
      <c r="H299" s="10" t="s">
        <v>36</v>
      </c>
      <c r="I299" s="10" t="s">
        <v>37</v>
      </c>
      <c r="J299" s="10" t="s">
        <v>30</v>
      </c>
      <c r="K299" s="10" t="s">
        <v>127</v>
      </c>
      <c r="L299" s="12">
        <v>675</v>
      </c>
      <c r="M299" s="10">
        <v>5</v>
      </c>
      <c r="N299" s="13">
        <v>0.1</v>
      </c>
      <c r="O299" s="14">
        <v>199.87</v>
      </c>
      <c r="P299" s="10" t="s">
        <v>69</v>
      </c>
    </row>
    <row r="300" spans="1:16">
      <c r="A300" s="10" t="s">
        <v>735</v>
      </c>
      <c r="B300" s="11">
        <v>46138</v>
      </c>
      <c r="C300" s="11">
        <v>46245</v>
      </c>
      <c r="D300" s="10" t="s">
        <v>736</v>
      </c>
      <c r="E300" s="10" t="s">
        <v>469</v>
      </c>
      <c r="F300" s="10" t="s">
        <v>19</v>
      </c>
      <c r="G300" s="10" t="s">
        <v>60</v>
      </c>
      <c r="H300" s="10" t="s">
        <v>61</v>
      </c>
      <c r="I300" s="10" t="s">
        <v>37</v>
      </c>
      <c r="J300" s="10" t="s">
        <v>38</v>
      </c>
      <c r="K300" s="10" t="s">
        <v>39</v>
      </c>
      <c r="L300" s="12">
        <v>5700</v>
      </c>
      <c r="M300" s="10">
        <v>6</v>
      </c>
      <c r="N300" s="13">
        <v>0</v>
      </c>
      <c r="O300" s="14">
        <v>2030.82</v>
      </c>
      <c r="P300" s="10" t="s">
        <v>48</v>
      </c>
    </row>
    <row r="301" spans="1:16">
      <c r="A301" s="10" t="s">
        <v>737</v>
      </c>
      <c r="B301" s="11">
        <v>45985</v>
      </c>
      <c r="C301" s="11">
        <v>46246</v>
      </c>
      <c r="D301" s="10" t="s">
        <v>257</v>
      </c>
      <c r="E301" s="10" t="s">
        <v>270</v>
      </c>
      <c r="F301" s="10" t="s">
        <v>43</v>
      </c>
      <c r="G301" s="10" t="s">
        <v>179</v>
      </c>
      <c r="H301" s="10" t="s">
        <v>21</v>
      </c>
      <c r="I301" s="10" t="s">
        <v>22</v>
      </c>
      <c r="J301" s="10" t="s">
        <v>30</v>
      </c>
      <c r="K301" s="10" t="s">
        <v>261</v>
      </c>
      <c r="L301" s="12">
        <v>1134</v>
      </c>
      <c r="M301" s="10">
        <v>7</v>
      </c>
      <c r="N301" s="13">
        <v>0.1</v>
      </c>
      <c r="O301" s="14">
        <v>249.99</v>
      </c>
      <c r="P301" s="10" t="s">
        <v>48</v>
      </c>
    </row>
    <row r="302" spans="1:16">
      <c r="A302" s="10" t="s">
        <v>738</v>
      </c>
      <c r="B302" s="11">
        <v>46115</v>
      </c>
      <c r="C302" s="11">
        <v>46247</v>
      </c>
      <c r="D302" s="10" t="s">
        <v>175</v>
      </c>
      <c r="E302" s="10" t="s">
        <v>515</v>
      </c>
      <c r="F302" s="10" t="s">
        <v>19</v>
      </c>
      <c r="G302" s="10" t="s">
        <v>97</v>
      </c>
      <c r="H302" s="10" t="s">
        <v>21</v>
      </c>
      <c r="I302" s="10" t="s">
        <v>22</v>
      </c>
      <c r="J302" s="10" t="s">
        <v>38</v>
      </c>
      <c r="K302" s="10" t="s">
        <v>104</v>
      </c>
      <c r="L302" s="12">
        <v>650</v>
      </c>
      <c r="M302" s="10">
        <v>1</v>
      </c>
      <c r="N302" s="13">
        <v>0</v>
      </c>
      <c r="O302" s="14">
        <v>224.91</v>
      </c>
      <c r="P302" s="10" t="s">
        <v>48</v>
      </c>
    </row>
    <row r="303" spans="1:16">
      <c r="A303" s="10" t="s">
        <v>739</v>
      </c>
      <c r="B303" s="11">
        <v>45888</v>
      </c>
      <c r="C303" s="11">
        <v>46248</v>
      </c>
      <c r="D303" s="10" t="s">
        <v>625</v>
      </c>
      <c r="E303" s="10" t="s">
        <v>317</v>
      </c>
      <c r="F303" s="10" t="s">
        <v>43</v>
      </c>
      <c r="G303" s="10" t="s">
        <v>179</v>
      </c>
      <c r="H303" s="10" t="s">
        <v>21</v>
      </c>
      <c r="I303" s="10" t="s">
        <v>22</v>
      </c>
      <c r="J303" s="10" t="s">
        <v>38</v>
      </c>
      <c r="K303" s="10" t="s">
        <v>104</v>
      </c>
      <c r="L303" s="12">
        <v>1300</v>
      </c>
      <c r="M303" s="10">
        <v>2</v>
      </c>
      <c r="N303" s="13">
        <v>0</v>
      </c>
      <c r="O303" s="14">
        <v>188.96</v>
      </c>
      <c r="P303" s="10" t="s">
        <v>48</v>
      </c>
    </row>
    <row r="304" spans="1:16">
      <c r="A304" s="10" t="s">
        <v>740</v>
      </c>
      <c r="B304" s="11">
        <v>45335</v>
      </c>
      <c r="C304" s="11">
        <v>46249</v>
      </c>
      <c r="D304" s="10" t="s">
        <v>298</v>
      </c>
      <c r="E304" s="10" t="s">
        <v>191</v>
      </c>
      <c r="F304" s="10" t="s">
        <v>43</v>
      </c>
      <c r="G304" s="10" t="s">
        <v>135</v>
      </c>
      <c r="H304" s="10" t="s">
        <v>21</v>
      </c>
      <c r="I304" s="10" t="s">
        <v>22</v>
      </c>
      <c r="J304" s="10" t="s">
        <v>30</v>
      </c>
      <c r="K304" s="10" t="s">
        <v>93</v>
      </c>
      <c r="L304" s="12">
        <v>504</v>
      </c>
      <c r="M304" s="10">
        <v>7</v>
      </c>
      <c r="N304" s="13">
        <v>0.2</v>
      </c>
      <c r="O304" s="14">
        <v>124.64</v>
      </c>
      <c r="P304" s="10" t="s">
        <v>56</v>
      </c>
    </row>
    <row r="305" spans="1:16">
      <c r="A305" s="10" t="s">
        <v>741</v>
      </c>
      <c r="B305" s="11">
        <v>45654</v>
      </c>
      <c r="C305" s="11">
        <v>46250</v>
      </c>
      <c r="D305" s="10" t="s">
        <v>110</v>
      </c>
      <c r="E305" s="10" t="s">
        <v>742</v>
      </c>
      <c r="F305" s="10" t="s">
        <v>19</v>
      </c>
      <c r="G305" s="10" t="s">
        <v>101</v>
      </c>
      <c r="H305" s="10" t="s">
        <v>102</v>
      </c>
      <c r="I305" s="10" t="s">
        <v>103</v>
      </c>
      <c r="J305" s="10" t="s">
        <v>30</v>
      </c>
      <c r="K305" s="10" t="s">
        <v>173</v>
      </c>
      <c r="L305" s="12">
        <v>1440</v>
      </c>
      <c r="M305" s="10">
        <v>5</v>
      </c>
      <c r="N305" s="13">
        <v>0.1</v>
      </c>
      <c r="O305" s="14">
        <v>194.85</v>
      </c>
      <c r="P305" s="10" t="s">
        <v>56</v>
      </c>
    </row>
    <row r="306" spans="1:16">
      <c r="A306" s="10" t="s">
        <v>743</v>
      </c>
      <c r="B306" s="11">
        <v>45954</v>
      </c>
      <c r="C306" s="11">
        <v>46251</v>
      </c>
      <c r="D306" s="10" t="s">
        <v>744</v>
      </c>
      <c r="E306" s="10" t="s">
        <v>119</v>
      </c>
      <c r="F306" s="10" t="s">
        <v>29</v>
      </c>
      <c r="G306" s="10" t="s">
        <v>73</v>
      </c>
      <c r="H306" s="10" t="s">
        <v>74</v>
      </c>
      <c r="I306" s="10" t="s">
        <v>75</v>
      </c>
      <c r="J306" s="10" t="s">
        <v>76</v>
      </c>
      <c r="K306" s="10" t="s">
        <v>85</v>
      </c>
      <c r="L306" s="12">
        <v>1760</v>
      </c>
      <c r="M306" s="10">
        <v>8</v>
      </c>
      <c r="N306" s="13">
        <v>0</v>
      </c>
      <c r="O306" s="14">
        <v>628.66</v>
      </c>
      <c r="P306" s="10" t="s">
        <v>63</v>
      </c>
    </row>
    <row r="307" spans="1:16">
      <c r="A307" s="10" t="s">
        <v>745</v>
      </c>
      <c r="B307" s="11">
        <v>45547</v>
      </c>
      <c r="C307" s="11">
        <v>46252</v>
      </c>
      <c r="D307" s="10" t="s">
        <v>388</v>
      </c>
      <c r="E307" s="10" t="s">
        <v>96</v>
      </c>
      <c r="F307" s="10" t="s">
        <v>19</v>
      </c>
      <c r="G307" s="10" t="s">
        <v>35</v>
      </c>
      <c r="H307" s="10" t="s">
        <v>36</v>
      </c>
      <c r="I307" s="10" t="s">
        <v>37</v>
      </c>
      <c r="J307" s="10" t="s">
        <v>38</v>
      </c>
      <c r="K307" s="10" t="s">
        <v>55</v>
      </c>
      <c r="L307" s="12">
        <v>2970</v>
      </c>
      <c r="M307" s="10">
        <v>6</v>
      </c>
      <c r="N307" s="13">
        <v>0.1</v>
      </c>
      <c r="O307" s="14">
        <v>663.57</v>
      </c>
      <c r="P307" s="10" t="s">
        <v>63</v>
      </c>
    </row>
    <row r="308" spans="1:16">
      <c r="A308" s="10" t="s">
        <v>746</v>
      </c>
      <c r="B308" s="11">
        <v>45621</v>
      </c>
      <c r="C308" s="11">
        <v>46253</v>
      </c>
      <c r="D308" s="10" t="s">
        <v>747</v>
      </c>
      <c r="E308" s="10" t="s">
        <v>285</v>
      </c>
      <c r="F308" s="10" t="s">
        <v>43</v>
      </c>
      <c r="G308" s="10" t="s">
        <v>179</v>
      </c>
      <c r="H308" s="10" t="s">
        <v>21</v>
      </c>
      <c r="I308" s="10" t="s">
        <v>22</v>
      </c>
      <c r="J308" s="10" t="s">
        <v>30</v>
      </c>
      <c r="K308" s="10" t="s">
        <v>261</v>
      </c>
      <c r="L308" s="12">
        <v>918</v>
      </c>
      <c r="M308" s="10">
        <v>6</v>
      </c>
      <c r="N308" s="13">
        <v>0.15</v>
      </c>
      <c r="O308" s="14">
        <v>275.91000000000003</v>
      </c>
      <c r="P308" s="10" t="s">
        <v>63</v>
      </c>
    </row>
    <row r="309" spans="1:16">
      <c r="A309" s="10" t="s">
        <v>748</v>
      </c>
      <c r="B309" s="11">
        <v>45658</v>
      </c>
      <c r="C309" s="11">
        <v>46254</v>
      </c>
      <c r="D309" s="10" t="s">
        <v>749</v>
      </c>
      <c r="E309" s="10" t="s">
        <v>673</v>
      </c>
      <c r="F309" s="10" t="s">
        <v>19</v>
      </c>
      <c r="G309" s="10" t="s">
        <v>224</v>
      </c>
      <c r="H309" s="10" t="s">
        <v>225</v>
      </c>
      <c r="I309" s="10" t="s">
        <v>75</v>
      </c>
      <c r="J309" s="10" t="s">
        <v>30</v>
      </c>
      <c r="K309" s="10" t="s">
        <v>31</v>
      </c>
      <c r="L309" s="12">
        <v>240</v>
      </c>
      <c r="M309" s="10">
        <v>2</v>
      </c>
      <c r="N309" s="13">
        <v>0</v>
      </c>
      <c r="O309" s="14">
        <v>50.21</v>
      </c>
      <c r="P309" s="10" t="s">
        <v>48</v>
      </c>
    </row>
    <row r="310" spans="1:16">
      <c r="A310" s="10" t="s">
        <v>750</v>
      </c>
      <c r="B310" s="11">
        <v>46074</v>
      </c>
      <c r="C310" s="11">
        <v>46255</v>
      </c>
      <c r="D310" s="10" t="s">
        <v>505</v>
      </c>
      <c r="E310" s="10" t="s">
        <v>96</v>
      </c>
      <c r="F310" s="10" t="s">
        <v>19</v>
      </c>
      <c r="G310" s="10" t="s">
        <v>224</v>
      </c>
      <c r="H310" s="10" t="s">
        <v>225</v>
      </c>
      <c r="I310" s="10" t="s">
        <v>75</v>
      </c>
      <c r="J310" s="10" t="s">
        <v>76</v>
      </c>
      <c r="K310" s="10" t="s">
        <v>229</v>
      </c>
      <c r="L310" s="12">
        <v>5700</v>
      </c>
      <c r="M310" s="10">
        <v>3</v>
      </c>
      <c r="N310" s="13">
        <v>0</v>
      </c>
      <c r="O310" s="14">
        <v>1815.43</v>
      </c>
      <c r="P310" s="10" t="s">
        <v>48</v>
      </c>
    </row>
    <row r="311" spans="1:16">
      <c r="A311" s="10" t="s">
        <v>751</v>
      </c>
      <c r="B311" s="11">
        <v>46012</v>
      </c>
      <c r="C311" s="11">
        <v>46256</v>
      </c>
      <c r="D311" s="10" t="s">
        <v>699</v>
      </c>
      <c r="E311" s="10" t="s">
        <v>752</v>
      </c>
      <c r="F311" s="10" t="s">
        <v>29</v>
      </c>
      <c r="G311" s="10" t="s">
        <v>67</v>
      </c>
      <c r="H311" s="10" t="s">
        <v>68</v>
      </c>
      <c r="I311" s="10" t="s">
        <v>22</v>
      </c>
      <c r="J311" s="10" t="s">
        <v>30</v>
      </c>
      <c r="K311" s="10" t="s">
        <v>93</v>
      </c>
      <c r="L311" s="12">
        <v>324</v>
      </c>
      <c r="M311" s="10">
        <v>4</v>
      </c>
      <c r="N311" s="13">
        <v>0.1</v>
      </c>
      <c r="O311" s="14">
        <v>72.59</v>
      </c>
      <c r="P311" s="10" t="s">
        <v>48</v>
      </c>
    </row>
    <row r="312" spans="1:16">
      <c r="A312" s="10" t="s">
        <v>753</v>
      </c>
      <c r="B312" s="11">
        <v>45530</v>
      </c>
      <c r="C312" s="11">
        <v>46257</v>
      </c>
      <c r="D312" s="10" t="s">
        <v>522</v>
      </c>
      <c r="E312" s="10" t="s">
        <v>586</v>
      </c>
      <c r="F312" s="10" t="s">
        <v>29</v>
      </c>
      <c r="G312" s="10" t="s">
        <v>111</v>
      </c>
      <c r="H312" s="10" t="s">
        <v>21</v>
      </c>
      <c r="I312" s="10" t="s">
        <v>22</v>
      </c>
      <c r="J312" s="10" t="s">
        <v>38</v>
      </c>
      <c r="K312" s="10" t="s">
        <v>62</v>
      </c>
      <c r="L312" s="12">
        <v>68000</v>
      </c>
      <c r="M312" s="10">
        <v>8</v>
      </c>
      <c r="N312" s="13">
        <v>0</v>
      </c>
      <c r="O312" s="14">
        <v>19974.939999999999</v>
      </c>
      <c r="P312" s="10" t="s">
        <v>69</v>
      </c>
    </row>
    <row r="313" spans="1:16">
      <c r="A313" s="10" t="s">
        <v>754</v>
      </c>
      <c r="B313" s="11">
        <v>46026</v>
      </c>
      <c r="C313" s="11">
        <v>46258</v>
      </c>
      <c r="D313" s="10" t="s">
        <v>447</v>
      </c>
      <c r="E313" s="10" t="s">
        <v>393</v>
      </c>
      <c r="F313" s="10" t="s">
        <v>29</v>
      </c>
      <c r="G313" s="10" t="s">
        <v>101</v>
      </c>
      <c r="H313" s="10" t="s">
        <v>102</v>
      </c>
      <c r="I313" s="10" t="s">
        <v>103</v>
      </c>
      <c r="J313" s="10" t="s">
        <v>23</v>
      </c>
      <c r="K313" s="10" t="s">
        <v>120</v>
      </c>
      <c r="L313" s="12">
        <v>4200</v>
      </c>
      <c r="M313" s="10">
        <v>1</v>
      </c>
      <c r="N313" s="13">
        <v>0</v>
      </c>
      <c r="O313" s="14">
        <v>955.42</v>
      </c>
      <c r="P313" s="10" t="s">
        <v>63</v>
      </c>
    </row>
    <row r="314" spans="1:16">
      <c r="A314" s="10" t="s">
        <v>755</v>
      </c>
      <c r="B314" s="11">
        <v>46173</v>
      </c>
      <c r="C314" s="11">
        <v>46259</v>
      </c>
      <c r="D314" s="10" t="s">
        <v>222</v>
      </c>
      <c r="E314" s="10" t="s">
        <v>756</v>
      </c>
      <c r="F314" s="10" t="s">
        <v>43</v>
      </c>
      <c r="G314" s="10" t="s">
        <v>20</v>
      </c>
      <c r="H314" s="10" t="s">
        <v>21</v>
      </c>
      <c r="I314" s="10" t="s">
        <v>22</v>
      </c>
      <c r="J314" s="10" t="s">
        <v>23</v>
      </c>
      <c r="K314" s="10" t="s">
        <v>293</v>
      </c>
      <c r="L314" s="12">
        <v>1425</v>
      </c>
      <c r="M314" s="10">
        <v>2</v>
      </c>
      <c r="N314" s="13">
        <v>0.05</v>
      </c>
      <c r="O314" s="14">
        <v>419.01</v>
      </c>
      <c r="P314" s="10" t="s">
        <v>25</v>
      </c>
    </row>
    <row r="315" spans="1:16">
      <c r="A315" s="10" t="s">
        <v>757</v>
      </c>
      <c r="B315" s="11">
        <v>45956</v>
      </c>
      <c r="C315" s="11">
        <v>46260</v>
      </c>
      <c r="D315" s="10" t="s">
        <v>282</v>
      </c>
      <c r="E315" s="10" t="s">
        <v>758</v>
      </c>
      <c r="F315" s="10" t="s">
        <v>29</v>
      </c>
      <c r="G315" s="10" t="s">
        <v>97</v>
      </c>
      <c r="H315" s="10" t="s">
        <v>21</v>
      </c>
      <c r="I315" s="10" t="s">
        <v>22</v>
      </c>
      <c r="J315" s="10" t="s">
        <v>23</v>
      </c>
      <c r="K315" s="10" t="s">
        <v>24</v>
      </c>
      <c r="L315" s="12">
        <v>17550</v>
      </c>
      <c r="M315" s="10">
        <v>3</v>
      </c>
      <c r="N315" s="13">
        <v>0.1</v>
      </c>
      <c r="O315" s="14">
        <v>5005.72</v>
      </c>
      <c r="P315" s="10" t="s">
        <v>48</v>
      </c>
    </row>
    <row r="316" spans="1:16">
      <c r="A316" s="10" t="s">
        <v>759</v>
      </c>
      <c r="B316" s="11">
        <v>46263</v>
      </c>
      <c r="C316" s="11">
        <v>46261</v>
      </c>
      <c r="D316" s="10" t="s">
        <v>529</v>
      </c>
      <c r="E316" s="10" t="s">
        <v>760</v>
      </c>
      <c r="F316" s="10" t="s">
        <v>19</v>
      </c>
      <c r="G316" s="10" t="s">
        <v>224</v>
      </c>
      <c r="H316" s="10" t="s">
        <v>225</v>
      </c>
      <c r="I316" s="10" t="s">
        <v>75</v>
      </c>
      <c r="J316" s="10" t="s">
        <v>76</v>
      </c>
      <c r="K316" s="10" t="s">
        <v>85</v>
      </c>
      <c r="L316" s="12">
        <v>220</v>
      </c>
      <c r="M316" s="10">
        <v>1</v>
      </c>
      <c r="N316" s="13">
        <v>0</v>
      </c>
      <c r="O316" s="14">
        <v>49.14</v>
      </c>
      <c r="P316" s="10" t="s">
        <v>63</v>
      </c>
    </row>
    <row r="317" spans="1:16">
      <c r="A317" s="10" t="s">
        <v>761</v>
      </c>
      <c r="B317" s="11">
        <v>45398</v>
      </c>
      <c r="C317" s="11">
        <v>46262</v>
      </c>
      <c r="D317" s="10" t="s">
        <v>645</v>
      </c>
      <c r="E317" s="10" t="s">
        <v>373</v>
      </c>
      <c r="F317" s="10" t="s">
        <v>19</v>
      </c>
      <c r="G317" s="10" t="s">
        <v>97</v>
      </c>
      <c r="H317" s="10" t="s">
        <v>21</v>
      </c>
      <c r="I317" s="10" t="s">
        <v>22</v>
      </c>
      <c r="J317" s="10" t="s">
        <v>23</v>
      </c>
      <c r="K317" s="10" t="s">
        <v>120</v>
      </c>
      <c r="L317" s="12">
        <v>15960</v>
      </c>
      <c r="M317" s="10">
        <v>4</v>
      </c>
      <c r="N317" s="13">
        <v>0.05</v>
      </c>
      <c r="O317" s="14">
        <v>1868.62</v>
      </c>
      <c r="P317" s="10" t="s">
        <v>69</v>
      </c>
    </row>
    <row r="318" spans="1:16">
      <c r="A318" s="10" t="s">
        <v>762</v>
      </c>
      <c r="B318" s="11">
        <v>45749</v>
      </c>
      <c r="C318" s="11">
        <v>46263</v>
      </c>
      <c r="D318" s="10" t="s">
        <v>347</v>
      </c>
      <c r="E318" s="10" t="s">
        <v>609</v>
      </c>
      <c r="F318" s="10" t="s">
        <v>43</v>
      </c>
      <c r="G318" s="10" t="s">
        <v>179</v>
      </c>
      <c r="H318" s="10" t="s">
        <v>21</v>
      </c>
      <c r="I318" s="10" t="s">
        <v>22</v>
      </c>
      <c r="J318" s="10" t="s">
        <v>30</v>
      </c>
      <c r="K318" s="10" t="s">
        <v>31</v>
      </c>
      <c r="L318" s="12">
        <v>228</v>
      </c>
      <c r="M318" s="10">
        <v>2</v>
      </c>
      <c r="N318" s="13">
        <v>0.05</v>
      </c>
      <c r="O318" s="14">
        <v>69.72</v>
      </c>
      <c r="P318" s="10" t="s">
        <v>25</v>
      </c>
    </row>
    <row r="319" spans="1:16">
      <c r="A319" s="10" t="s">
        <v>763</v>
      </c>
      <c r="B319" s="11">
        <v>46042</v>
      </c>
      <c r="C319" s="11">
        <v>46264</v>
      </c>
      <c r="D319" s="10" t="s">
        <v>143</v>
      </c>
      <c r="E319" s="10" t="s">
        <v>700</v>
      </c>
      <c r="F319" s="10" t="s">
        <v>19</v>
      </c>
      <c r="G319" s="10" t="s">
        <v>97</v>
      </c>
      <c r="H319" s="10" t="s">
        <v>21</v>
      </c>
      <c r="I319" s="10" t="s">
        <v>22</v>
      </c>
      <c r="J319" s="10" t="s">
        <v>76</v>
      </c>
      <c r="K319" s="10" t="s">
        <v>77</v>
      </c>
      <c r="L319" s="12">
        <v>10640</v>
      </c>
      <c r="M319" s="10">
        <v>7</v>
      </c>
      <c r="N319" s="13">
        <v>0.05</v>
      </c>
      <c r="O319" s="14">
        <v>2452.88</v>
      </c>
      <c r="P319" s="10" t="s">
        <v>56</v>
      </c>
    </row>
    <row r="320" spans="1:16">
      <c r="A320" s="10" t="s">
        <v>764</v>
      </c>
      <c r="B320" s="11">
        <v>45458</v>
      </c>
      <c r="C320" s="11">
        <v>46265</v>
      </c>
      <c r="D320" s="10" t="s">
        <v>377</v>
      </c>
      <c r="E320" s="10" t="s">
        <v>541</v>
      </c>
      <c r="F320" s="10" t="s">
        <v>29</v>
      </c>
      <c r="G320" s="10" t="s">
        <v>20</v>
      </c>
      <c r="H320" s="10" t="s">
        <v>21</v>
      </c>
      <c r="I320" s="10" t="s">
        <v>22</v>
      </c>
      <c r="J320" s="10" t="s">
        <v>38</v>
      </c>
      <c r="K320" s="10" t="s">
        <v>169</v>
      </c>
      <c r="L320" s="12">
        <v>1377.5</v>
      </c>
      <c r="M320" s="10">
        <v>1</v>
      </c>
      <c r="N320" s="13">
        <v>0.05</v>
      </c>
      <c r="O320" s="14">
        <v>419.6</v>
      </c>
      <c r="P320" s="10" t="s">
        <v>25</v>
      </c>
    </row>
    <row r="321" spans="1:16">
      <c r="A321" s="10" t="s">
        <v>765</v>
      </c>
      <c r="B321" s="11">
        <v>45456</v>
      </c>
      <c r="C321" s="11">
        <v>46266</v>
      </c>
      <c r="D321" s="10" t="s">
        <v>591</v>
      </c>
      <c r="E321" s="10" t="s">
        <v>407</v>
      </c>
      <c r="F321" s="10" t="s">
        <v>43</v>
      </c>
      <c r="G321" s="10" t="s">
        <v>20</v>
      </c>
      <c r="H321" s="10" t="s">
        <v>21</v>
      </c>
      <c r="I321" s="10" t="s">
        <v>22</v>
      </c>
      <c r="J321" s="10" t="s">
        <v>38</v>
      </c>
      <c r="K321" s="10" t="s">
        <v>169</v>
      </c>
      <c r="L321" s="12">
        <v>9280</v>
      </c>
      <c r="M321" s="10">
        <v>8</v>
      </c>
      <c r="N321" s="13">
        <v>0.2</v>
      </c>
      <c r="O321" s="14">
        <v>3173.22</v>
      </c>
      <c r="P321" s="10" t="s">
        <v>56</v>
      </c>
    </row>
    <row r="322" spans="1:16">
      <c r="A322" s="10" t="s">
        <v>766</v>
      </c>
      <c r="B322" s="11">
        <v>45346</v>
      </c>
      <c r="C322" s="11">
        <v>46267</v>
      </c>
      <c r="D322" s="10" t="s">
        <v>165</v>
      </c>
      <c r="E322" s="10" t="s">
        <v>495</v>
      </c>
      <c r="F322" s="10" t="s">
        <v>19</v>
      </c>
      <c r="G322" s="10" t="s">
        <v>67</v>
      </c>
      <c r="H322" s="10" t="s">
        <v>68</v>
      </c>
      <c r="I322" s="10" t="s">
        <v>22</v>
      </c>
      <c r="J322" s="10" t="s">
        <v>30</v>
      </c>
      <c r="K322" s="10" t="s">
        <v>31</v>
      </c>
      <c r="L322" s="12">
        <v>672</v>
      </c>
      <c r="M322" s="10">
        <v>7</v>
      </c>
      <c r="N322" s="13">
        <v>0.2</v>
      </c>
      <c r="O322" s="14">
        <v>138.38999999999999</v>
      </c>
      <c r="P322" s="10" t="s">
        <v>69</v>
      </c>
    </row>
    <row r="323" spans="1:16">
      <c r="A323" s="10" t="s">
        <v>767</v>
      </c>
      <c r="B323" s="11">
        <v>45596</v>
      </c>
      <c r="C323" s="11">
        <v>46268</v>
      </c>
      <c r="D323" s="10" t="s">
        <v>768</v>
      </c>
      <c r="E323" s="10" t="s">
        <v>443</v>
      </c>
      <c r="F323" s="10" t="s">
        <v>43</v>
      </c>
      <c r="G323" s="10" t="s">
        <v>20</v>
      </c>
      <c r="H323" s="10" t="s">
        <v>21</v>
      </c>
      <c r="I323" s="10" t="s">
        <v>22</v>
      </c>
      <c r="J323" s="10" t="s">
        <v>38</v>
      </c>
      <c r="K323" s="10" t="s">
        <v>55</v>
      </c>
      <c r="L323" s="12">
        <v>4400</v>
      </c>
      <c r="M323" s="10">
        <v>8</v>
      </c>
      <c r="N323" s="13">
        <v>0</v>
      </c>
      <c r="O323" s="14">
        <v>1609.65</v>
      </c>
      <c r="P323" s="10" t="s">
        <v>63</v>
      </c>
    </row>
    <row r="324" spans="1:16">
      <c r="A324" s="10" t="s">
        <v>769</v>
      </c>
      <c r="B324" s="11">
        <v>45783</v>
      </c>
      <c r="C324" s="11">
        <v>46269</v>
      </c>
      <c r="D324" s="10" t="s">
        <v>704</v>
      </c>
      <c r="E324" s="10" t="s">
        <v>530</v>
      </c>
      <c r="F324" s="10" t="s">
        <v>29</v>
      </c>
      <c r="G324" s="10" t="s">
        <v>20</v>
      </c>
      <c r="H324" s="10" t="s">
        <v>21</v>
      </c>
      <c r="I324" s="10" t="s">
        <v>22</v>
      </c>
      <c r="J324" s="10" t="s">
        <v>38</v>
      </c>
      <c r="K324" s="10" t="s">
        <v>39</v>
      </c>
      <c r="L324" s="12">
        <v>2280</v>
      </c>
      <c r="M324" s="10">
        <v>3</v>
      </c>
      <c r="N324" s="13">
        <v>0.2</v>
      </c>
      <c r="O324" s="14">
        <v>625.01</v>
      </c>
      <c r="P324" s="10" t="s">
        <v>69</v>
      </c>
    </row>
    <row r="325" spans="1:16">
      <c r="A325" s="10" t="s">
        <v>770</v>
      </c>
      <c r="B325" s="11">
        <v>46095</v>
      </c>
      <c r="C325" s="11">
        <v>46270</v>
      </c>
      <c r="D325" s="10" t="s">
        <v>665</v>
      </c>
      <c r="E325" s="10" t="s">
        <v>96</v>
      </c>
      <c r="F325" s="10" t="s">
        <v>43</v>
      </c>
      <c r="G325" s="10" t="s">
        <v>73</v>
      </c>
      <c r="H325" s="10" t="s">
        <v>74</v>
      </c>
      <c r="I325" s="10" t="s">
        <v>75</v>
      </c>
      <c r="J325" s="10" t="s">
        <v>76</v>
      </c>
      <c r="K325" s="10" t="s">
        <v>229</v>
      </c>
      <c r="L325" s="12">
        <v>3040</v>
      </c>
      <c r="M325" s="10">
        <v>2</v>
      </c>
      <c r="N325" s="13">
        <v>0.2</v>
      </c>
      <c r="O325" s="14">
        <v>633.91999999999996</v>
      </c>
      <c r="P325" s="10" t="s">
        <v>69</v>
      </c>
    </row>
    <row r="326" spans="1:16">
      <c r="A326" s="10" t="s">
        <v>771</v>
      </c>
      <c r="B326" s="11">
        <v>45483</v>
      </c>
      <c r="C326" s="11">
        <v>46271</v>
      </c>
      <c r="D326" s="10" t="s">
        <v>749</v>
      </c>
      <c r="E326" s="10" t="s">
        <v>772</v>
      </c>
      <c r="F326" s="10" t="s">
        <v>29</v>
      </c>
      <c r="G326" s="10" t="s">
        <v>135</v>
      </c>
      <c r="H326" s="10" t="s">
        <v>21</v>
      </c>
      <c r="I326" s="10" t="s">
        <v>22</v>
      </c>
      <c r="J326" s="10" t="s">
        <v>23</v>
      </c>
      <c r="K326" s="10" t="s">
        <v>293</v>
      </c>
      <c r="L326" s="12">
        <v>5700</v>
      </c>
      <c r="M326" s="10">
        <v>8</v>
      </c>
      <c r="N326" s="13">
        <v>0.05</v>
      </c>
      <c r="O326" s="14">
        <v>1787.96</v>
      </c>
      <c r="P326" s="10" t="s">
        <v>48</v>
      </c>
    </row>
    <row r="327" spans="1:16">
      <c r="A327" s="10" t="s">
        <v>773</v>
      </c>
      <c r="B327" s="11">
        <v>45379</v>
      </c>
      <c r="C327" s="11">
        <v>46272</v>
      </c>
      <c r="D327" s="10" t="s">
        <v>125</v>
      </c>
      <c r="E327" s="10" t="s">
        <v>727</v>
      </c>
      <c r="F327" s="10" t="s">
        <v>19</v>
      </c>
      <c r="G327" s="10" t="s">
        <v>67</v>
      </c>
      <c r="H327" s="10" t="s">
        <v>68</v>
      </c>
      <c r="I327" s="10" t="s">
        <v>22</v>
      </c>
      <c r="J327" s="10" t="s">
        <v>76</v>
      </c>
      <c r="K327" s="10" t="s">
        <v>85</v>
      </c>
      <c r="L327" s="12">
        <v>748</v>
      </c>
      <c r="M327" s="10">
        <v>4</v>
      </c>
      <c r="N327" s="13">
        <v>0.15</v>
      </c>
      <c r="O327" s="14">
        <v>255.55</v>
      </c>
      <c r="P327" s="10" t="s">
        <v>25</v>
      </c>
    </row>
    <row r="328" spans="1:16">
      <c r="A328" s="10" t="s">
        <v>774</v>
      </c>
      <c r="B328" s="11">
        <v>45878</v>
      </c>
      <c r="C328" s="11">
        <v>46273</v>
      </c>
      <c r="D328" s="10" t="s">
        <v>113</v>
      </c>
      <c r="E328" s="10" t="s">
        <v>458</v>
      </c>
      <c r="F328" s="10" t="s">
        <v>19</v>
      </c>
      <c r="G328" s="10" t="s">
        <v>73</v>
      </c>
      <c r="H328" s="10" t="s">
        <v>74</v>
      </c>
      <c r="I328" s="10" t="s">
        <v>75</v>
      </c>
      <c r="J328" s="10" t="s">
        <v>23</v>
      </c>
      <c r="K328" s="10" t="s">
        <v>120</v>
      </c>
      <c r="L328" s="12">
        <v>23520</v>
      </c>
      <c r="M328" s="10">
        <v>7</v>
      </c>
      <c r="N328" s="13">
        <v>0.2</v>
      </c>
      <c r="O328" s="14">
        <v>8019.63</v>
      </c>
      <c r="P328" s="10" t="s">
        <v>63</v>
      </c>
    </row>
    <row r="329" spans="1:16">
      <c r="A329" s="10" t="s">
        <v>775</v>
      </c>
      <c r="B329" s="11">
        <v>45442</v>
      </c>
      <c r="C329" s="11">
        <v>46274</v>
      </c>
      <c r="D329" s="10" t="s">
        <v>580</v>
      </c>
      <c r="E329" s="10" t="s">
        <v>776</v>
      </c>
      <c r="F329" s="10" t="s">
        <v>29</v>
      </c>
      <c r="G329" s="10" t="s">
        <v>35</v>
      </c>
      <c r="H329" s="10" t="s">
        <v>36</v>
      </c>
      <c r="I329" s="10" t="s">
        <v>37</v>
      </c>
      <c r="J329" s="10" t="s">
        <v>76</v>
      </c>
      <c r="K329" s="10" t="s">
        <v>131</v>
      </c>
      <c r="L329" s="12">
        <v>1050</v>
      </c>
      <c r="M329" s="10">
        <v>3</v>
      </c>
      <c r="N329" s="13">
        <v>0</v>
      </c>
      <c r="O329" s="14">
        <v>178.29</v>
      </c>
      <c r="P329" s="10" t="s">
        <v>25</v>
      </c>
    </row>
    <row r="330" spans="1:16">
      <c r="A330" s="10" t="s">
        <v>777</v>
      </c>
      <c r="B330" s="11">
        <v>45498</v>
      </c>
      <c r="C330" s="11">
        <v>46275</v>
      </c>
      <c r="D330" s="10" t="s">
        <v>447</v>
      </c>
      <c r="E330" s="10" t="s">
        <v>778</v>
      </c>
      <c r="F330" s="10" t="s">
        <v>43</v>
      </c>
      <c r="G330" s="10" t="s">
        <v>167</v>
      </c>
      <c r="H330" s="10" t="s">
        <v>168</v>
      </c>
      <c r="I330" s="10" t="s">
        <v>37</v>
      </c>
      <c r="J330" s="10" t="s">
        <v>30</v>
      </c>
      <c r="K330" s="10" t="s">
        <v>93</v>
      </c>
      <c r="L330" s="12">
        <v>427.5</v>
      </c>
      <c r="M330" s="10">
        <v>5</v>
      </c>
      <c r="N330" s="13">
        <v>0.05</v>
      </c>
      <c r="O330" s="14">
        <v>58.01</v>
      </c>
      <c r="P330" s="10" t="s">
        <v>63</v>
      </c>
    </row>
    <row r="331" spans="1:16">
      <c r="A331" s="10" t="s">
        <v>779</v>
      </c>
      <c r="B331" s="11">
        <v>45698</v>
      </c>
      <c r="C331" s="11">
        <v>46276</v>
      </c>
      <c r="D331" s="10" t="s">
        <v>295</v>
      </c>
      <c r="E331" s="10" t="s">
        <v>378</v>
      </c>
      <c r="F331" s="10" t="s">
        <v>43</v>
      </c>
      <c r="G331" s="10" t="s">
        <v>67</v>
      </c>
      <c r="H331" s="10" t="s">
        <v>68</v>
      </c>
      <c r="I331" s="10" t="s">
        <v>22</v>
      </c>
      <c r="J331" s="10" t="s">
        <v>23</v>
      </c>
      <c r="K331" s="10" t="s">
        <v>47</v>
      </c>
      <c r="L331" s="12">
        <v>24800</v>
      </c>
      <c r="M331" s="10">
        <v>8</v>
      </c>
      <c r="N331" s="13">
        <v>0</v>
      </c>
      <c r="O331" s="14">
        <v>4352.32</v>
      </c>
      <c r="P331" s="10" t="s">
        <v>48</v>
      </c>
    </row>
    <row r="332" spans="1:16">
      <c r="A332" s="10" t="s">
        <v>780</v>
      </c>
      <c r="B332" s="11">
        <v>45716</v>
      </c>
      <c r="C332" s="11">
        <v>46277</v>
      </c>
      <c r="D332" s="10" t="s">
        <v>781</v>
      </c>
      <c r="E332" s="10" t="s">
        <v>96</v>
      </c>
      <c r="F332" s="10" t="s">
        <v>43</v>
      </c>
      <c r="G332" s="10" t="s">
        <v>97</v>
      </c>
      <c r="H332" s="10" t="s">
        <v>21</v>
      </c>
      <c r="I332" s="10" t="s">
        <v>22</v>
      </c>
      <c r="J332" s="10" t="s">
        <v>38</v>
      </c>
      <c r="K332" s="10" t="s">
        <v>104</v>
      </c>
      <c r="L332" s="12">
        <v>1235</v>
      </c>
      <c r="M332" s="10">
        <v>2</v>
      </c>
      <c r="N332" s="13">
        <v>0.05</v>
      </c>
      <c r="O332" s="14">
        <v>181.49</v>
      </c>
      <c r="P332" s="10" t="s">
        <v>69</v>
      </c>
    </row>
    <row r="333" spans="1:16">
      <c r="A333" s="10" t="s">
        <v>782</v>
      </c>
      <c r="B333" s="11">
        <v>45684</v>
      </c>
      <c r="C333" s="11">
        <v>46278</v>
      </c>
      <c r="D333" s="10" t="s">
        <v>667</v>
      </c>
      <c r="E333" s="10" t="s">
        <v>328</v>
      </c>
      <c r="F333" s="10" t="s">
        <v>19</v>
      </c>
      <c r="G333" s="10" t="s">
        <v>73</v>
      </c>
      <c r="H333" s="10" t="s">
        <v>74</v>
      </c>
      <c r="I333" s="10" t="s">
        <v>75</v>
      </c>
      <c r="J333" s="10" t="s">
        <v>76</v>
      </c>
      <c r="K333" s="10" t="s">
        <v>206</v>
      </c>
      <c r="L333" s="12">
        <v>3135</v>
      </c>
      <c r="M333" s="10">
        <v>3</v>
      </c>
      <c r="N333" s="13">
        <v>0.05</v>
      </c>
      <c r="O333" s="14">
        <v>839.32</v>
      </c>
      <c r="P333" s="10" t="s">
        <v>25</v>
      </c>
    </row>
    <row r="334" spans="1:16">
      <c r="A334" s="10" t="s">
        <v>783</v>
      </c>
      <c r="B334" s="11">
        <v>45331</v>
      </c>
      <c r="C334" s="11">
        <v>46279</v>
      </c>
      <c r="D334" s="10" t="s">
        <v>749</v>
      </c>
      <c r="E334" s="10" t="s">
        <v>784</v>
      </c>
      <c r="F334" s="10" t="s">
        <v>43</v>
      </c>
      <c r="G334" s="10" t="s">
        <v>101</v>
      </c>
      <c r="H334" s="10" t="s">
        <v>102</v>
      </c>
      <c r="I334" s="10" t="s">
        <v>103</v>
      </c>
      <c r="J334" s="10" t="s">
        <v>23</v>
      </c>
      <c r="K334" s="10" t="s">
        <v>24</v>
      </c>
      <c r="L334" s="12">
        <v>5200</v>
      </c>
      <c r="M334" s="10">
        <v>1</v>
      </c>
      <c r="N334" s="13">
        <v>0.2</v>
      </c>
      <c r="O334" s="14">
        <v>1177.51</v>
      </c>
      <c r="P334" s="10" t="s">
        <v>69</v>
      </c>
    </row>
    <row r="335" spans="1:16">
      <c r="A335" s="10" t="s">
        <v>785</v>
      </c>
      <c r="B335" s="11">
        <v>45610</v>
      </c>
      <c r="C335" s="11">
        <v>46280</v>
      </c>
      <c r="D335" s="10" t="s">
        <v>71</v>
      </c>
      <c r="E335" s="10" t="s">
        <v>786</v>
      </c>
      <c r="F335" s="10" t="s">
        <v>43</v>
      </c>
      <c r="G335" s="10" t="s">
        <v>44</v>
      </c>
      <c r="H335" s="10" t="s">
        <v>45</v>
      </c>
      <c r="I335" s="10" t="s">
        <v>46</v>
      </c>
      <c r="J335" s="10" t="s">
        <v>76</v>
      </c>
      <c r="K335" s="10" t="s">
        <v>206</v>
      </c>
      <c r="L335" s="12">
        <v>4400</v>
      </c>
      <c r="M335" s="10">
        <v>4</v>
      </c>
      <c r="N335" s="13">
        <v>0</v>
      </c>
      <c r="O335" s="14">
        <v>1328.25</v>
      </c>
      <c r="P335" s="10" t="s">
        <v>69</v>
      </c>
    </row>
    <row r="336" spans="1:16">
      <c r="A336" s="10" t="s">
        <v>787</v>
      </c>
      <c r="B336" s="11">
        <v>46038</v>
      </c>
      <c r="C336" s="11">
        <v>46281</v>
      </c>
      <c r="D336" s="10" t="s">
        <v>349</v>
      </c>
      <c r="E336" s="10" t="s">
        <v>700</v>
      </c>
      <c r="F336" s="10" t="s">
        <v>19</v>
      </c>
      <c r="G336" s="10" t="s">
        <v>224</v>
      </c>
      <c r="H336" s="10" t="s">
        <v>225</v>
      </c>
      <c r="I336" s="10" t="s">
        <v>75</v>
      </c>
      <c r="J336" s="10" t="s">
        <v>38</v>
      </c>
      <c r="K336" s="10" t="s">
        <v>39</v>
      </c>
      <c r="L336" s="12">
        <v>7600</v>
      </c>
      <c r="M336" s="10">
        <v>8</v>
      </c>
      <c r="N336" s="13">
        <v>0</v>
      </c>
      <c r="O336" s="14">
        <v>1083.06</v>
      </c>
      <c r="P336" s="10" t="s">
        <v>69</v>
      </c>
    </row>
    <row r="337" spans="1:16">
      <c r="A337" s="10" t="s">
        <v>788</v>
      </c>
      <c r="B337" s="11">
        <v>46132</v>
      </c>
      <c r="C337" s="11">
        <v>46282</v>
      </c>
      <c r="D337" s="10" t="s">
        <v>222</v>
      </c>
      <c r="E337" s="10" t="s">
        <v>705</v>
      </c>
      <c r="F337" s="10" t="s">
        <v>19</v>
      </c>
      <c r="G337" s="10" t="s">
        <v>151</v>
      </c>
      <c r="H337" s="10" t="s">
        <v>151</v>
      </c>
      <c r="I337" s="10" t="s">
        <v>75</v>
      </c>
      <c r="J337" s="10" t="s">
        <v>30</v>
      </c>
      <c r="K337" s="10" t="s">
        <v>261</v>
      </c>
      <c r="L337" s="12">
        <v>720</v>
      </c>
      <c r="M337" s="10">
        <v>5</v>
      </c>
      <c r="N337" s="13">
        <v>0.2</v>
      </c>
      <c r="O337" s="14">
        <v>157.13</v>
      </c>
      <c r="P337" s="10" t="s">
        <v>48</v>
      </c>
    </row>
    <row r="338" spans="1:16">
      <c r="A338" s="10" t="s">
        <v>789</v>
      </c>
      <c r="B338" s="11">
        <v>45469</v>
      </c>
      <c r="C338" s="11">
        <v>46283</v>
      </c>
      <c r="D338" s="10" t="s">
        <v>529</v>
      </c>
      <c r="E338" s="10" t="s">
        <v>790</v>
      </c>
      <c r="F338" s="10" t="s">
        <v>29</v>
      </c>
      <c r="G338" s="10" t="s">
        <v>101</v>
      </c>
      <c r="H338" s="10" t="s">
        <v>102</v>
      </c>
      <c r="I338" s="10" t="s">
        <v>103</v>
      </c>
      <c r="J338" s="10" t="s">
        <v>30</v>
      </c>
      <c r="K338" s="10" t="s">
        <v>261</v>
      </c>
      <c r="L338" s="12">
        <v>720</v>
      </c>
      <c r="M338" s="10">
        <v>4</v>
      </c>
      <c r="N338" s="13">
        <v>0</v>
      </c>
      <c r="O338" s="14">
        <v>188.15</v>
      </c>
      <c r="P338" s="10" t="s">
        <v>69</v>
      </c>
    </row>
    <row r="339" spans="1:16">
      <c r="A339" s="10" t="s">
        <v>791</v>
      </c>
      <c r="B339" s="11">
        <v>45669</v>
      </c>
      <c r="C339" s="11">
        <v>46284</v>
      </c>
      <c r="D339" s="10" t="s">
        <v>697</v>
      </c>
      <c r="E339" s="10" t="s">
        <v>223</v>
      </c>
      <c r="F339" s="10" t="s">
        <v>43</v>
      </c>
      <c r="G339" s="10" t="s">
        <v>73</v>
      </c>
      <c r="H339" s="10" t="s">
        <v>74</v>
      </c>
      <c r="I339" s="10" t="s">
        <v>75</v>
      </c>
      <c r="J339" s="10" t="s">
        <v>76</v>
      </c>
      <c r="K339" s="10" t="s">
        <v>206</v>
      </c>
      <c r="L339" s="12">
        <v>1100</v>
      </c>
      <c r="M339" s="10">
        <v>1</v>
      </c>
      <c r="N339" s="13">
        <v>0</v>
      </c>
      <c r="O339" s="14">
        <v>311.47000000000003</v>
      </c>
      <c r="P339" s="10" t="s">
        <v>63</v>
      </c>
    </row>
    <row r="340" spans="1:16">
      <c r="A340" s="10" t="s">
        <v>792</v>
      </c>
      <c r="B340" s="11">
        <v>45856</v>
      </c>
      <c r="C340" s="11">
        <v>46285</v>
      </c>
      <c r="D340" s="10" t="s">
        <v>511</v>
      </c>
      <c r="E340" s="10" t="s">
        <v>793</v>
      </c>
      <c r="F340" s="10" t="s">
        <v>19</v>
      </c>
      <c r="G340" s="10" t="s">
        <v>67</v>
      </c>
      <c r="H340" s="10" t="s">
        <v>68</v>
      </c>
      <c r="I340" s="10" t="s">
        <v>22</v>
      </c>
      <c r="J340" s="10" t="s">
        <v>30</v>
      </c>
      <c r="K340" s="10" t="s">
        <v>173</v>
      </c>
      <c r="L340" s="12">
        <v>608</v>
      </c>
      <c r="M340" s="10">
        <v>2</v>
      </c>
      <c r="N340" s="13">
        <v>0.05</v>
      </c>
      <c r="O340" s="14">
        <v>222.14</v>
      </c>
      <c r="P340" s="10" t="s">
        <v>56</v>
      </c>
    </row>
    <row r="341" spans="1:16">
      <c r="A341" s="10" t="s">
        <v>794</v>
      </c>
      <c r="B341" s="11">
        <v>46169</v>
      </c>
      <c r="C341" s="11">
        <v>46286</v>
      </c>
      <c r="D341" s="10" t="s">
        <v>795</v>
      </c>
      <c r="E341" s="10" t="s">
        <v>796</v>
      </c>
      <c r="F341" s="10" t="s">
        <v>29</v>
      </c>
      <c r="G341" s="10" t="s">
        <v>167</v>
      </c>
      <c r="H341" s="10" t="s">
        <v>168</v>
      </c>
      <c r="I341" s="10" t="s">
        <v>37</v>
      </c>
      <c r="J341" s="10" t="s">
        <v>30</v>
      </c>
      <c r="K341" s="10" t="s">
        <v>31</v>
      </c>
      <c r="L341" s="12">
        <v>480</v>
      </c>
      <c r="M341" s="10">
        <v>5</v>
      </c>
      <c r="N341" s="13">
        <v>0.2</v>
      </c>
      <c r="O341" s="14">
        <v>116.89</v>
      </c>
      <c r="P341" s="10" t="s">
        <v>56</v>
      </c>
    </row>
    <row r="342" spans="1:16">
      <c r="A342" s="10" t="s">
        <v>797</v>
      </c>
      <c r="B342" s="11">
        <v>45907</v>
      </c>
      <c r="C342" s="11">
        <v>46287</v>
      </c>
      <c r="D342" s="10" t="s">
        <v>425</v>
      </c>
      <c r="E342" s="10" t="s">
        <v>141</v>
      </c>
      <c r="F342" s="10" t="s">
        <v>43</v>
      </c>
      <c r="G342" s="10" t="s">
        <v>135</v>
      </c>
      <c r="H342" s="10" t="s">
        <v>21</v>
      </c>
      <c r="I342" s="10" t="s">
        <v>22</v>
      </c>
      <c r="J342" s="10" t="s">
        <v>30</v>
      </c>
      <c r="K342" s="10" t="s">
        <v>173</v>
      </c>
      <c r="L342" s="12">
        <v>1280</v>
      </c>
      <c r="M342" s="10">
        <v>5</v>
      </c>
      <c r="N342" s="13">
        <v>0.2</v>
      </c>
      <c r="O342" s="14">
        <v>126.17</v>
      </c>
      <c r="P342" s="10" t="s">
        <v>69</v>
      </c>
    </row>
    <row r="343" spans="1:16">
      <c r="A343" s="10" t="s">
        <v>798</v>
      </c>
      <c r="B343" s="11">
        <v>45762</v>
      </c>
      <c r="C343" s="11">
        <v>46288</v>
      </c>
      <c r="D343" s="10" t="s">
        <v>647</v>
      </c>
      <c r="E343" s="10" t="s">
        <v>364</v>
      </c>
      <c r="F343" s="10" t="s">
        <v>19</v>
      </c>
      <c r="G343" s="10" t="s">
        <v>111</v>
      </c>
      <c r="H343" s="10" t="s">
        <v>21</v>
      </c>
      <c r="I343" s="10" t="s">
        <v>22</v>
      </c>
      <c r="J343" s="10" t="s">
        <v>76</v>
      </c>
      <c r="K343" s="10" t="s">
        <v>229</v>
      </c>
      <c r="L343" s="12">
        <v>11305</v>
      </c>
      <c r="M343" s="10">
        <v>7</v>
      </c>
      <c r="N343" s="13">
        <v>0.15</v>
      </c>
      <c r="O343" s="14">
        <v>3740.81</v>
      </c>
      <c r="P343" s="10" t="s">
        <v>63</v>
      </c>
    </row>
    <row r="344" spans="1:16">
      <c r="A344" s="10" t="s">
        <v>799</v>
      </c>
      <c r="B344" s="11">
        <v>45915</v>
      </c>
      <c r="C344" s="11">
        <v>46289</v>
      </c>
      <c r="D344" s="10" t="s">
        <v>91</v>
      </c>
      <c r="E344" s="10" t="s">
        <v>426</v>
      </c>
      <c r="F344" s="10" t="s">
        <v>43</v>
      </c>
      <c r="G344" s="10" t="s">
        <v>179</v>
      </c>
      <c r="H344" s="10" t="s">
        <v>21</v>
      </c>
      <c r="I344" s="10" t="s">
        <v>22</v>
      </c>
      <c r="J344" s="10" t="s">
        <v>38</v>
      </c>
      <c r="K344" s="10" t="s">
        <v>55</v>
      </c>
      <c r="L344" s="12">
        <v>1045</v>
      </c>
      <c r="M344" s="10">
        <v>2</v>
      </c>
      <c r="N344" s="13">
        <v>0.05</v>
      </c>
      <c r="O344" s="14">
        <v>120.72</v>
      </c>
      <c r="P344" s="10" t="s">
        <v>69</v>
      </c>
    </row>
    <row r="345" spans="1:16">
      <c r="A345" s="10" t="s">
        <v>800</v>
      </c>
      <c r="B345" s="11">
        <v>45963</v>
      </c>
      <c r="C345" s="11">
        <v>46290</v>
      </c>
      <c r="D345" s="10" t="s">
        <v>801</v>
      </c>
      <c r="E345" s="10" t="s">
        <v>232</v>
      </c>
      <c r="F345" s="10" t="s">
        <v>19</v>
      </c>
      <c r="G345" s="10" t="s">
        <v>101</v>
      </c>
      <c r="H345" s="10" t="s">
        <v>102</v>
      </c>
      <c r="I345" s="10" t="s">
        <v>103</v>
      </c>
      <c r="J345" s="10" t="s">
        <v>23</v>
      </c>
      <c r="K345" s="10" t="s">
        <v>24</v>
      </c>
      <c r="L345" s="12">
        <v>16575</v>
      </c>
      <c r="M345" s="10">
        <v>3</v>
      </c>
      <c r="N345" s="13">
        <v>0.15</v>
      </c>
      <c r="O345" s="14">
        <v>2626.75</v>
      </c>
      <c r="P345" s="10" t="s">
        <v>25</v>
      </c>
    </row>
    <row r="346" spans="1:16">
      <c r="A346" s="10" t="s">
        <v>802</v>
      </c>
      <c r="B346" s="11">
        <v>45968</v>
      </c>
      <c r="C346" s="11">
        <v>46291</v>
      </c>
      <c r="D346" s="10" t="s">
        <v>507</v>
      </c>
      <c r="E346" s="10" t="s">
        <v>578</v>
      </c>
      <c r="F346" s="10" t="s">
        <v>19</v>
      </c>
      <c r="G346" s="10" t="s">
        <v>167</v>
      </c>
      <c r="H346" s="10" t="s">
        <v>168</v>
      </c>
      <c r="I346" s="10" t="s">
        <v>37</v>
      </c>
      <c r="J346" s="10" t="s">
        <v>30</v>
      </c>
      <c r="K346" s="10" t="s">
        <v>261</v>
      </c>
      <c r="L346" s="12">
        <v>1368</v>
      </c>
      <c r="M346" s="10">
        <v>8</v>
      </c>
      <c r="N346" s="13">
        <v>0.05</v>
      </c>
      <c r="O346" s="14">
        <v>417.31</v>
      </c>
      <c r="P346" s="10" t="s">
        <v>48</v>
      </c>
    </row>
    <row r="347" spans="1:16">
      <c r="A347" s="10" t="s">
        <v>803</v>
      </c>
      <c r="B347" s="11">
        <v>45889</v>
      </c>
      <c r="C347" s="11">
        <v>46292</v>
      </c>
      <c r="D347" s="10" t="s">
        <v>525</v>
      </c>
      <c r="E347" s="10" t="s">
        <v>509</v>
      </c>
      <c r="F347" s="10" t="s">
        <v>19</v>
      </c>
      <c r="G347" s="10" t="s">
        <v>224</v>
      </c>
      <c r="H347" s="10" t="s">
        <v>225</v>
      </c>
      <c r="I347" s="10" t="s">
        <v>75</v>
      </c>
      <c r="J347" s="10" t="s">
        <v>30</v>
      </c>
      <c r="K347" s="10" t="s">
        <v>173</v>
      </c>
      <c r="L347" s="12">
        <v>1024</v>
      </c>
      <c r="M347" s="10">
        <v>4</v>
      </c>
      <c r="N347" s="13">
        <v>0.2</v>
      </c>
      <c r="O347" s="14">
        <v>216.06</v>
      </c>
      <c r="P347" s="10" t="s">
        <v>69</v>
      </c>
    </row>
    <row r="348" spans="1:16">
      <c r="A348" s="10" t="s">
        <v>804</v>
      </c>
      <c r="B348" s="11">
        <v>45811</v>
      </c>
      <c r="C348" s="11">
        <v>46293</v>
      </c>
      <c r="D348" s="10" t="s">
        <v>580</v>
      </c>
      <c r="E348" s="10" t="s">
        <v>711</v>
      </c>
      <c r="F348" s="10" t="s">
        <v>19</v>
      </c>
      <c r="G348" s="10" t="s">
        <v>44</v>
      </c>
      <c r="H348" s="10" t="s">
        <v>45</v>
      </c>
      <c r="I348" s="10" t="s">
        <v>46</v>
      </c>
      <c r="J348" s="10" t="s">
        <v>30</v>
      </c>
      <c r="K348" s="10" t="s">
        <v>93</v>
      </c>
      <c r="L348" s="12">
        <v>256.5</v>
      </c>
      <c r="M348" s="10">
        <v>3</v>
      </c>
      <c r="N348" s="13">
        <v>0.05</v>
      </c>
      <c r="O348" s="14">
        <v>89.04</v>
      </c>
      <c r="P348" s="10" t="s">
        <v>56</v>
      </c>
    </row>
    <row r="349" spans="1:16">
      <c r="A349" s="10" t="s">
        <v>805</v>
      </c>
      <c r="B349" s="11">
        <v>46261</v>
      </c>
      <c r="C349" s="11">
        <v>46294</v>
      </c>
      <c r="D349" s="10" t="s">
        <v>658</v>
      </c>
      <c r="E349" s="10" t="s">
        <v>490</v>
      </c>
      <c r="F349" s="10" t="s">
        <v>43</v>
      </c>
      <c r="G349" s="10" t="s">
        <v>101</v>
      </c>
      <c r="H349" s="10" t="s">
        <v>102</v>
      </c>
      <c r="I349" s="10" t="s">
        <v>103</v>
      </c>
      <c r="J349" s="10" t="s">
        <v>23</v>
      </c>
      <c r="K349" s="10" t="s">
        <v>120</v>
      </c>
      <c r="L349" s="12">
        <v>15960</v>
      </c>
      <c r="M349" s="10">
        <v>4</v>
      </c>
      <c r="N349" s="13">
        <v>0.05</v>
      </c>
      <c r="O349" s="14">
        <v>5018.38</v>
      </c>
      <c r="P349" s="10" t="s">
        <v>69</v>
      </c>
    </row>
    <row r="350" spans="1:16">
      <c r="A350" s="10" t="s">
        <v>806</v>
      </c>
      <c r="B350" s="11">
        <v>45558</v>
      </c>
      <c r="C350" s="11">
        <v>46295</v>
      </c>
      <c r="D350" s="10" t="s">
        <v>807</v>
      </c>
      <c r="E350" s="10" t="s">
        <v>194</v>
      </c>
      <c r="F350" s="10" t="s">
        <v>29</v>
      </c>
      <c r="G350" s="10" t="s">
        <v>179</v>
      </c>
      <c r="H350" s="10" t="s">
        <v>21</v>
      </c>
      <c r="I350" s="10" t="s">
        <v>22</v>
      </c>
      <c r="J350" s="10" t="s">
        <v>76</v>
      </c>
      <c r="K350" s="10" t="s">
        <v>206</v>
      </c>
      <c r="L350" s="12">
        <v>8800</v>
      </c>
      <c r="M350" s="10">
        <v>8</v>
      </c>
      <c r="N350" s="13">
        <v>0</v>
      </c>
      <c r="O350" s="14">
        <v>1361.69</v>
      </c>
      <c r="P350" s="10" t="s">
        <v>25</v>
      </c>
    </row>
    <row r="351" spans="1:16">
      <c r="A351" s="10" t="s">
        <v>808</v>
      </c>
      <c r="B351" s="11">
        <v>46202</v>
      </c>
      <c r="C351" s="11">
        <v>46296</v>
      </c>
      <c r="D351" s="10" t="s">
        <v>414</v>
      </c>
      <c r="E351" s="10" t="s">
        <v>100</v>
      </c>
      <c r="F351" s="10" t="s">
        <v>29</v>
      </c>
      <c r="G351" s="10" t="s">
        <v>151</v>
      </c>
      <c r="H351" s="10" t="s">
        <v>151</v>
      </c>
      <c r="I351" s="10" t="s">
        <v>75</v>
      </c>
      <c r="J351" s="10" t="s">
        <v>38</v>
      </c>
      <c r="K351" s="10" t="s">
        <v>55</v>
      </c>
      <c r="L351" s="12">
        <v>2475</v>
      </c>
      <c r="M351" s="10">
        <v>5</v>
      </c>
      <c r="N351" s="13">
        <v>0.1</v>
      </c>
      <c r="O351" s="14">
        <v>868.59</v>
      </c>
      <c r="P351" s="10" t="s">
        <v>69</v>
      </c>
    </row>
    <row r="352" spans="1:16">
      <c r="A352" s="10" t="s">
        <v>809</v>
      </c>
      <c r="B352" s="11">
        <v>45711</v>
      </c>
      <c r="C352" s="11">
        <v>46297</v>
      </c>
      <c r="D352" s="10" t="s">
        <v>704</v>
      </c>
      <c r="E352" s="10" t="s">
        <v>559</v>
      </c>
      <c r="F352" s="10" t="s">
        <v>19</v>
      </c>
      <c r="G352" s="10" t="s">
        <v>101</v>
      </c>
      <c r="H352" s="10" t="s">
        <v>102</v>
      </c>
      <c r="I352" s="10" t="s">
        <v>103</v>
      </c>
      <c r="J352" s="10" t="s">
        <v>76</v>
      </c>
      <c r="K352" s="10" t="s">
        <v>131</v>
      </c>
      <c r="L352" s="12">
        <v>1680</v>
      </c>
      <c r="M352" s="10">
        <v>6</v>
      </c>
      <c r="N352" s="13">
        <v>0.2</v>
      </c>
      <c r="O352" s="14">
        <v>509.22</v>
      </c>
      <c r="P352" s="10" t="s">
        <v>56</v>
      </c>
    </row>
    <row r="353" spans="1:16">
      <c r="A353" s="10" t="s">
        <v>810</v>
      </c>
      <c r="B353" s="11">
        <v>45612</v>
      </c>
      <c r="C353" s="11">
        <v>46298</v>
      </c>
      <c r="D353" s="10" t="s">
        <v>811</v>
      </c>
      <c r="E353" s="10" t="s">
        <v>722</v>
      </c>
      <c r="F353" s="10" t="s">
        <v>29</v>
      </c>
      <c r="G353" s="10" t="s">
        <v>135</v>
      </c>
      <c r="H353" s="10" t="s">
        <v>21</v>
      </c>
      <c r="I353" s="10" t="s">
        <v>22</v>
      </c>
      <c r="J353" s="10" t="s">
        <v>38</v>
      </c>
      <c r="K353" s="10" t="s">
        <v>55</v>
      </c>
      <c r="L353" s="12">
        <v>2750</v>
      </c>
      <c r="M353" s="10">
        <v>5</v>
      </c>
      <c r="N353" s="13">
        <v>0</v>
      </c>
      <c r="O353" s="14">
        <v>500.75</v>
      </c>
      <c r="P353" s="10" t="s">
        <v>25</v>
      </c>
    </row>
    <row r="354" spans="1:16">
      <c r="A354" s="10" t="s">
        <v>812</v>
      </c>
      <c r="B354" s="11">
        <v>46096</v>
      </c>
      <c r="C354" s="11">
        <v>46299</v>
      </c>
      <c r="D354" s="10" t="s">
        <v>454</v>
      </c>
      <c r="E354" s="10" t="s">
        <v>813</v>
      </c>
      <c r="F354" s="10" t="s">
        <v>29</v>
      </c>
      <c r="G354" s="10" t="s">
        <v>35</v>
      </c>
      <c r="H354" s="10" t="s">
        <v>36</v>
      </c>
      <c r="I354" s="10" t="s">
        <v>37</v>
      </c>
      <c r="J354" s="10" t="s">
        <v>38</v>
      </c>
      <c r="K354" s="10" t="s">
        <v>39</v>
      </c>
      <c r="L354" s="12">
        <v>5320</v>
      </c>
      <c r="M354" s="10">
        <v>7</v>
      </c>
      <c r="N354" s="13">
        <v>0.2</v>
      </c>
      <c r="O354" s="14">
        <v>1268.04</v>
      </c>
      <c r="P354" s="10" t="s">
        <v>48</v>
      </c>
    </row>
    <row r="355" spans="1:16">
      <c r="A355" s="10" t="s">
        <v>814</v>
      </c>
      <c r="B355" s="11">
        <v>45838</v>
      </c>
      <c r="C355" s="11">
        <v>46300</v>
      </c>
      <c r="D355" s="10" t="s">
        <v>17</v>
      </c>
      <c r="E355" s="10" t="s">
        <v>815</v>
      </c>
      <c r="F355" s="10" t="s">
        <v>19</v>
      </c>
      <c r="G355" s="10" t="s">
        <v>60</v>
      </c>
      <c r="H355" s="10" t="s">
        <v>61</v>
      </c>
      <c r="I355" s="10" t="s">
        <v>37</v>
      </c>
      <c r="J355" s="10" t="s">
        <v>23</v>
      </c>
      <c r="K355" s="10" t="s">
        <v>120</v>
      </c>
      <c r="L355" s="12">
        <v>21420</v>
      </c>
      <c r="M355" s="10">
        <v>6</v>
      </c>
      <c r="N355" s="13">
        <v>0.15</v>
      </c>
      <c r="O355" s="14">
        <v>6596.29</v>
      </c>
      <c r="P355" s="10" t="s">
        <v>56</v>
      </c>
    </row>
    <row r="356" spans="1:16">
      <c r="A356" s="10" t="s">
        <v>816</v>
      </c>
      <c r="B356" s="11">
        <v>45523</v>
      </c>
      <c r="C356" s="11">
        <v>46301</v>
      </c>
      <c r="D356" s="10" t="s">
        <v>401</v>
      </c>
      <c r="E356" s="10" t="s">
        <v>758</v>
      </c>
      <c r="F356" s="10" t="s">
        <v>29</v>
      </c>
      <c r="G356" s="10" t="s">
        <v>101</v>
      </c>
      <c r="H356" s="10" t="s">
        <v>102</v>
      </c>
      <c r="I356" s="10" t="s">
        <v>103</v>
      </c>
      <c r="J356" s="10" t="s">
        <v>23</v>
      </c>
      <c r="K356" s="10" t="s">
        <v>89</v>
      </c>
      <c r="L356" s="12">
        <v>8400</v>
      </c>
      <c r="M356" s="10">
        <v>3</v>
      </c>
      <c r="N356" s="13">
        <v>0</v>
      </c>
      <c r="O356" s="14">
        <v>2354.33</v>
      </c>
      <c r="P356" s="10" t="s">
        <v>48</v>
      </c>
    </row>
    <row r="357" spans="1:16">
      <c r="A357" s="10" t="s">
        <v>817</v>
      </c>
      <c r="B357" s="11">
        <v>45597</v>
      </c>
      <c r="C357" s="11">
        <v>46302</v>
      </c>
      <c r="D357" s="10" t="s">
        <v>484</v>
      </c>
      <c r="E357" s="10" t="s">
        <v>251</v>
      </c>
      <c r="F357" s="10" t="s">
        <v>29</v>
      </c>
      <c r="G357" s="10" t="s">
        <v>73</v>
      </c>
      <c r="H357" s="10" t="s">
        <v>74</v>
      </c>
      <c r="I357" s="10" t="s">
        <v>75</v>
      </c>
      <c r="J357" s="10" t="s">
        <v>23</v>
      </c>
      <c r="K357" s="10" t="s">
        <v>293</v>
      </c>
      <c r="L357" s="12">
        <v>2137.5</v>
      </c>
      <c r="M357" s="10">
        <v>3</v>
      </c>
      <c r="N357" s="13">
        <v>0.05</v>
      </c>
      <c r="O357" s="14">
        <v>242.61</v>
      </c>
      <c r="P357" s="10" t="s">
        <v>56</v>
      </c>
    </row>
    <row r="358" spans="1:16">
      <c r="A358" s="10" t="s">
        <v>818</v>
      </c>
      <c r="B358" s="11">
        <v>46262</v>
      </c>
      <c r="C358" s="11">
        <v>46303</v>
      </c>
      <c r="D358" s="10" t="s">
        <v>250</v>
      </c>
      <c r="E358" s="10" t="s">
        <v>455</v>
      </c>
      <c r="F358" s="10" t="s">
        <v>19</v>
      </c>
      <c r="G358" s="10" t="s">
        <v>81</v>
      </c>
      <c r="H358" s="10" t="s">
        <v>68</v>
      </c>
      <c r="I358" s="10" t="s">
        <v>22</v>
      </c>
      <c r="J358" s="10" t="s">
        <v>38</v>
      </c>
      <c r="K358" s="10" t="s">
        <v>39</v>
      </c>
      <c r="L358" s="12">
        <v>3040</v>
      </c>
      <c r="M358" s="10">
        <v>4</v>
      </c>
      <c r="N358" s="13">
        <v>0.2</v>
      </c>
      <c r="O358" s="14">
        <v>285.55</v>
      </c>
      <c r="P358" s="10" t="s">
        <v>56</v>
      </c>
    </row>
    <row r="359" spans="1:16">
      <c r="A359" s="10" t="s">
        <v>819</v>
      </c>
      <c r="B359" s="11">
        <v>45418</v>
      </c>
      <c r="C359" s="11">
        <v>46304</v>
      </c>
      <c r="D359" s="10" t="s">
        <v>697</v>
      </c>
      <c r="E359" s="10" t="s">
        <v>116</v>
      </c>
      <c r="F359" s="10" t="s">
        <v>29</v>
      </c>
      <c r="G359" s="10" t="s">
        <v>60</v>
      </c>
      <c r="H359" s="10" t="s">
        <v>61</v>
      </c>
      <c r="I359" s="10" t="s">
        <v>37</v>
      </c>
      <c r="J359" s="10" t="s">
        <v>38</v>
      </c>
      <c r="K359" s="10" t="s">
        <v>55</v>
      </c>
      <c r="L359" s="12">
        <v>2337.5</v>
      </c>
      <c r="M359" s="10">
        <v>5</v>
      </c>
      <c r="N359" s="13">
        <v>0.15</v>
      </c>
      <c r="O359" s="14">
        <v>456.95</v>
      </c>
      <c r="P359" s="10" t="s">
        <v>48</v>
      </c>
    </row>
    <row r="360" spans="1:16">
      <c r="A360" s="10" t="s">
        <v>820</v>
      </c>
      <c r="B360" s="11">
        <v>45341</v>
      </c>
      <c r="C360" s="11">
        <v>46305</v>
      </c>
      <c r="D360" s="10" t="s">
        <v>519</v>
      </c>
      <c r="E360" s="10" t="s">
        <v>488</v>
      </c>
      <c r="F360" s="10" t="s">
        <v>19</v>
      </c>
      <c r="G360" s="10" t="s">
        <v>20</v>
      </c>
      <c r="H360" s="10" t="s">
        <v>21</v>
      </c>
      <c r="I360" s="10" t="s">
        <v>22</v>
      </c>
      <c r="J360" s="10" t="s">
        <v>76</v>
      </c>
      <c r="K360" s="10" t="s">
        <v>77</v>
      </c>
      <c r="L360" s="12">
        <v>11200</v>
      </c>
      <c r="M360" s="10">
        <v>7</v>
      </c>
      <c r="N360" s="13">
        <v>0</v>
      </c>
      <c r="O360" s="14">
        <v>2662.31</v>
      </c>
      <c r="P360" s="10" t="s">
        <v>48</v>
      </c>
    </row>
    <row r="361" spans="1:16">
      <c r="A361" s="10" t="s">
        <v>821</v>
      </c>
      <c r="B361" s="11">
        <v>45600</v>
      </c>
      <c r="C361" s="11">
        <v>46306</v>
      </c>
      <c r="D361" s="10" t="s">
        <v>543</v>
      </c>
      <c r="E361" s="10" t="s">
        <v>243</v>
      </c>
      <c r="F361" s="10" t="s">
        <v>29</v>
      </c>
      <c r="G361" s="10" t="s">
        <v>167</v>
      </c>
      <c r="H361" s="10" t="s">
        <v>168</v>
      </c>
      <c r="I361" s="10" t="s">
        <v>37</v>
      </c>
      <c r="J361" s="10" t="s">
        <v>38</v>
      </c>
      <c r="K361" s="10" t="s">
        <v>62</v>
      </c>
      <c r="L361" s="12">
        <v>36125</v>
      </c>
      <c r="M361" s="10">
        <v>5</v>
      </c>
      <c r="N361" s="13">
        <v>0.15</v>
      </c>
      <c r="O361" s="14">
        <v>7226.27</v>
      </c>
      <c r="P361" s="10" t="s">
        <v>63</v>
      </c>
    </row>
    <row r="362" spans="1:16">
      <c r="A362" s="10" t="s">
        <v>822</v>
      </c>
      <c r="B362" s="11">
        <v>46028</v>
      </c>
      <c r="C362" s="11">
        <v>46307</v>
      </c>
      <c r="D362" s="10" t="s">
        <v>635</v>
      </c>
      <c r="E362" s="10" t="s">
        <v>307</v>
      </c>
      <c r="F362" s="10" t="s">
        <v>19</v>
      </c>
      <c r="G362" s="10" t="s">
        <v>20</v>
      </c>
      <c r="H362" s="10" t="s">
        <v>21</v>
      </c>
      <c r="I362" s="10" t="s">
        <v>22</v>
      </c>
      <c r="J362" s="10" t="s">
        <v>23</v>
      </c>
      <c r="K362" s="10" t="s">
        <v>120</v>
      </c>
      <c r="L362" s="12">
        <v>7560</v>
      </c>
      <c r="M362" s="10">
        <v>2</v>
      </c>
      <c r="N362" s="13">
        <v>0.1</v>
      </c>
      <c r="O362" s="14">
        <v>2368.94</v>
      </c>
      <c r="P362" s="10" t="s">
        <v>56</v>
      </c>
    </row>
    <row r="363" spans="1:16">
      <c r="A363" s="10" t="s">
        <v>823</v>
      </c>
      <c r="B363" s="11">
        <v>45658</v>
      </c>
      <c r="C363" s="11">
        <v>46308</v>
      </c>
      <c r="D363" s="10" t="s">
        <v>824</v>
      </c>
      <c r="E363" s="10" t="s">
        <v>559</v>
      </c>
      <c r="F363" s="10" t="s">
        <v>29</v>
      </c>
      <c r="G363" s="10" t="s">
        <v>81</v>
      </c>
      <c r="H363" s="10" t="s">
        <v>68</v>
      </c>
      <c r="I363" s="10" t="s">
        <v>22</v>
      </c>
      <c r="J363" s="10" t="s">
        <v>23</v>
      </c>
      <c r="K363" s="10" t="s">
        <v>24</v>
      </c>
      <c r="L363" s="12">
        <v>5525</v>
      </c>
      <c r="M363" s="10">
        <v>1</v>
      </c>
      <c r="N363" s="13">
        <v>0.15</v>
      </c>
      <c r="O363" s="14">
        <v>1262.17</v>
      </c>
      <c r="P363" s="10" t="s">
        <v>48</v>
      </c>
    </row>
    <row r="364" spans="1:16">
      <c r="A364" s="10" t="s">
        <v>825</v>
      </c>
      <c r="B364" s="11">
        <v>45305</v>
      </c>
      <c r="C364" s="11">
        <v>46309</v>
      </c>
      <c r="D364" s="10" t="s">
        <v>439</v>
      </c>
      <c r="E364" s="10" t="s">
        <v>412</v>
      </c>
      <c r="F364" s="10" t="s">
        <v>19</v>
      </c>
      <c r="G364" s="10" t="s">
        <v>20</v>
      </c>
      <c r="H364" s="10" t="s">
        <v>21</v>
      </c>
      <c r="I364" s="10" t="s">
        <v>22</v>
      </c>
      <c r="J364" s="10" t="s">
        <v>38</v>
      </c>
      <c r="K364" s="10" t="s">
        <v>62</v>
      </c>
      <c r="L364" s="12">
        <v>68000</v>
      </c>
      <c r="M364" s="10">
        <v>8</v>
      </c>
      <c r="N364" s="13">
        <v>0</v>
      </c>
      <c r="O364" s="14">
        <v>9053.7900000000009</v>
      </c>
      <c r="P364" s="10" t="s">
        <v>48</v>
      </c>
    </row>
    <row r="365" spans="1:16">
      <c r="A365" s="10" t="s">
        <v>826</v>
      </c>
      <c r="B365" s="11">
        <v>46218</v>
      </c>
      <c r="C365" s="11">
        <v>46310</v>
      </c>
      <c r="D365" s="10" t="s">
        <v>143</v>
      </c>
      <c r="E365" s="10" t="s">
        <v>793</v>
      </c>
      <c r="F365" s="10" t="s">
        <v>29</v>
      </c>
      <c r="G365" s="10" t="s">
        <v>167</v>
      </c>
      <c r="H365" s="10" t="s">
        <v>168</v>
      </c>
      <c r="I365" s="10" t="s">
        <v>37</v>
      </c>
      <c r="J365" s="10" t="s">
        <v>30</v>
      </c>
      <c r="K365" s="10" t="s">
        <v>127</v>
      </c>
      <c r="L365" s="12">
        <v>712.5</v>
      </c>
      <c r="M365" s="10">
        <v>5</v>
      </c>
      <c r="N365" s="13">
        <v>0.05</v>
      </c>
      <c r="O365" s="14">
        <v>179.4</v>
      </c>
      <c r="P365" s="10" t="s">
        <v>69</v>
      </c>
    </row>
    <row r="366" spans="1:16">
      <c r="A366" s="10" t="s">
        <v>827</v>
      </c>
      <c r="B366" s="11">
        <v>45660</v>
      </c>
      <c r="C366" s="11">
        <v>46311</v>
      </c>
      <c r="D366" s="10" t="s">
        <v>828</v>
      </c>
      <c r="E366" s="10" t="s">
        <v>829</v>
      </c>
      <c r="F366" s="10" t="s">
        <v>29</v>
      </c>
      <c r="G366" s="10" t="s">
        <v>167</v>
      </c>
      <c r="H366" s="10" t="s">
        <v>168</v>
      </c>
      <c r="I366" s="10" t="s">
        <v>37</v>
      </c>
      <c r="J366" s="10" t="s">
        <v>23</v>
      </c>
      <c r="K366" s="10" t="s">
        <v>293</v>
      </c>
      <c r="L366" s="12">
        <v>1500</v>
      </c>
      <c r="M366" s="10">
        <v>2</v>
      </c>
      <c r="N366" s="13">
        <v>0</v>
      </c>
      <c r="O366" s="14">
        <v>238.01</v>
      </c>
      <c r="P366" s="10" t="s">
        <v>56</v>
      </c>
    </row>
    <row r="367" spans="1:16">
      <c r="A367" s="10" t="s">
        <v>830</v>
      </c>
      <c r="B367" s="11">
        <v>45628</v>
      </c>
      <c r="C367" s="11">
        <v>46312</v>
      </c>
      <c r="D367" s="10" t="s">
        <v>465</v>
      </c>
      <c r="E367" s="10" t="s">
        <v>533</v>
      </c>
      <c r="F367" s="10" t="s">
        <v>29</v>
      </c>
      <c r="G367" s="10" t="s">
        <v>101</v>
      </c>
      <c r="H367" s="10" t="s">
        <v>102</v>
      </c>
      <c r="I367" s="10" t="s">
        <v>103</v>
      </c>
      <c r="J367" s="10" t="s">
        <v>76</v>
      </c>
      <c r="K367" s="10" t="s">
        <v>85</v>
      </c>
      <c r="L367" s="12">
        <v>880</v>
      </c>
      <c r="M367" s="10">
        <v>5</v>
      </c>
      <c r="N367" s="13">
        <v>0.2</v>
      </c>
      <c r="O367" s="14">
        <v>286.73</v>
      </c>
      <c r="P367" s="10" t="s">
        <v>25</v>
      </c>
    </row>
    <row r="368" spans="1:16">
      <c r="A368" s="10" t="s">
        <v>831</v>
      </c>
      <c r="B368" s="11">
        <v>45701</v>
      </c>
      <c r="C368" s="11">
        <v>46313</v>
      </c>
      <c r="D368" s="10" t="s">
        <v>645</v>
      </c>
      <c r="E368" s="10" t="s">
        <v>350</v>
      </c>
      <c r="F368" s="10" t="s">
        <v>19</v>
      </c>
      <c r="G368" s="10" t="s">
        <v>179</v>
      </c>
      <c r="H368" s="10" t="s">
        <v>21</v>
      </c>
      <c r="I368" s="10" t="s">
        <v>22</v>
      </c>
      <c r="J368" s="10" t="s">
        <v>76</v>
      </c>
      <c r="K368" s="10" t="s">
        <v>77</v>
      </c>
      <c r="L368" s="12">
        <v>8960</v>
      </c>
      <c r="M368" s="10">
        <v>7</v>
      </c>
      <c r="N368" s="13">
        <v>0.2</v>
      </c>
      <c r="O368" s="14">
        <v>1071.69</v>
      </c>
      <c r="P368" s="10" t="s">
        <v>48</v>
      </c>
    </row>
    <row r="369" spans="1:16">
      <c r="A369" s="10" t="s">
        <v>832</v>
      </c>
      <c r="B369" s="11">
        <v>46257</v>
      </c>
      <c r="C369" s="11">
        <v>46314</v>
      </c>
      <c r="D369" s="10" t="s">
        <v>428</v>
      </c>
      <c r="E369" s="10" t="s">
        <v>833</v>
      </c>
      <c r="F369" s="10" t="s">
        <v>43</v>
      </c>
      <c r="G369" s="10" t="s">
        <v>97</v>
      </c>
      <c r="H369" s="10" t="s">
        <v>21</v>
      </c>
      <c r="I369" s="10" t="s">
        <v>22</v>
      </c>
      <c r="J369" s="10" t="s">
        <v>38</v>
      </c>
      <c r="K369" s="10" t="s">
        <v>55</v>
      </c>
      <c r="L369" s="12">
        <v>3740</v>
      </c>
      <c r="M369" s="10">
        <v>8</v>
      </c>
      <c r="N369" s="13">
        <v>0.15</v>
      </c>
      <c r="O369" s="14">
        <v>677.38</v>
      </c>
      <c r="P369" s="10" t="s">
        <v>63</v>
      </c>
    </row>
    <row r="370" spans="1:16">
      <c r="A370" s="10" t="s">
        <v>834</v>
      </c>
      <c r="B370" s="11">
        <v>45321</v>
      </c>
      <c r="C370" s="11">
        <v>46315</v>
      </c>
      <c r="D370" s="10" t="s">
        <v>146</v>
      </c>
      <c r="E370" s="10" t="s">
        <v>835</v>
      </c>
      <c r="F370" s="10" t="s">
        <v>43</v>
      </c>
      <c r="G370" s="10" t="s">
        <v>167</v>
      </c>
      <c r="H370" s="10" t="s">
        <v>168</v>
      </c>
      <c r="I370" s="10" t="s">
        <v>37</v>
      </c>
      <c r="J370" s="10" t="s">
        <v>30</v>
      </c>
      <c r="K370" s="10" t="s">
        <v>127</v>
      </c>
      <c r="L370" s="12">
        <v>1200</v>
      </c>
      <c r="M370" s="10">
        <v>8</v>
      </c>
      <c r="N370" s="13">
        <v>0</v>
      </c>
      <c r="O370" s="14">
        <v>179.07</v>
      </c>
      <c r="P370" s="10" t="s">
        <v>69</v>
      </c>
    </row>
    <row r="371" spans="1:16">
      <c r="A371" s="10" t="s">
        <v>836</v>
      </c>
      <c r="B371" s="11">
        <v>45304</v>
      </c>
      <c r="C371" s="11">
        <v>46316</v>
      </c>
      <c r="D371" s="10" t="s">
        <v>736</v>
      </c>
      <c r="E371" s="10" t="s">
        <v>559</v>
      </c>
      <c r="F371" s="10" t="s">
        <v>19</v>
      </c>
      <c r="G371" s="10" t="s">
        <v>44</v>
      </c>
      <c r="H371" s="10" t="s">
        <v>45</v>
      </c>
      <c r="I371" s="10" t="s">
        <v>46</v>
      </c>
      <c r="J371" s="10" t="s">
        <v>30</v>
      </c>
      <c r="K371" s="10" t="s">
        <v>173</v>
      </c>
      <c r="L371" s="12">
        <v>576</v>
      </c>
      <c r="M371" s="10">
        <v>2</v>
      </c>
      <c r="N371" s="13">
        <v>0.1</v>
      </c>
      <c r="O371" s="14">
        <v>111.14</v>
      </c>
      <c r="P371" s="10" t="s">
        <v>25</v>
      </c>
    </row>
    <row r="372" spans="1:16">
      <c r="A372" s="10" t="s">
        <v>837</v>
      </c>
      <c r="B372" s="11">
        <v>45444</v>
      </c>
      <c r="C372" s="11">
        <v>46317</v>
      </c>
      <c r="D372" s="10" t="s">
        <v>414</v>
      </c>
      <c r="E372" s="10" t="s">
        <v>530</v>
      </c>
      <c r="F372" s="10" t="s">
        <v>29</v>
      </c>
      <c r="G372" s="10" t="s">
        <v>44</v>
      </c>
      <c r="H372" s="10" t="s">
        <v>45</v>
      </c>
      <c r="I372" s="10" t="s">
        <v>46</v>
      </c>
      <c r="J372" s="10" t="s">
        <v>38</v>
      </c>
      <c r="K372" s="10" t="s">
        <v>104</v>
      </c>
      <c r="L372" s="12">
        <v>1657.5</v>
      </c>
      <c r="M372" s="10">
        <v>3</v>
      </c>
      <c r="N372" s="13">
        <v>0.15</v>
      </c>
      <c r="O372" s="14">
        <v>226.75</v>
      </c>
      <c r="P372" s="10" t="s">
        <v>48</v>
      </c>
    </row>
    <row r="373" spans="1:16">
      <c r="A373" s="10" t="s">
        <v>838</v>
      </c>
      <c r="B373" s="11">
        <v>46061</v>
      </c>
      <c r="C373" s="11">
        <v>46318</v>
      </c>
      <c r="D373" s="10" t="s">
        <v>257</v>
      </c>
      <c r="E373" s="10" t="s">
        <v>578</v>
      </c>
      <c r="F373" s="10" t="s">
        <v>29</v>
      </c>
      <c r="G373" s="10" t="s">
        <v>67</v>
      </c>
      <c r="H373" s="10" t="s">
        <v>68</v>
      </c>
      <c r="I373" s="10" t="s">
        <v>22</v>
      </c>
      <c r="J373" s="10" t="s">
        <v>30</v>
      </c>
      <c r="K373" s="10" t="s">
        <v>173</v>
      </c>
      <c r="L373" s="12">
        <v>1600</v>
      </c>
      <c r="M373" s="10">
        <v>5</v>
      </c>
      <c r="N373" s="13">
        <v>0</v>
      </c>
      <c r="O373" s="14">
        <v>397.12</v>
      </c>
      <c r="P373" s="10" t="s">
        <v>48</v>
      </c>
    </row>
    <row r="374" spans="1:16">
      <c r="A374" s="10" t="s">
        <v>839</v>
      </c>
      <c r="B374" s="11">
        <v>45762</v>
      </c>
      <c r="C374" s="11">
        <v>46319</v>
      </c>
      <c r="D374" s="10" t="s">
        <v>840</v>
      </c>
      <c r="E374" s="10" t="s">
        <v>123</v>
      </c>
      <c r="F374" s="10" t="s">
        <v>43</v>
      </c>
      <c r="G374" s="10" t="s">
        <v>35</v>
      </c>
      <c r="H374" s="10" t="s">
        <v>36</v>
      </c>
      <c r="I374" s="10" t="s">
        <v>37</v>
      </c>
      <c r="J374" s="10" t="s">
        <v>76</v>
      </c>
      <c r="K374" s="10" t="s">
        <v>206</v>
      </c>
      <c r="L374" s="12">
        <v>7920</v>
      </c>
      <c r="M374" s="10">
        <v>8</v>
      </c>
      <c r="N374" s="13">
        <v>0.1</v>
      </c>
      <c r="O374" s="14">
        <v>2239.9699999999998</v>
      </c>
      <c r="P374" s="10" t="s">
        <v>25</v>
      </c>
    </row>
    <row r="375" spans="1:16">
      <c r="A375" s="10" t="s">
        <v>841</v>
      </c>
      <c r="B375" s="11">
        <v>45328</v>
      </c>
      <c r="C375" s="11">
        <v>46320</v>
      </c>
      <c r="D375" s="10" t="s">
        <v>201</v>
      </c>
      <c r="E375" s="10" t="s">
        <v>732</v>
      </c>
      <c r="F375" s="10" t="s">
        <v>43</v>
      </c>
      <c r="G375" s="10" t="s">
        <v>151</v>
      </c>
      <c r="H375" s="10" t="s">
        <v>151</v>
      </c>
      <c r="I375" s="10" t="s">
        <v>75</v>
      </c>
      <c r="J375" s="10" t="s">
        <v>38</v>
      </c>
      <c r="K375" s="10" t="s">
        <v>104</v>
      </c>
      <c r="L375" s="12">
        <v>2762.5</v>
      </c>
      <c r="M375" s="10">
        <v>5</v>
      </c>
      <c r="N375" s="13">
        <v>0.15</v>
      </c>
      <c r="O375" s="14">
        <v>583.70000000000005</v>
      </c>
      <c r="P375" s="10" t="s">
        <v>48</v>
      </c>
    </row>
    <row r="376" spans="1:16">
      <c r="A376" s="10" t="s">
        <v>842</v>
      </c>
      <c r="B376" s="11">
        <v>46128</v>
      </c>
      <c r="C376" s="11">
        <v>46321</v>
      </c>
      <c r="D376" s="10" t="s">
        <v>546</v>
      </c>
      <c r="E376" s="10" t="s">
        <v>567</v>
      </c>
      <c r="F376" s="10" t="s">
        <v>29</v>
      </c>
      <c r="G376" s="10" t="s">
        <v>44</v>
      </c>
      <c r="H376" s="10" t="s">
        <v>45</v>
      </c>
      <c r="I376" s="10" t="s">
        <v>46</v>
      </c>
      <c r="J376" s="10" t="s">
        <v>76</v>
      </c>
      <c r="K376" s="10" t="s">
        <v>229</v>
      </c>
      <c r="L376" s="12">
        <v>12160</v>
      </c>
      <c r="M376" s="10">
        <v>8</v>
      </c>
      <c r="N376" s="13">
        <v>0.2</v>
      </c>
      <c r="O376" s="14">
        <v>2178.3000000000002</v>
      </c>
      <c r="P376" s="10" t="s">
        <v>56</v>
      </c>
    </row>
    <row r="377" spans="1:16">
      <c r="A377" s="10" t="s">
        <v>843</v>
      </c>
      <c r="B377" s="11">
        <v>45294</v>
      </c>
      <c r="C377" s="11">
        <v>46322</v>
      </c>
      <c r="D377" s="10" t="s">
        <v>747</v>
      </c>
      <c r="E377" s="10" t="s">
        <v>844</v>
      </c>
      <c r="F377" s="10" t="s">
        <v>29</v>
      </c>
      <c r="G377" s="10" t="s">
        <v>67</v>
      </c>
      <c r="H377" s="10" t="s">
        <v>68</v>
      </c>
      <c r="I377" s="10" t="s">
        <v>22</v>
      </c>
      <c r="J377" s="10" t="s">
        <v>23</v>
      </c>
      <c r="K377" s="10" t="s">
        <v>47</v>
      </c>
      <c r="L377" s="12">
        <v>14880</v>
      </c>
      <c r="M377" s="10">
        <v>6</v>
      </c>
      <c r="N377" s="13">
        <v>0.2</v>
      </c>
      <c r="O377" s="14">
        <v>4796.66</v>
      </c>
      <c r="P377" s="10" t="s">
        <v>25</v>
      </c>
    </row>
    <row r="378" spans="1:16">
      <c r="A378" s="10" t="s">
        <v>845</v>
      </c>
      <c r="B378" s="11">
        <v>45401</v>
      </c>
      <c r="C378" s="11">
        <v>46323</v>
      </c>
      <c r="D378" s="10" t="s">
        <v>370</v>
      </c>
      <c r="E378" s="10" t="s">
        <v>106</v>
      </c>
      <c r="F378" s="10" t="s">
        <v>43</v>
      </c>
      <c r="G378" s="10" t="s">
        <v>224</v>
      </c>
      <c r="H378" s="10" t="s">
        <v>225</v>
      </c>
      <c r="I378" s="10" t="s">
        <v>75</v>
      </c>
      <c r="J378" s="10" t="s">
        <v>30</v>
      </c>
      <c r="K378" s="10" t="s">
        <v>31</v>
      </c>
      <c r="L378" s="12">
        <v>216</v>
      </c>
      <c r="M378" s="10">
        <v>2</v>
      </c>
      <c r="N378" s="13">
        <v>0.1</v>
      </c>
      <c r="O378" s="14">
        <v>66.73</v>
      </c>
      <c r="P378" s="10" t="s">
        <v>48</v>
      </c>
    </row>
    <row r="379" spans="1:16">
      <c r="A379" s="10" t="s">
        <v>846</v>
      </c>
      <c r="B379" s="11">
        <v>46067</v>
      </c>
      <c r="C379" s="11">
        <v>46324</v>
      </c>
      <c r="D379" s="10" t="s">
        <v>306</v>
      </c>
      <c r="E379" s="10" t="s">
        <v>301</v>
      </c>
      <c r="F379" s="10" t="s">
        <v>29</v>
      </c>
      <c r="G379" s="10" t="s">
        <v>135</v>
      </c>
      <c r="H379" s="10" t="s">
        <v>21</v>
      </c>
      <c r="I379" s="10" t="s">
        <v>22</v>
      </c>
      <c r="J379" s="10" t="s">
        <v>38</v>
      </c>
      <c r="K379" s="10" t="s">
        <v>55</v>
      </c>
      <c r="L379" s="12">
        <v>3520</v>
      </c>
      <c r="M379" s="10">
        <v>8</v>
      </c>
      <c r="N379" s="13">
        <v>0.2</v>
      </c>
      <c r="O379" s="14">
        <v>692.66</v>
      </c>
      <c r="P379" s="10" t="s">
        <v>63</v>
      </c>
    </row>
    <row r="380" spans="1:16">
      <c r="A380" s="10" t="s">
        <v>847</v>
      </c>
      <c r="B380" s="11">
        <v>46045</v>
      </c>
      <c r="C380" s="11">
        <v>46325</v>
      </c>
      <c r="D380" s="10" t="s">
        <v>476</v>
      </c>
      <c r="E380" s="10" t="s">
        <v>756</v>
      </c>
      <c r="F380" s="10" t="s">
        <v>19</v>
      </c>
      <c r="G380" s="10" t="s">
        <v>151</v>
      </c>
      <c r="H380" s="10" t="s">
        <v>151</v>
      </c>
      <c r="I380" s="10" t="s">
        <v>75</v>
      </c>
      <c r="J380" s="10" t="s">
        <v>76</v>
      </c>
      <c r="K380" s="10" t="s">
        <v>85</v>
      </c>
      <c r="L380" s="12">
        <v>1496</v>
      </c>
      <c r="M380" s="10">
        <v>8</v>
      </c>
      <c r="N380" s="13">
        <v>0.15</v>
      </c>
      <c r="O380" s="14">
        <v>231.01</v>
      </c>
      <c r="P380" s="10" t="s">
        <v>56</v>
      </c>
    </row>
    <row r="381" spans="1:16">
      <c r="A381" s="10" t="s">
        <v>848</v>
      </c>
      <c r="B381" s="11">
        <v>46040</v>
      </c>
      <c r="C381" s="11">
        <v>46326</v>
      </c>
      <c r="D381" s="10" t="s">
        <v>507</v>
      </c>
      <c r="E381" s="10" t="s">
        <v>849</v>
      </c>
      <c r="F381" s="10" t="s">
        <v>19</v>
      </c>
      <c r="G381" s="10" t="s">
        <v>97</v>
      </c>
      <c r="H381" s="10" t="s">
        <v>21</v>
      </c>
      <c r="I381" s="10" t="s">
        <v>22</v>
      </c>
      <c r="J381" s="10" t="s">
        <v>38</v>
      </c>
      <c r="K381" s="10" t="s">
        <v>55</v>
      </c>
      <c r="L381" s="12">
        <v>2805</v>
      </c>
      <c r="M381" s="10">
        <v>6</v>
      </c>
      <c r="N381" s="13">
        <v>0.15</v>
      </c>
      <c r="O381" s="14">
        <v>359.99</v>
      </c>
      <c r="P381" s="10" t="s">
        <v>56</v>
      </c>
    </row>
    <row r="382" spans="1:16">
      <c r="A382" s="10" t="s">
        <v>850</v>
      </c>
      <c r="B382" s="11">
        <v>45572</v>
      </c>
      <c r="C382" s="11">
        <v>46327</v>
      </c>
      <c r="D382" s="10" t="s">
        <v>381</v>
      </c>
      <c r="E382" s="10" t="s">
        <v>84</v>
      </c>
      <c r="F382" s="10" t="s">
        <v>19</v>
      </c>
      <c r="G382" s="10" t="s">
        <v>67</v>
      </c>
      <c r="H382" s="10" t="s">
        <v>68</v>
      </c>
      <c r="I382" s="10" t="s">
        <v>22</v>
      </c>
      <c r="J382" s="10" t="s">
        <v>23</v>
      </c>
      <c r="K382" s="10" t="s">
        <v>293</v>
      </c>
      <c r="L382" s="12">
        <v>2250</v>
      </c>
      <c r="M382" s="10">
        <v>3</v>
      </c>
      <c r="N382" s="13">
        <v>0</v>
      </c>
      <c r="O382" s="14">
        <v>613.54</v>
      </c>
      <c r="P382" s="10" t="s">
        <v>63</v>
      </c>
    </row>
    <row r="383" spans="1:16">
      <c r="A383" s="10" t="s">
        <v>851</v>
      </c>
      <c r="B383" s="11">
        <v>46173</v>
      </c>
      <c r="C383" s="11">
        <v>46328</v>
      </c>
      <c r="D383" s="10" t="s">
        <v>153</v>
      </c>
      <c r="E383" s="10" t="s">
        <v>96</v>
      </c>
      <c r="F383" s="10" t="s">
        <v>19</v>
      </c>
      <c r="G383" s="10" t="s">
        <v>60</v>
      </c>
      <c r="H383" s="10" t="s">
        <v>61</v>
      </c>
      <c r="I383" s="10" t="s">
        <v>37</v>
      </c>
      <c r="J383" s="10" t="s">
        <v>30</v>
      </c>
      <c r="K383" s="10" t="s">
        <v>31</v>
      </c>
      <c r="L383" s="12">
        <v>408</v>
      </c>
      <c r="M383" s="10">
        <v>4</v>
      </c>
      <c r="N383" s="13">
        <v>0.15</v>
      </c>
      <c r="O383" s="14">
        <v>70.08</v>
      </c>
      <c r="P383" s="10" t="s">
        <v>56</v>
      </c>
    </row>
    <row r="384" spans="1:16">
      <c r="A384" s="10" t="s">
        <v>852</v>
      </c>
      <c r="B384" s="11">
        <v>46019</v>
      </c>
      <c r="C384" s="11">
        <v>46329</v>
      </c>
      <c r="D384" s="10" t="s">
        <v>113</v>
      </c>
      <c r="E384" s="10" t="s">
        <v>853</v>
      </c>
      <c r="F384" s="10" t="s">
        <v>19</v>
      </c>
      <c r="G384" s="10" t="s">
        <v>97</v>
      </c>
      <c r="H384" s="10" t="s">
        <v>21</v>
      </c>
      <c r="I384" s="10" t="s">
        <v>22</v>
      </c>
      <c r="J384" s="10" t="s">
        <v>23</v>
      </c>
      <c r="K384" s="10" t="s">
        <v>120</v>
      </c>
      <c r="L384" s="12">
        <v>21420</v>
      </c>
      <c r="M384" s="10">
        <v>6</v>
      </c>
      <c r="N384" s="13">
        <v>0.15</v>
      </c>
      <c r="O384" s="14">
        <v>4982.37</v>
      </c>
      <c r="P384" s="10" t="s">
        <v>63</v>
      </c>
    </row>
    <row r="385" spans="1:16">
      <c r="A385" s="10" t="s">
        <v>854</v>
      </c>
      <c r="B385" s="11">
        <v>45584</v>
      </c>
      <c r="C385" s="11">
        <v>46330</v>
      </c>
      <c r="D385" s="10" t="s">
        <v>422</v>
      </c>
      <c r="E385" s="10" t="s">
        <v>707</v>
      </c>
      <c r="F385" s="10" t="s">
        <v>43</v>
      </c>
      <c r="G385" s="10" t="s">
        <v>81</v>
      </c>
      <c r="H385" s="10" t="s">
        <v>68</v>
      </c>
      <c r="I385" s="10" t="s">
        <v>22</v>
      </c>
      <c r="J385" s="10" t="s">
        <v>38</v>
      </c>
      <c r="K385" s="10" t="s">
        <v>62</v>
      </c>
      <c r="L385" s="12">
        <v>17000</v>
      </c>
      <c r="M385" s="10">
        <v>2</v>
      </c>
      <c r="N385" s="13">
        <v>0</v>
      </c>
      <c r="O385" s="14">
        <v>4776.55</v>
      </c>
      <c r="P385" s="10" t="s">
        <v>56</v>
      </c>
    </row>
    <row r="386" spans="1:16">
      <c r="A386" s="10" t="s">
        <v>855</v>
      </c>
      <c r="B386" s="11">
        <v>45585</v>
      </c>
      <c r="C386" s="11">
        <v>46331</v>
      </c>
      <c r="D386" s="10" t="s">
        <v>110</v>
      </c>
      <c r="E386" s="10" t="s">
        <v>856</v>
      </c>
      <c r="F386" s="10" t="s">
        <v>43</v>
      </c>
      <c r="G386" s="10" t="s">
        <v>179</v>
      </c>
      <c r="H386" s="10" t="s">
        <v>21</v>
      </c>
      <c r="I386" s="10" t="s">
        <v>22</v>
      </c>
      <c r="J386" s="10" t="s">
        <v>30</v>
      </c>
      <c r="K386" s="10" t="s">
        <v>261</v>
      </c>
      <c r="L386" s="12">
        <v>900</v>
      </c>
      <c r="M386" s="10">
        <v>5</v>
      </c>
      <c r="N386" s="13">
        <v>0</v>
      </c>
      <c r="O386" s="14">
        <v>165.66</v>
      </c>
      <c r="P386" s="10" t="s">
        <v>48</v>
      </c>
    </row>
    <row r="387" spans="1:16">
      <c r="A387" s="10" t="s">
        <v>857</v>
      </c>
      <c r="B387" s="11">
        <v>45922</v>
      </c>
      <c r="C387" s="11">
        <v>46332</v>
      </c>
      <c r="D387" s="10" t="s">
        <v>452</v>
      </c>
      <c r="E387" s="10" t="s">
        <v>277</v>
      </c>
      <c r="F387" s="10" t="s">
        <v>19</v>
      </c>
      <c r="G387" s="10" t="s">
        <v>167</v>
      </c>
      <c r="H387" s="10" t="s">
        <v>168</v>
      </c>
      <c r="I387" s="10" t="s">
        <v>37</v>
      </c>
      <c r="J387" s="10" t="s">
        <v>30</v>
      </c>
      <c r="K387" s="10" t="s">
        <v>93</v>
      </c>
      <c r="L387" s="12">
        <v>630</v>
      </c>
      <c r="M387" s="10">
        <v>7</v>
      </c>
      <c r="N387" s="13">
        <v>0</v>
      </c>
      <c r="O387" s="14">
        <v>155.71</v>
      </c>
      <c r="P387" s="10" t="s">
        <v>48</v>
      </c>
    </row>
    <row r="388" spans="1:16">
      <c r="A388" s="10" t="s">
        <v>858</v>
      </c>
      <c r="B388" s="11">
        <v>46240</v>
      </c>
      <c r="C388" s="11">
        <v>46333</v>
      </c>
      <c r="D388" s="10" t="s">
        <v>635</v>
      </c>
      <c r="E388" s="10" t="s">
        <v>859</v>
      </c>
      <c r="F388" s="10" t="s">
        <v>43</v>
      </c>
      <c r="G388" s="10" t="s">
        <v>81</v>
      </c>
      <c r="H388" s="10" t="s">
        <v>68</v>
      </c>
      <c r="I388" s="10" t="s">
        <v>22</v>
      </c>
      <c r="J388" s="10" t="s">
        <v>76</v>
      </c>
      <c r="K388" s="10" t="s">
        <v>229</v>
      </c>
      <c r="L388" s="12">
        <v>1900</v>
      </c>
      <c r="M388" s="10">
        <v>1</v>
      </c>
      <c r="N388" s="13">
        <v>0</v>
      </c>
      <c r="O388" s="14">
        <v>354.63</v>
      </c>
      <c r="P388" s="10" t="s">
        <v>56</v>
      </c>
    </row>
    <row r="389" spans="1:16">
      <c r="A389" s="10" t="s">
        <v>860</v>
      </c>
      <c r="B389" s="11">
        <v>46225</v>
      </c>
      <c r="C389" s="11">
        <v>46334</v>
      </c>
      <c r="D389" s="10" t="s">
        <v>325</v>
      </c>
      <c r="E389" s="10" t="s">
        <v>223</v>
      </c>
      <c r="F389" s="10" t="s">
        <v>19</v>
      </c>
      <c r="G389" s="10" t="s">
        <v>60</v>
      </c>
      <c r="H389" s="10" t="s">
        <v>61</v>
      </c>
      <c r="I389" s="10" t="s">
        <v>37</v>
      </c>
      <c r="J389" s="10" t="s">
        <v>23</v>
      </c>
      <c r="K389" s="10" t="s">
        <v>47</v>
      </c>
      <c r="L389" s="12">
        <v>9920</v>
      </c>
      <c r="M389" s="10">
        <v>4</v>
      </c>
      <c r="N389" s="13">
        <v>0.2</v>
      </c>
      <c r="O389" s="14">
        <v>984.9</v>
      </c>
      <c r="P389" s="10" t="s">
        <v>48</v>
      </c>
    </row>
    <row r="390" spans="1:16">
      <c r="A390" s="10" t="s">
        <v>861</v>
      </c>
      <c r="B390" s="11">
        <v>45483</v>
      </c>
      <c r="C390" s="11">
        <v>46335</v>
      </c>
      <c r="D390" s="10" t="s">
        <v>862</v>
      </c>
      <c r="E390" s="10" t="s">
        <v>100</v>
      </c>
      <c r="F390" s="10" t="s">
        <v>19</v>
      </c>
      <c r="G390" s="10" t="s">
        <v>60</v>
      </c>
      <c r="H390" s="10" t="s">
        <v>61</v>
      </c>
      <c r="I390" s="10" t="s">
        <v>37</v>
      </c>
      <c r="J390" s="10" t="s">
        <v>38</v>
      </c>
      <c r="K390" s="10" t="s">
        <v>55</v>
      </c>
      <c r="L390" s="12">
        <v>495</v>
      </c>
      <c r="M390" s="10">
        <v>1</v>
      </c>
      <c r="N390" s="13">
        <v>0.1</v>
      </c>
      <c r="O390" s="14">
        <v>144.75</v>
      </c>
      <c r="P390" s="10" t="s">
        <v>69</v>
      </c>
    </row>
    <row r="391" spans="1:16">
      <c r="A391" s="10" t="s">
        <v>863</v>
      </c>
      <c r="B391" s="11">
        <v>45297</v>
      </c>
      <c r="C391" s="11">
        <v>46336</v>
      </c>
      <c r="D391" s="10" t="s">
        <v>463</v>
      </c>
      <c r="E391" s="10" t="s">
        <v>859</v>
      </c>
      <c r="F391" s="10" t="s">
        <v>19</v>
      </c>
      <c r="G391" s="10" t="s">
        <v>73</v>
      </c>
      <c r="H391" s="10" t="s">
        <v>74</v>
      </c>
      <c r="I391" s="10" t="s">
        <v>75</v>
      </c>
      <c r="J391" s="10" t="s">
        <v>30</v>
      </c>
      <c r="K391" s="10" t="s">
        <v>261</v>
      </c>
      <c r="L391" s="12">
        <v>513</v>
      </c>
      <c r="M391" s="10">
        <v>3</v>
      </c>
      <c r="N391" s="13">
        <v>0.05</v>
      </c>
      <c r="O391" s="14">
        <v>111.48</v>
      </c>
      <c r="P391" s="10" t="s">
        <v>69</v>
      </c>
    </row>
    <row r="392" spans="1:16">
      <c r="A392" s="10" t="s">
        <v>864</v>
      </c>
      <c r="B392" s="11">
        <v>45794</v>
      </c>
      <c r="C392" s="11">
        <v>46337</v>
      </c>
      <c r="D392" s="10" t="s">
        <v>665</v>
      </c>
      <c r="E392" s="10" t="s">
        <v>412</v>
      </c>
      <c r="F392" s="10" t="s">
        <v>19</v>
      </c>
      <c r="G392" s="10" t="s">
        <v>224</v>
      </c>
      <c r="H392" s="10" t="s">
        <v>225</v>
      </c>
      <c r="I392" s="10" t="s">
        <v>75</v>
      </c>
      <c r="J392" s="10" t="s">
        <v>23</v>
      </c>
      <c r="K392" s="10" t="s">
        <v>120</v>
      </c>
      <c r="L392" s="12">
        <v>21420</v>
      </c>
      <c r="M392" s="10">
        <v>6</v>
      </c>
      <c r="N392" s="13">
        <v>0.15</v>
      </c>
      <c r="O392" s="14">
        <v>6432.64</v>
      </c>
      <c r="P392" s="10" t="s">
        <v>56</v>
      </c>
    </row>
    <row r="393" spans="1:16">
      <c r="A393" s="10" t="s">
        <v>865</v>
      </c>
      <c r="B393" s="11">
        <v>45717</v>
      </c>
      <c r="C393" s="11">
        <v>46338</v>
      </c>
      <c r="D393" s="10" t="s">
        <v>50</v>
      </c>
      <c r="E393" s="10" t="s">
        <v>258</v>
      </c>
      <c r="F393" s="10" t="s">
        <v>43</v>
      </c>
      <c r="G393" s="10" t="s">
        <v>151</v>
      </c>
      <c r="H393" s="10" t="s">
        <v>151</v>
      </c>
      <c r="I393" s="10" t="s">
        <v>75</v>
      </c>
      <c r="J393" s="10" t="s">
        <v>76</v>
      </c>
      <c r="K393" s="10" t="s">
        <v>206</v>
      </c>
      <c r="L393" s="12">
        <v>6600</v>
      </c>
      <c r="M393" s="10">
        <v>6</v>
      </c>
      <c r="N393" s="13">
        <v>0</v>
      </c>
      <c r="O393" s="14">
        <v>992.09</v>
      </c>
      <c r="P393" s="10" t="s">
        <v>69</v>
      </c>
    </row>
    <row r="394" spans="1:16">
      <c r="A394" s="10" t="s">
        <v>866</v>
      </c>
      <c r="B394" s="11">
        <v>45515</v>
      </c>
      <c r="C394" s="11">
        <v>46339</v>
      </c>
      <c r="D394" s="10" t="s">
        <v>118</v>
      </c>
      <c r="E394" s="10" t="s">
        <v>867</v>
      </c>
      <c r="F394" s="10" t="s">
        <v>19</v>
      </c>
      <c r="G394" s="10" t="s">
        <v>224</v>
      </c>
      <c r="H394" s="10" t="s">
        <v>225</v>
      </c>
      <c r="I394" s="10" t="s">
        <v>75</v>
      </c>
      <c r="J394" s="10" t="s">
        <v>76</v>
      </c>
      <c r="K394" s="10" t="s">
        <v>85</v>
      </c>
      <c r="L394" s="12">
        <v>220</v>
      </c>
      <c r="M394" s="10">
        <v>1</v>
      </c>
      <c r="N394" s="13">
        <v>0</v>
      </c>
      <c r="O394" s="14">
        <v>45.34</v>
      </c>
      <c r="P394" s="10" t="s">
        <v>63</v>
      </c>
    </row>
    <row r="395" spans="1:16">
      <c r="A395" s="10" t="s">
        <v>868</v>
      </c>
      <c r="B395" s="11">
        <v>46232</v>
      </c>
      <c r="C395" s="11">
        <v>46340</v>
      </c>
      <c r="D395" s="10" t="s">
        <v>122</v>
      </c>
      <c r="E395" s="10" t="s">
        <v>264</v>
      </c>
      <c r="F395" s="10" t="s">
        <v>19</v>
      </c>
      <c r="G395" s="10" t="s">
        <v>111</v>
      </c>
      <c r="H395" s="10" t="s">
        <v>21</v>
      </c>
      <c r="I395" s="10" t="s">
        <v>22</v>
      </c>
      <c r="J395" s="10" t="s">
        <v>38</v>
      </c>
      <c r="K395" s="10" t="s">
        <v>169</v>
      </c>
      <c r="L395" s="12">
        <v>10150</v>
      </c>
      <c r="M395" s="10">
        <v>7</v>
      </c>
      <c r="N395" s="13">
        <v>0</v>
      </c>
      <c r="O395" s="14">
        <v>2838.67</v>
      </c>
      <c r="P395" s="10" t="s">
        <v>69</v>
      </c>
    </row>
    <row r="396" spans="1:16">
      <c r="A396" s="10" t="s">
        <v>869</v>
      </c>
      <c r="B396" s="11">
        <v>45818</v>
      </c>
      <c r="C396" s="11">
        <v>46341</v>
      </c>
      <c r="D396" s="10" t="s">
        <v>870</v>
      </c>
      <c r="E396" s="10" t="s">
        <v>871</v>
      </c>
      <c r="F396" s="10" t="s">
        <v>29</v>
      </c>
      <c r="G396" s="10" t="s">
        <v>151</v>
      </c>
      <c r="H396" s="10" t="s">
        <v>151</v>
      </c>
      <c r="I396" s="10" t="s">
        <v>75</v>
      </c>
      <c r="J396" s="10" t="s">
        <v>76</v>
      </c>
      <c r="K396" s="10" t="s">
        <v>77</v>
      </c>
      <c r="L396" s="12">
        <v>1520</v>
      </c>
      <c r="M396" s="10">
        <v>1</v>
      </c>
      <c r="N396" s="13">
        <v>0.05</v>
      </c>
      <c r="O396" s="14">
        <v>211.2</v>
      </c>
      <c r="P396" s="10" t="s">
        <v>48</v>
      </c>
    </row>
    <row r="397" spans="1:16">
      <c r="A397" s="10" t="s">
        <v>872</v>
      </c>
      <c r="B397" s="11">
        <v>45463</v>
      </c>
      <c r="C397" s="11">
        <v>46342</v>
      </c>
      <c r="D397" s="10" t="s">
        <v>250</v>
      </c>
      <c r="E397" s="10" t="s">
        <v>243</v>
      </c>
      <c r="F397" s="10" t="s">
        <v>29</v>
      </c>
      <c r="G397" s="10" t="s">
        <v>151</v>
      </c>
      <c r="H397" s="10" t="s">
        <v>151</v>
      </c>
      <c r="I397" s="10" t="s">
        <v>75</v>
      </c>
      <c r="J397" s="10" t="s">
        <v>38</v>
      </c>
      <c r="K397" s="10" t="s">
        <v>104</v>
      </c>
      <c r="L397" s="12">
        <v>2080</v>
      </c>
      <c r="M397" s="10">
        <v>4</v>
      </c>
      <c r="N397" s="13">
        <v>0.2</v>
      </c>
      <c r="O397" s="14">
        <v>387.56</v>
      </c>
      <c r="P397" s="10" t="s">
        <v>56</v>
      </c>
    </row>
    <row r="398" spans="1:16">
      <c r="A398" s="10" t="s">
        <v>873</v>
      </c>
      <c r="B398" s="11">
        <v>45842</v>
      </c>
      <c r="C398" s="11">
        <v>46343</v>
      </c>
      <c r="D398" s="10" t="s">
        <v>874</v>
      </c>
      <c r="E398" s="10" t="s">
        <v>835</v>
      </c>
      <c r="F398" s="10" t="s">
        <v>29</v>
      </c>
      <c r="G398" s="10" t="s">
        <v>60</v>
      </c>
      <c r="H398" s="10" t="s">
        <v>61</v>
      </c>
      <c r="I398" s="10" t="s">
        <v>37</v>
      </c>
      <c r="J398" s="10" t="s">
        <v>76</v>
      </c>
      <c r="K398" s="10" t="s">
        <v>206</v>
      </c>
      <c r="L398" s="12">
        <v>3300</v>
      </c>
      <c r="M398" s="10">
        <v>3</v>
      </c>
      <c r="N398" s="13">
        <v>0</v>
      </c>
      <c r="O398" s="14">
        <v>859.98</v>
      </c>
      <c r="P398" s="10" t="s">
        <v>48</v>
      </c>
    </row>
    <row r="399" spans="1:16">
      <c r="A399" s="10" t="s">
        <v>875</v>
      </c>
      <c r="B399" s="11">
        <v>45474</v>
      </c>
      <c r="C399" s="11">
        <v>46344</v>
      </c>
      <c r="D399" s="10" t="s">
        <v>248</v>
      </c>
      <c r="E399" s="10" t="s">
        <v>578</v>
      </c>
      <c r="F399" s="10" t="s">
        <v>43</v>
      </c>
      <c r="G399" s="10" t="s">
        <v>179</v>
      </c>
      <c r="H399" s="10" t="s">
        <v>21</v>
      </c>
      <c r="I399" s="10" t="s">
        <v>22</v>
      </c>
      <c r="J399" s="10" t="s">
        <v>38</v>
      </c>
      <c r="K399" s="10" t="s">
        <v>62</v>
      </c>
      <c r="L399" s="12">
        <v>32300</v>
      </c>
      <c r="M399" s="10">
        <v>4</v>
      </c>
      <c r="N399" s="13">
        <v>0.05</v>
      </c>
      <c r="O399" s="14">
        <v>8608.4500000000007</v>
      </c>
      <c r="P399" s="10" t="s">
        <v>48</v>
      </c>
    </row>
    <row r="400" spans="1:16">
      <c r="A400" s="10" t="s">
        <v>876</v>
      </c>
      <c r="B400" s="11">
        <v>45690</v>
      </c>
      <c r="C400" s="11">
        <v>46345</v>
      </c>
      <c r="D400" s="10" t="s">
        <v>381</v>
      </c>
      <c r="E400" s="10" t="s">
        <v>541</v>
      </c>
      <c r="F400" s="10" t="s">
        <v>19</v>
      </c>
      <c r="G400" s="10" t="s">
        <v>20</v>
      </c>
      <c r="H400" s="10" t="s">
        <v>21</v>
      </c>
      <c r="I400" s="10" t="s">
        <v>22</v>
      </c>
      <c r="J400" s="10" t="s">
        <v>38</v>
      </c>
      <c r="K400" s="10" t="s">
        <v>62</v>
      </c>
      <c r="L400" s="12">
        <v>13600</v>
      </c>
      <c r="M400" s="10">
        <v>2</v>
      </c>
      <c r="N400" s="13">
        <v>0.2</v>
      </c>
      <c r="O400" s="14">
        <v>2689.29</v>
      </c>
      <c r="P400" s="10" t="s">
        <v>48</v>
      </c>
    </row>
    <row r="401" spans="1:16">
      <c r="A401" s="10" t="s">
        <v>877</v>
      </c>
      <c r="B401" s="11">
        <v>45588</v>
      </c>
      <c r="C401" s="11">
        <v>46346</v>
      </c>
      <c r="D401" s="10" t="s">
        <v>146</v>
      </c>
      <c r="E401" s="10" t="s">
        <v>578</v>
      </c>
      <c r="F401" s="10" t="s">
        <v>19</v>
      </c>
      <c r="G401" s="10" t="s">
        <v>167</v>
      </c>
      <c r="H401" s="10" t="s">
        <v>168</v>
      </c>
      <c r="I401" s="10" t="s">
        <v>37</v>
      </c>
      <c r="J401" s="10" t="s">
        <v>23</v>
      </c>
      <c r="K401" s="10" t="s">
        <v>47</v>
      </c>
      <c r="L401" s="12">
        <v>5890</v>
      </c>
      <c r="M401" s="10">
        <v>2</v>
      </c>
      <c r="N401" s="13">
        <v>0.05</v>
      </c>
      <c r="O401" s="14">
        <v>1022.08</v>
      </c>
      <c r="P401" s="10" t="s">
        <v>48</v>
      </c>
    </row>
    <row r="402" spans="1:16">
      <c r="A402" s="10" t="s">
        <v>878</v>
      </c>
      <c r="B402" s="11">
        <v>45777</v>
      </c>
      <c r="C402" s="11">
        <v>46347</v>
      </c>
      <c r="D402" s="10" t="s">
        <v>384</v>
      </c>
      <c r="E402" s="10" t="s">
        <v>150</v>
      </c>
      <c r="F402" s="10" t="s">
        <v>19</v>
      </c>
      <c r="G402" s="10" t="s">
        <v>151</v>
      </c>
      <c r="H402" s="10" t="s">
        <v>151</v>
      </c>
      <c r="I402" s="10" t="s">
        <v>75</v>
      </c>
      <c r="J402" s="10" t="s">
        <v>30</v>
      </c>
      <c r="K402" s="10" t="s">
        <v>31</v>
      </c>
      <c r="L402" s="12">
        <v>714</v>
      </c>
      <c r="M402" s="10">
        <v>7</v>
      </c>
      <c r="N402" s="13">
        <v>0.15</v>
      </c>
      <c r="O402" s="14">
        <v>200.5</v>
      </c>
      <c r="P402" s="10" t="s">
        <v>69</v>
      </c>
    </row>
    <row r="403" spans="1:16">
      <c r="A403" s="10" t="s">
        <v>879</v>
      </c>
      <c r="B403" s="11">
        <v>46272</v>
      </c>
      <c r="C403" s="11">
        <v>46348</v>
      </c>
      <c r="D403" s="10" t="s">
        <v>661</v>
      </c>
      <c r="E403" s="10" t="s">
        <v>72</v>
      </c>
      <c r="F403" s="10" t="s">
        <v>29</v>
      </c>
      <c r="G403" s="10" t="s">
        <v>151</v>
      </c>
      <c r="H403" s="10" t="s">
        <v>151</v>
      </c>
      <c r="I403" s="10" t="s">
        <v>75</v>
      </c>
      <c r="J403" s="10" t="s">
        <v>30</v>
      </c>
      <c r="K403" s="10" t="s">
        <v>261</v>
      </c>
      <c r="L403" s="12">
        <v>180</v>
      </c>
      <c r="M403" s="10">
        <v>1</v>
      </c>
      <c r="N403" s="13">
        <v>0</v>
      </c>
      <c r="O403" s="14">
        <v>41.6</v>
      </c>
      <c r="P403" s="10" t="s">
        <v>69</v>
      </c>
    </row>
    <row r="404" spans="1:16">
      <c r="A404" s="10" t="s">
        <v>880</v>
      </c>
      <c r="B404" s="11">
        <v>45507</v>
      </c>
      <c r="C404" s="11">
        <v>46349</v>
      </c>
      <c r="D404" s="10" t="s">
        <v>588</v>
      </c>
      <c r="E404" s="10" t="s">
        <v>881</v>
      </c>
      <c r="F404" s="10" t="s">
        <v>29</v>
      </c>
      <c r="G404" s="10" t="s">
        <v>60</v>
      </c>
      <c r="H404" s="10" t="s">
        <v>61</v>
      </c>
      <c r="I404" s="10" t="s">
        <v>37</v>
      </c>
      <c r="J404" s="10" t="s">
        <v>23</v>
      </c>
      <c r="K404" s="10" t="s">
        <v>24</v>
      </c>
      <c r="L404" s="12">
        <v>36400</v>
      </c>
      <c r="M404" s="10">
        <v>7</v>
      </c>
      <c r="N404" s="13">
        <v>0.2</v>
      </c>
      <c r="O404" s="14">
        <v>4681.79</v>
      </c>
      <c r="P404" s="10" t="s">
        <v>63</v>
      </c>
    </row>
    <row r="405" spans="1:16">
      <c r="A405" s="10" t="s">
        <v>882</v>
      </c>
      <c r="B405" s="11">
        <v>46146</v>
      </c>
      <c r="C405" s="11">
        <v>46350</v>
      </c>
      <c r="D405" s="10" t="s">
        <v>257</v>
      </c>
      <c r="E405" s="10" t="s">
        <v>883</v>
      </c>
      <c r="F405" s="10" t="s">
        <v>19</v>
      </c>
      <c r="G405" s="10" t="s">
        <v>111</v>
      </c>
      <c r="H405" s="10" t="s">
        <v>21</v>
      </c>
      <c r="I405" s="10" t="s">
        <v>22</v>
      </c>
      <c r="J405" s="10" t="s">
        <v>38</v>
      </c>
      <c r="K405" s="10" t="s">
        <v>39</v>
      </c>
      <c r="L405" s="12">
        <v>807.5</v>
      </c>
      <c r="M405" s="10">
        <v>1</v>
      </c>
      <c r="N405" s="13">
        <v>0.15</v>
      </c>
      <c r="O405" s="14">
        <v>191.84</v>
      </c>
      <c r="P405" s="10" t="s">
        <v>48</v>
      </c>
    </row>
    <row r="406" spans="1:16">
      <c r="A406" s="10" t="s">
        <v>884</v>
      </c>
      <c r="B406" s="11">
        <v>45548</v>
      </c>
      <c r="C406" s="11">
        <v>46351</v>
      </c>
      <c r="D406" s="10" t="s">
        <v>362</v>
      </c>
      <c r="E406" s="10" t="s">
        <v>650</v>
      </c>
      <c r="F406" s="10" t="s">
        <v>19</v>
      </c>
      <c r="G406" s="10" t="s">
        <v>111</v>
      </c>
      <c r="H406" s="10" t="s">
        <v>21</v>
      </c>
      <c r="I406" s="10" t="s">
        <v>22</v>
      </c>
      <c r="J406" s="10" t="s">
        <v>76</v>
      </c>
      <c r="K406" s="10" t="s">
        <v>229</v>
      </c>
      <c r="L406" s="12">
        <v>11400</v>
      </c>
      <c r="M406" s="10">
        <v>6</v>
      </c>
      <c r="N406" s="13">
        <v>0</v>
      </c>
      <c r="O406" s="14">
        <v>2342.2800000000002</v>
      </c>
      <c r="P406" s="10" t="s">
        <v>48</v>
      </c>
    </row>
    <row r="407" spans="1:16">
      <c r="A407" s="10" t="s">
        <v>885</v>
      </c>
      <c r="B407" s="11">
        <v>46213</v>
      </c>
      <c r="C407" s="11">
        <v>46352</v>
      </c>
      <c r="D407" s="10" t="s">
        <v>886</v>
      </c>
      <c r="E407" s="10" t="s">
        <v>887</v>
      </c>
      <c r="F407" s="10" t="s">
        <v>19</v>
      </c>
      <c r="G407" s="10" t="s">
        <v>67</v>
      </c>
      <c r="H407" s="10" t="s">
        <v>68</v>
      </c>
      <c r="I407" s="10" t="s">
        <v>22</v>
      </c>
      <c r="J407" s="10" t="s">
        <v>76</v>
      </c>
      <c r="K407" s="10" t="s">
        <v>77</v>
      </c>
      <c r="L407" s="12">
        <v>8160</v>
      </c>
      <c r="M407" s="10">
        <v>6</v>
      </c>
      <c r="N407" s="13">
        <v>0.15</v>
      </c>
      <c r="O407" s="14">
        <v>1518.17</v>
      </c>
      <c r="P407" s="10" t="s">
        <v>63</v>
      </c>
    </row>
    <row r="408" spans="1:16">
      <c r="A408" s="10" t="s">
        <v>888</v>
      </c>
      <c r="B408" s="11">
        <v>45665</v>
      </c>
      <c r="C408" s="11">
        <v>46353</v>
      </c>
      <c r="D408" s="10" t="s">
        <v>255</v>
      </c>
      <c r="E408" s="10" t="s">
        <v>228</v>
      </c>
      <c r="F408" s="10" t="s">
        <v>43</v>
      </c>
      <c r="G408" s="10" t="s">
        <v>67</v>
      </c>
      <c r="H408" s="10" t="s">
        <v>68</v>
      </c>
      <c r="I408" s="10" t="s">
        <v>22</v>
      </c>
      <c r="J408" s="10" t="s">
        <v>76</v>
      </c>
      <c r="K408" s="10" t="s">
        <v>131</v>
      </c>
      <c r="L408" s="12">
        <v>332.5</v>
      </c>
      <c r="M408" s="10">
        <v>1</v>
      </c>
      <c r="N408" s="13">
        <v>0.05</v>
      </c>
      <c r="O408" s="14">
        <v>102.57</v>
      </c>
      <c r="P408" s="10" t="s">
        <v>56</v>
      </c>
    </row>
    <row r="409" spans="1:16">
      <c r="A409" s="10" t="s">
        <v>889</v>
      </c>
      <c r="B409" s="11">
        <v>45987</v>
      </c>
      <c r="C409" s="11">
        <v>46354</v>
      </c>
      <c r="D409" s="10" t="s">
        <v>388</v>
      </c>
      <c r="E409" s="10" t="s">
        <v>18</v>
      </c>
      <c r="F409" s="10" t="s">
        <v>29</v>
      </c>
      <c r="G409" s="10" t="s">
        <v>67</v>
      </c>
      <c r="H409" s="10" t="s">
        <v>68</v>
      </c>
      <c r="I409" s="10" t="s">
        <v>22</v>
      </c>
      <c r="J409" s="10" t="s">
        <v>76</v>
      </c>
      <c r="K409" s="10" t="s">
        <v>77</v>
      </c>
      <c r="L409" s="12">
        <v>12160</v>
      </c>
      <c r="M409" s="10">
        <v>8</v>
      </c>
      <c r="N409" s="13">
        <v>0.05</v>
      </c>
      <c r="O409" s="14">
        <v>2080.1</v>
      </c>
      <c r="P409" s="10" t="s">
        <v>63</v>
      </c>
    </row>
    <row r="410" spans="1:16">
      <c r="A410" s="10" t="s">
        <v>890</v>
      </c>
      <c r="B410" s="11">
        <v>45375</v>
      </c>
      <c r="C410" s="11">
        <v>46355</v>
      </c>
      <c r="D410" s="10" t="s">
        <v>891</v>
      </c>
      <c r="E410" s="10" t="s">
        <v>892</v>
      </c>
      <c r="F410" s="10" t="s">
        <v>29</v>
      </c>
      <c r="G410" s="10" t="s">
        <v>179</v>
      </c>
      <c r="H410" s="10" t="s">
        <v>21</v>
      </c>
      <c r="I410" s="10" t="s">
        <v>22</v>
      </c>
      <c r="J410" s="10" t="s">
        <v>30</v>
      </c>
      <c r="K410" s="10" t="s">
        <v>93</v>
      </c>
      <c r="L410" s="12">
        <v>342</v>
      </c>
      <c r="M410" s="10">
        <v>4</v>
      </c>
      <c r="N410" s="13">
        <v>0.05</v>
      </c>
      <c r="O410" s="14">
        <v>62.17</v>
      </c>
      <c r="P410" s="10" t="s">
        <v>48</v>
      </c>
    </row>
    <row r="411" spans="1:16">
      <c r="A411" s="10" t="s">
        <v>893</v>
      </c>
      <c r="B411" s="11">
        <v>46161</v>
      </c>
      <c r="C411" s="11">
        <v>46356</v>
      </c>
      <c r="D411" s="10" t="s">
        <v>894</v>
      </c>
      <c r="E411" s="10" t="s">
        <v>495</v>
      </c>
      <c r="F411" s="10" t="s">
        <v>19</v>
      </c>
      <c r="G411" s="10" t="s">
        <v>167</v>
      </c>
      <c r="H411" s="10" t="s">
        <v>168</v>
      </c>
      <c r="I411" s="10" t="s">
        <v>37</v>
      </c>
      <c r="J411" s="10" t="s">
        <v>38</v>
      </c>
      <c r="K411" s="10" t="s">
        <v>62</v>
      </c>
      <c r="L411" s="12">
        <v>50575</v>
      </c>
      <c r="M411" s="10">
        <v>7</v>
      </c>
      <c r="N411" s="13">
        <v>0.15</v>
      </c>
      <c r="O411" s="14">
        <v>15282.87</v>
      </c>
      <c r="P411" s="10" t="s">
        <v>63</v>
      </c>
    </row>
    <row r="412" spans="1:16">
      <c r="A412" s="10" t="s">
        <v>895</v>
      </c>
      <c r="B412" s="11">
        <v>45775</v>
      </c>
      <c r="C412" s="11">
        <v>46357</v>
      </c>
      <c r="D412" s="10" t="s">
        <v>401</v>
      </c>
      <c r="E412" s="10" t="s">
        <v>758</v>
      </c>
      <c r="F412" s="10" t="s">
        <v>43</v>
      </c>
      <c r="G412" s="10" t="s">
        <v>35</v>
      </c>
      <c r="H412" s="10" t="s">
        <v>36</v>
      </c>
      <c r="I412" s="10" t="s">
        <v>37</v>
      </c>
      <c r="J412" s="10" t="s">
        <v>30</v>
      </c>
      <c r="K412" s="10" t="s">
        <v>173</v>
      </c>
      <c r="L412" s="12">
        <v>2240</v>
      </c>
      <c r="M412" s="10">
        <v>7</v>
      </c>
      <c r="N412" s="13">
        <v>0</v>
      </c>
      <c r="O412" s="14">
        <v>332.03</v>
      </c>
      <c r="P412" s="10" t="s">
        <v>63</v>
      </c>
    </row>
    <row r="413" spans="1:16">
      <c r="A413" s="10" t="s">
        <v>896</v>
      </c>
      <c r="B413" s="11">
        <v>45814</v>
      </c>
      <c r="C413" s="11">
        <v>46358</v>
      </c>
      <c r="D413" s="10" t="s">
        <v>897</v>
      </c>
      <c r="E413" s="10" t="s">
        <v>328</v>
      </c>
      <c r="F413" s="10" t="s">
        <v>29</v>
      </c>
      <c r="G413" s="10" t="s">
        <v>81</v>
      </c>
      <c r="H413" s="10" t="s">
        <v>68</v>
      </c>
      <c r="I413" s="10" t="s">
        <v>22</v>
      </c>
      <c r="J413" s="10" t="s">
        <v>23</v>
      </c>
      <c r="K413" s="10" t="s">
        <v>47</v>
      </c>
      <c r="L413" s="12">
        <v>2480</v>
      </c>
      <c r="M413" s="10">
        <v>1</v>
      </c>
      <c r="N413" s="13">
        <v>0.2</v>
      </c>
      <c r="O413" s="14">
        <v>713.97</v>
      </c>
      <c r="P413" s="10" t="s">
        <v>63</v>
      </c>
    </row>
    <row r="414" spans="1:16">
      <c r="A414" s="10" t="s">
        <v>898</v>
      </c>
      <c r="B414" s="11">
        <v>45435</v>
      </c>
      <c r="C414" s="11">
        <v>46359</v>
      </c>
      <c r="D414" s="10" t="s">
        <v>190</v>
      </c>
      <c r="E414" s="10" t="s">
        <v>784</v>
      </c>
      <c r="F414" s="10" t="s">
        <v>29</v>
      </c>
      <c r="G414" s="10" t="s">
        <v>97</v>
      </c>
      <c r="H414" s="10" t="s">
        <v>21</v>
      </c>
      <c r="I414" s="10" t="s">
        <v>22</v>
      </c>
      <c r="J414" s="10" t="s">
        <v>30</v>
      </c>
      <c r="K414" s="10" t="s">
        <v>93</v>
      </c>
      <c r="L414" s="12">
        <v>216</v>
      </c>
      <c r="M414" s="10">
        <v>3</v>
      </c>
      <c r="N414" s="13">
        <v>0.2</v>
      </c>
      <c r="O414" s="14">
        <v>34.49</v>
      </c>
      <c r="P414" s="10" t="s">
        <v>25</v>
      </c>
    </row>
    <row r="415" spans="1:16">
      <c r="A415" s="10" t="s">
        <v>899</v>
      </c>
      <c r="B415" s="11">
        <v>45529</v>
      </c>
      <c r="C415" s="11">
        <v>46360</v>
      </c>
      <c r="D415" s="10" t="s">
        <v>577</v>
      </c>
      <c r="E415" s="10" t="s">
        <v>469</v>
      </c>
      <c r="F415" s="10" t="s">
        <v>43</v>
      </c>
      <c r="G415" s="10" t="s">
        <v>179</v>
      </c>
      <c r="H415" s="10" t="s">
        <v>21</v>
      </c>
      <c r="I415" s="10" t="s">
        <v>22</v>
      </c>
      <c r="J415" s="10" t="s">
        <v>23</v>
      </c>
      <c r="K415" s="10" t="s">
        <v>24</v>
      </c>
      <c r="L415" s="12">
        <v>5200</v>
      </c>
      <c r="M415" s="10">
        <v>1</v>
      </c>
      <c r="N415" s="13">
        <v>0.2</v>
      </c>
      <c r="O415" s="14">
        <v>1540.44</v>
      </c>
      <c r="P415" s="10" t="s">
        <v>25</v>
      </c>
    </row>
    <row r="416" spans="1:16">
      <c r="A416" s="10" t="s">
        <v>900</v>
      </c>
      <c r="B416" s="11">
        <v>46194</v>
      </c>
      <c r="C416" s="11">
        <v>46361</v>
      </c>
      <c r="D416" s="10" t="s">
        <v>457</v>
      </c>
      <c r="E416" s="10" t="s">
        <v>887</v>
      </c>
      <c r="F416" s="10" t="s">
        <v>43</v>
      </c>
      <c r="G416" s="10" t="s">
        <v>135</v>
      </c>
      <c r="H416" s="10" t="s">
        <v>21</v>
      </c>
      <c r="I416" s="10" t="s">
        <v>22</v>
      </c>
      <c r="J416" s="10" t="s">
        <v>23</v>
      </c>
      <c r="K416" s="10" t="s">
        <v>120</v>
      </c>
      <c r="L416" s="12">
        <v>16800</v>
      </c>
      <c r="M416" s="10">
        <v>5</v>
      </c>
      <c r="N416" s="13">
        <v>0.2</v>
      </c>
      <c r="O416" s="14">
        <v>4729.84</v>
      </c>
      <c r="P416" s="10" t="s">
        <v>25</v>
      </c>
    </row>
    <row r="417" spans="1:16">
      <c r="A417" s="10" t="s">
        <v>901</v>
      </c>
      <c r="B417" s="11">
        <v>45666</v>
      </c>
      <c r="C417" s="11">
        <v>46362</v>
      </c>
      <c r="D417" s="10" t="s">
        <v>279</v>
      </c>
      <c r="E417" s="10" t="s">
        <v>727</v>
      </c>
      <c r="F417" s="10" t="s">
        <v>43</v>
      </c>
      <c r="G417" s="10" t="s">
        <v>167</v>
      </c>
      <c r="H417" s="10" t="s">
        <v>168</v>
      </c>
      <c r="I417" s="10" t="s">
        <v>37</v>
      </c>
      <c r="J417" s="10" t="s">
        <v>38</v>
      </c>
      <c r="K417" s="10" t="s">
        <v>62</v>
      </c>
      <c r="L417" s="12">
        <v>38250</v>
      </c>
      <c r="M417" s="10">
        <v>5</v>
      </c>
      <c r="N417" s="13">
        <v>0.1</v>
      </c>
      <c r="O417" s="14">
        <v>4288.01</v>
      </c>
      <c r="P417" s="10" t="s">
        <v>69</v>
      </c>
    </row>
    <row r="418" spans="1:16">
      <c r="A418" s="10" t="s">
        <v>902</v>
      </c>
      <c r="B418" s="11">
        <v>45790</v>
      </c>
      <c r="C418" s="11">
        <v>46363</v>
      </c>
      <c r="D418" s="10" t="s">
        <v>729</v>
      </c>
      <c r="E418" s="10" t="s">
        <v>903</v>
      </c>
      <c r="F418" s="10" t="s">
        <v>43</v>
      </c>
      <c r="G418" s="10" t="s">
        <v>73</v>
      </c>
      <c r="H418" s="10" t="s">
        <v>74</v>
      </c>
      <c r="I418" s="10" t="s">
        <v>75</v>
      </c>
      <c r="J418" s="10" t="s">
        <v>38</v>
      </c>
      <c r="K418" s="10" t="s">
        <v>62</v>
      </c>
      <c r="L418" s="12">
        <v>22950</v>
      </c>
      <c r="M418" s="10">
        <v>3</v>
      </c>
      <c r="N418" s="13">
        <v>0.1</v>
      </c>
      <c r="O418" s="14">
        <v>7388.58</v>
      </c>
      <c r="P418" s="10" t="s">
        <v>56</v>
      </c>
    </row>
    <row r="419" spans="1:16">
      <c r="A419" s="10" t="s">
        <v>904</v>
      </c>
      <c r="B419" s="11">
        <v>45445</v>
      </c>
      <c r="C419" s="11">
        <v>46364</v>
      </c>
      <c r="D419" s="10" t="s">
        <v>171</v>
      </c>
      <c r="E419" s="10" t="s">
        <v>905</v>
      </c>
      <c r="F419" s="10" t="s">
        <v>29</v>
      </c>
      <c r="G419" s="10" t="s">
        <v>97</v>
      </c>
      <c r="H419" s="10" t="s">
        <v>21</v>
      </c>
      <c r="I419" s="10" t="s">
        <v>22</v>
      </c>
      <c r="J419" s="10" t="s">
        <v>23</v>
      </c>
      <c r="K419" s="10" t="s">
        <v>47</v>
      </c>
      <c r="L419" s="12">
        <v>4960</v>
      </c>
      <c r="M419" s="10">
        <v>2</v>
      </c>
      <c r="N419" s="13">
        <v>0.2</v>
      </c>
      <c r="O419" s="14">
        <v>1438.95</v>
      </c>
      <c r="P419" s="10" t="s">
        <v>25</v>
      </c>
    </row>
    <row r="420" spans="1:16">
      <c r="A420" s="10" t="s">
        <v>906</v>
      </c>
      <c r="B420" s="11">
        <v>45983</v>
      </c>
      <c r="C420" s="11">
        <v>46365</v>
      </c>
      <c r="D420" s="10" t="s">
        <v>795</v>
      </c>
      <c r="E420" s="10" t="s">
        <v>907</v>
      </c>
      <c r="F420" s="10" t="s">
        <v>29</v>
      </c>
      <c r="G420" s="10" t="s">
        <v>73</v>
      </c>
      <c r="H420" s="10" t="s">
        <v>74</v>
      </c>
      <c r="I420" s="10" t="s">
        <v>75</v>
      </c>
      <c r="J420" s="10" t="s">
        <v>30</v>
      </c>
      <c r="K420" s="10" t="s">
        <v>93</v>
      </c>
      <c r="L420" s="12">
        <v>216</v>
      </c>
      <c r="M420" s="10">
        <v>3</v>
      </c>
      <c r="N420" s="13">
        <v>0.2</v>
      </c>
      <c r="O420" s="14">
        <v>28.8</v>
      </c>
      <c r="P420" s="10" t="s">
        <v>63</v>
      </c>
    </row>
    <row r="421" spans="1:16">
      <c r="A421" s="10" t="s">
        <v>908</v>
      </c>
      <c r="B421" s="11">
        <v>45898</v>
      </c>
      <c r="C421" s="11">
        <v>46366</v>
      </c>
      <c r="D421" s="10" t="s">
        <v>165</v>
      </c>
      <c r="E421" s="10" t="s">
        <v>909</v>
      </c>
      <c r="F421" s="10" t="s">
        <v>43</v>
      </c>
      <c r="G421" s="10" t="s">
        <v>97</v>
      </c>
      <c r="H421" s="10" t="s">
        <v>21</v>
      </c>
      <c r="I421" s="10" t="s">
        <v>22</v>
      </c>
      <c r="J421" s="10" t="s">
        <v>38</v>
      </c>
      <c r="K421" s="10" t="s">
        <v>62</v>
      </c>
      <c r="L421" s="12">
        <v>25500</v>
      </c>
      <c r="M421" s="10">
        <v>3</v>
      </c>
      <c r="N421" s="13">
        <v>0</v>
      </c>
      <c r="O421" s="14">
        <v>8587.16</v>
      </c>
      <c r="P421" s="10" t="s">
        <v>63</v>
      </c>
    </row>
    <row r="422" spans="1:16">
      <c r="A422" s="10" t="s">
        <v>910</v>
      </c>
      <c r="B422" s="11">
        <v>46284</v>
      </c>
      <c r="C422" s="11">
        <v>46367</v>
      </c>
      <c r="D422" s="10" t="s">
        <v>574</v>
      </c>
      <c r="E422" s="10" t="s">
        <v>911</v>
      </c>
      <c r="F422" s="10" t="s">
        <v>29</v>
      </c>
      <c r="G422" s="10" t="s">
        <v>167</v>
      </c>
      <c r="H422" s="10" t="s">
        <v>168</v>
      </c>
      <c r="I422" s="10" t="s">
        <v>37</v>
      </c>
      <c r="J422" s="10" t="s">
        <v>38</v>
      </c>
      <c r="K422" s="10" t="s">
        <v>169</v>
      </c>
      <c r="L422" s="12">
        <v>2900</v>
      </c>
      <c r="M422" s="10">
        <v>2</v>
      </c>
      <c r="N422" s="13">
        <v>0</v>
      </c>
      <c r="O422" s="14">
        <v>763.3</v>
      </c>
      <c r="P422" s="10" t="s">
        <v>25</v>
      </c>
    </row>
    <row r="423" spans="1:16">
      <c r="A423" s="10" t="s">
        <v>912</v>
      </c>
      <c r="B423" s="11">
        <v>45907</v>
      </c>
      <c r="C423" s="11">
        <v>46368</v>
      </c>
      <c r="D423" s="10" t="s">
        <v>913</v>
      </c>
      <c r="E423" s="10" t="s">
        <v>656</v>
      </c>
      <c r="F423" s="10" t="s">
        <v>19</v>
      </c>
      <c r="G423" s="10" t="s">
        <v>35</v>
      </c>
      <c r="H423" s="10" t="s">
        <v>36</v>
      </c>
      <c r="I423" s="10" t="s">
        <v>37</v>
      </c>
      <c r="J423" s="10" t="s">
        <v>30</v>
      </c>
      <c r="K423" s="10" t="s">
        <v>93</v>
      </c>
      <c r="L423" s="12">
        <v>450</v>
      </c>
      <c r="M423" s="10">
        <v>5</v>
      </c>
      <c r="N423" s="13">
        <v>0</v>
      </c>
      <c r="O423" s="14">
        <v>86.27</v>
      </c>
      <c r="P423" s="10" t="s">
        <v>48</v>
      </c>
    </row>
    <row r="424" spans="1:16">
      <c r="A424" s="10" t="s">
        <v>914</v>
      </c>
      <c r="B424" s="11">
        <v>45527</v>
      </c>
      <c r="C424" s="11">
        <v>46369</v>
      </c>
      <c r="D424" s="10" t="s">
        <v>577</v>
      </c>
      <c r="E424" s="10" t="s">
        <v>903</v>
      </c>
      <c r="F424" s="10" t="s">
        <v>43</v>
      </c>
      <c r="G424" s="10" t="s">
        <v>81</v>
      </c>
      <c r="H424" s="10" t="s">
        <v>68</v>
      </c>
      <c r="I424" s="10" t="s">
        <v>22</v>
      </c>
      <c r="J424" s="10" t="s">
        <v>30</v>
      </c>
      <c r="K424" s="10" t="s">
        <v>261</v>
      </c>
      <c r="L424" s="12">
        <v>180</v>
      </c>
      <c r="M424" s="10">
        <v>1</v>
      </c>
      <c r="N424" s="13">
        <v>0</v>
      </c>
      <c r="O424" s="14">
        <v>43.94</v>
      </c>
      <c r="P424" s="10" t="s">
        <v>56</v>
      </c>
    </row>
    <row r="425" spans="1:16">
      <c r="A425" s="10" t="s">
        <v>915</v>
      </c>
      <c r="B425" s="11">
        <v>45912</v>
      </c>
      <c r="C425" s="11">
        <v>46370</v>
      </c>
      <c r="D425" s="10" t="s">
        <v>300</v>
      </c>
      <c r="E425" s="10" t="s">
        <v>492</v>
      </c>
      <c r="F425" s="10" t="s">
        <v>19</v>
      </c>
      <c r="G425" s="10" t="s">
        <v>97</v>
      </c>
      <c r="H425" s="10" t="s">
        <v>21</v>
      </c>
      <c r="I425" s="10" t="s">
        <v>22</v>
      </c>
      <c r="J425" s="10" t="s">
        <v>76</v>
      </c>
      <c r="K425" s="10" t="s">
        <v>85</v>
      </c>
      <c r="L425" s="12">
        <v>187</v>
      </c>
      <c r="M425" s="10">
        <v>1</v>
      </c>
      <c r="N425" s="13">
        <v>0.15</v>
      </c>
      <c r="O425" s="14">
        <v>42.38</v>
      </c>
      <c r="P425" s="10" t="s">
        <v>56</v>
      </c>
    </row>
    <row r="426" spans="1:16">
      <c r="A426" s="10" t="s">
        <v>916</v>
      </c>
      <c r="B426" s="11">
        <v>46215</v>
      </c>
      <c r="C426" s="11">
        <v>46371</v>
      </c>
      <c r="D426" s="10" t="s">
        <v>917</v>
      </c>
      <c r="E426" s="10" t="s">
        <v>727</v>
      </c>
      <c r="F426" s="10" t="s">
        <v>29</v>
      </c>
      <c r="G426" s="10" t="s">
        <v>151</v>
      </c>
      <c r="H426" s="10" t="s">
        <v>151</v>
      </c>
      <c r="I426" s="10" t="s">
        <v>75</v>
      </c>
      <c r="J426" s="10" t="s">
        <v>38</v>
      </c>
      <c r="K426" s="10" t="s">
        <v>55</v>
      </c>
      <c r="L426" s="12">
        <v>3657.5</v>
      </c>
      <c r="M426" s="10">
        <v>7</v>
      </c>
      <c r="N426" s="13">
        <v>0.05</v>
      </c>
      <c r="O426" s="14">
        <v>530.5</v>
      </c>
      <c r="P426" s="10" t="s">
        <v>25</v>
      </c>
    </row>
    <row r="427" spans="1:16">
      <c r="A427" s="10" t="s">
        <v>918</v>
      </c>
      <c r="B427" s="11">
        <v>46100</v>
      </c>
      <c r="C427" s="11">
        <v>46372</v>
      </c>
      <c r="D427" s="10" t="s">
        <v>919</v>
      </c>
      <c r="E427" s="10" t="s">
        <v>867</v>
      </c>
      <c r="F427" s="10" t="s">
        <v>29</v>
      </c>
      <c r="G427" s="10" t="s">
        <v>81</v>
      </c>
      <c r="H427" s="10" t="s">
        <v>68</v>
      </c>
      <c r="I427" s="10" t="s">
        <v>22</v>
      </c>
      <c r="J427" s="10" t="s">
        <v>23</v>
      </c>
      <c r="K427" s="10" t="s">
        <v>47</v>
      </c>
      <c r="L427" s="12">
        <v>5580</v>
      </c>
      <c r="M427" s="10">
        <v>2</v>
      </c>
      <c r="N427" s="13">
        <v>0.1</v>
      </c>
      <c r="O427" s="14">
        <v>1842.46</v>
      </c>
      <c r="P427" s="10" t="s">
        <v>69</v>
      </c>
    </row>
    <row r="428" spans="1:16">
      <c r="A428" s="10" t="s">
        <v>920</v>
      </c>
      <c r="B428" s="11">
        <v>45904</v>
      </c>
      <c r="C428" s="11">
        <v>46373</v>
      </c>
      <c r="D428" s="10" t="s">
        <v>921</v>
      </c>
      <c r="E428" s="10" t="s">
        <v>378</v>
      </c>
      <c r="F428" s="10" t="s">
        <v>29</v>
      </c>
      <c r="G428" s="10" t="s">
        <v>81</v>
      </c>
      <c r="H428" s="10" t="s">
        <v>68</v>
      </c>
      <c r="I428" s="10" t="s">
        <v>22</v>
      </c>
      <c r="J428" s="10" t="s">
        <v>23</v>
      </c>
      <c r="K428" s="10" t="s">
        <v>24</v>
      </c>
      <c r="L428" s="12">
        <v>5200</v>
      </c>
      <c r="M428" s="10">
        <v>1</v>
      </c>
      <c r="N428" s="13">
        <v>0.2</v>
      </c>
      <c r="O428" s="14">
        <v>814.59</v>
      </c>
      <c r="P428" s="10" t="s">
        <v>63</v>
      </c>
    </row>
    <row r="429" spans="1:16">
      <c r="A429" s="10" t="s">
        <v>922</v>
      </c>
      <c r="B429" s="11">
        <v>45299</v>
      </c>
      <c r="C429" s="11">
        <v>46374</v>
      </c>
      <c r="D429" s="10" t="s">
        <v>454</v>
      </c>
      <c r="E429" s="10" t="s">
        <v>923</v>
      </c>
      <c r="F429" s="10" t="s">
        <v>43</v>
      </c>
      <c r="G429" s="10" t="s">
        <v>167</v>
      </c>
      <c r="H429" s="10" t="s">
        <v>168</v>
      </c>
      <c r="I429" s="10" t="s">
        <v>37</v>
      </c>
      <c r="J429" s="10" t="s">
        <v>30</v>
      </c>
      <c r="K429" s="10" t="s">
        <v>173</v>
      </c>
      <c r="L429" s="12">
        <v>2128</v>
      </c>
      <c r="M429" s="10">
        <v>7</v>
      </c>
      <c r="N429" s="13">
        <v>0.05</v>
      </c>
      <c r="O429" s="14">
        <v>733.71</v>
      </c>
      <c r="P429" s="10" t="s">
        <v>63</v>
      </c>
    </row>
    <row r="430" spans="1:16">
      <c r="A430" s="10" t="s">
        <v>924</v>
      </c>
      <c r="B430" s="11">
        <v>45725</v>
      </c>
      <c r="C430" s="11">
        <v>46375</v>
      </c>
      <c r="D430" s="10" t="s">
        <v>925</v>
      </c>
      <c r="E430" s="10" t="s">
        <v>911</v>
      </c>
      <c r="F430" s="10" t="s">
        <v>43</v>
      </c>
      <c r="G430" s="10" t="s">
        <v>67</v>
      </c>
      <c r="H430" s="10" t="s">
        <v>68</v>
      </c>
      <c r="I430" s="10" t="s">
        <v>22</v>
      </c>
      <c r="J430" s="10" t="s">
        <v>23</v>
      </c>
      <c r="K430" s="10" t="s">
        <v>293</v>
      </c>
      <c r="L430" s="12">
        <v>2700</v>
      </c>
      <c r="M430" s="10">
        <v>4</v>
      </c>
      <c r="N430" s="13">
        <v>0.1</v>
      </c>
      <c r="O430" s="14">
        <v>597.91999999999996</v>
      </c>
      <c r="P430" s="10" t="s">
        <v>63</v>
      </c>
    </row>
    <row r="431" spans="1:16">
      <c r="A431" s="10" t="s">
        <v>926</v>
      </c>
      <c r="B431" s="11">
        <v>45860</v>
      </c>
      <c r="C431" s="11">
        <v>46376</v>
      </c>
      <c r="D431" s="10" t="s">
        <v>543</v>
      </c>
      <c r="E431" s="10" t="s">
        <v>927</v>
      </c>
      <c r="F431" s="10" t="s">
        <v>29</v>
      </c>
      <c r="G431" s="10" t="s">
        <v>179</v>
      </c>
      <c r="H431" s="10" t="s">
        <v>21</v>
      </c>
      <c r="I431" s="10" t="s">
        <v>22</v>
      </c>
      <c r="J431" s="10" t="s">
        <v>23</v>
      </c>
      <c r="K431" s="10" t="s">
        <v>47</v>
      </c>
      <c r="L431" s="12">
        <v>14880</v>
      </c>
      <c r="M431" s="10">
        <v>6</v>
      </c>
      <c r="N431" s="13">
        <v>0.2</v>
      </c>
      <c r="O431" s="14">
        <v>3667.72</v>
      </c>
      <c r="P431" s="10" t="s">
        <v>25</v>
      </c>
    </row>
    <row r="432" spans="1:16">
      <c r="A432" s="10" t="s">
        <v>928</v>
      </c>
      <c r="B432" s="11">
        <v>46093</v>
      </c>
      <c r="C432" s="11">
        <v>46377</v>
      </c>
      <c r="D432" s="10" t="s">
        <v>522</v>
      </c>
      <c r="E432" s="10" t="s">
        <v>929</v>
      </c>
      <c r="F432" s="10" t="s">
        <v>43</v>
      </c>
      <c r="G432" s="10" t="s">
        <v>97</v>
      </c>
      <c r="H432" s="10" t="s">
        <v>21</v>
      </c>
      <c r="I432" s="10" t="s">
        <v>22</v>
      </c>
      <c r="J432" s="10" t="s">
        <v>38</v>
      </c>
      <c r="K432" s="10" t="s">
        <v>39</v>
      </c>
      <c r="L432" s="12">
        <v>6317.5</v>
      </c>
      <c r="M432" s="10">
        <v>7</v>
      </c>
      <c r="N432" s="13">
        <v>0.05</v>
      </c>
      <c r="O432" s="14">
        <v>1037.83</v>
      </c>
      <c r="P432" s="10" t="s">
        <v>48</v>
      </c>
    </row>
    <row r="433" spans="1:16">
      <c r="A433" s="10" t="s">
        <v>930</v>
      </c>
      <c r="B433" s="11">
        <v>46115</v>
      </c>
      <c r="C433" s="11">
        <v>46378</v>
      </c>
      <c r="D433" s="10" t="s">
        <v>255</v>
      </c>
      <c r="E433" s="10" t="s">
        <v>565</v>
      </c>
      <c r="F433" s="10" t="s">
        <v>19</v>
      </c>
      <c r="G433" s="10" t="s">
        <v>44</v>
      </c>
      <c r="H433" s="10" t="s">
        <v>45</v>
      </c>
      <c r="I433" s="10" t="s">
        <v>46</v>
      </c>
      <c r="J433" s="10" t="s">
        <v>30</v>
      </c>
      <c r="K433" s="10" t="s">
        <v>127</v>
      </c>
      <c r="L433" s="12">
        <v>1050</v>
      </c>
      <c r="M433" s="10">
        <v>7</v>
      </c>
      <c r="N433" s="13">
        <v>0</v>
      </c>
      <c r="O433" s="14">
        <v>381.51</v>
      </c>
      <c r="P433" s="10" t="s">
        <v>48</v>
      </c>
    </row>
    <row r="434" spans="1:16">
      <c r="A434" s="10" t="s">
        <v>931</v>
      </c>
      <c r="B434" s="11">
        <v>46033</v>
      </c>
      <c r="C434" s="11">
        <v>46379</v>
      </c>
      <c r="D434" s="10" t="s">
        <v>129</v>
      </c>
      <c r="E434" s="10" t="s">
        <v>932</v>
      </c>
      <c r="F434" s="10" t="s">
        <v>43</v>
      </c>
      <c r="G434" s="10" t="s">
        <v>101</v>
      </c>
      <c r="H434" s="10" t="s">
        <v>102</v>
      </c>
      <c r="I434" s="10" t="s">
        <v>103</v>
      </c>
      <c r="J434" s="10" t="s">
        <v>76</v>
      </c>
      <c r="K434" s="10" t="s">
        <v>85</v>
      </c>
      <c r="L434" s="12">
        <v>880</v>
      </c>
      <c r="M434" s="10">
        <v>5</v>
      </c>
      <c r="N434" s="13">
        <v>0.2</v>
      </c>
      <c r="O434" s="14">
        <v>87.54</v>
      </c>
      <c r="P434" s="10" t="s">
        <v>25</v>
      </c>
    </row>
    <row r="435" spans="1:16">
      <c r="A435" s="10" t="s">
        <v>933</v>
      </c>
      <c r="B435" s="11">
        <v>45302</v>
      </c>
      <c r="C435" s="11">
        <v>46380</v>
      </c>
      <c r="D435" s="10" t="s">
        <v>917</v>
      </c>
      <c r="E435" s="10" t="s">
        <v>138</v>
      </c>
      <c r="F435" s="10" t="s">
        <v>29</v>
      </c>
      <c r="G435" s="10" t="s">
        <v>44</v>
      </c>
      <c r="H435" s="10" t="s">
        <v>45</v>
      </c>
      <c r="I435" s="10" t="s">
        <v>46</v>
      </c>
      <c r="J435" s="10" t="s">
        <v>23</v>
      </c>
      <c r="K435" s="10" t="s">
        <v>24</v>
      </c>
      <c r="L435" s="12">
        <v>5525</v>
      </c>
      <c r="M435" s="10">
        <v>1</v>
      </c>
      <c r="N435" s="13">
        <v>0.15</v>
      </c>
      <c r="O435" s="14">
        <v>1241.79</v>
      </c>
      <c r="P435" s="10" t="s">
        <v>48</v>
      </c>
    </row>
    <row r="436" spans="1:16">
      <c r="A436" s="10" t="s">
        <v>934</v>
      </c>
      <c r="B436" s="11">
        <v>45660</v>
      </c>
      <c r="C436" s="11">
        <v>46381</v>
      </c>
      <c r="D436" s="10" t="s">
        <v>411</v>
      </c>
      <c r="E436" s="10" t="s">
        <v>578</v>
      </c>
      <c r="F436" s="10" t="s">
        <v>19</v>
      </c>
      <c r="G436" s="10" t="s">
        <v>167</v>
      </c>
      <c r="H436" s="10" t="s">
        <v>168</v>
      </c>
      <c r="I436" s="10" t="s">
        <v>37</v>
      </c>
      <c r="J436" s="10" t="s">
        <v>38</v>
      </c>
      <c r="K436" s="10" t="s">
        <v>39</v>
      </c>
      <c r="L436" s="12">
        <v>1805</v>
      </c>
      <c r="M436" s="10">
        <v>2</v>
      </c>
      <c r="N436" s="13">
        <v>0.05</v>
      </c>
      <c r="O436" s="14">
        <v>306.45999999999998</v>
      </c>
      <c r="P436" s="10" t="s">
        <v>56</v>
      </c>
    </row>
    <row r="437" spans="1:16">
      <c r="A437" s="10" t="s">
        <v>935</v>
      </c>
      <c r="B437" s="11">
        <v>45822</v>
      </c>
      <c r="C437" s="11">
        <v>46382</v>
      </c>
      <c r="D437" s="10" t="s">
        <v>447</v>
      </c>
      <c r="E437" s="10" t="s">
        <v>314</v>
      </c>
      <c r="F437" s="10" t="s">
        <v>43</v>
      </c>
      <c r="G437" s="10" t="s">
        <v>60</v>
      </c>
      <c r="H437" s="10" t="s">
        <v>61</v>
      </c>
      <c r="I437" s="10" t="s">
        <v>37</v>
      </c>
      <c r="J437" s="10" t="s">
        <v>38</v>
      </c>
      <c r="K437" s="10" t="s">
        <v>104</v>
      </c>
      <c r="L437" s="12">
        <v>2600</v>
      </c>
      <c r="M437" s="10">
        <v>5</v>
      </c>
      <c r="N437" s="13">
        <v>0.2</v>
      </c>
      <c r="O437" s="14">
        <v>349.08</v>
      </c>
      <c r="P437" s="10" t="s">
        <v>69</v>
      </c>
    </row>
    <row r="438" spans="1:16">
      <c r="A438" s="10" t="s">
        <v>936</v>
      </c>
      <c r="B438" s="11">
        <v>45523</v>
      </c>
      <c r="C438" s="11">
        <v>46383</v>
      </c>
      <c r="D438" s="10" t="s">
        <v>306</v>
      </c>
      <c r="E438" s="10" t="s">
        <v>404</v>
      </c>
      <c r="F438" s="10" t="s">
        <v>29</v>
      </c>
      <c r="G438" s="10" t="s">
        <v>111</v>
      </c>
      <c r="H438" s="10" t="s">
        <v>21</v>
      </c>
      <c r="I438" s="10" t="s">
        <v>22</v>
      </c>
      <c r="J438" s="10" t="s">
        <v>76</v>
      </c>
      <c r="K438" s="10" t="s">
        <v>77</v>
      </c>
      <c r="L438" s="12">
        <v>1520</v>
      </c>
      <c r="M438" s="10">
        <v>1</v>
      </c>
      <c r="N438" s="13">
        <v>0.05</v>
      </c>
      <c r="O438" s="14">
        <v>497.03</v>
      </c>
      <c r="P438" s="10" t="s">
        <v>63</v>
      </c>
    </row>
    <row r="439" spans="1:16">
      <c r="A439" s="10" t="s">
        <v>937</v>
      </c>
      <c r="B439" s="11">
        <v>45593</v>
      </c>
      <c r="C439" s="11">
        <v>46384</v>
      </c>
      <c r="D439" s="10" t="s">
        <v>532</v>
      </c>
      <c r="E439" s="10" t="s">
        <v>114</v>
      </c>
      <c r="F439" s="10" t="s">
        <v>29</v>
      </c>
      <c r="G439" s="10" t="s">
        <v>20</v>
      </c>
      <c r="H439" s="10" t="s">
        <v>21</v>
      </c>
      <c r="I439" s="10" t="s">
        <v>22</v>
      </c>
      <c r="J439" s="10" t="s">
        <v>23</v>
      </c>
      <c r="K439" s="10" t="s">
        <v>47</v>
      </c>
      <c r="L439" s="12">
        <v>12400</v>
      </c>
      <c r="M439" s="10">
        <v>5</v>
      </c>
      <c r="N439" s="13">
        <v>0.2</v>
      </c>
      <c r="O439" s="14">
        <v>2912.51</v>
      </c>
      <c r="P439" s="10" t="s">
        <v>69</v>
      </c>
    </row>
    <row r="440" spans="1:16">
      <c r="A440" s="10" t="s">
        <v>938</v>
      </c>
      <c r="B440" s="11">
        <v>46276</v>
      </c>
      <c r="C440" s="11">
        <v>46385</v>
      </c>
      <c r="D440" s="10" t="s">
        <v>372</v>
      </c>
      <c r="E440" s="10" t="s">
        <v>191</v>
      </c>
      <c r="F440" s="10" t="s">
        <v>29</v>
      </c>
      <c r="G440" s="10" t="s">
        <v>73</v>
      </c>
      <c r="H440" s="10" t="s">
        <v>74</v>
      </c>
      <c r="I440" s="10" t="s">
        <v>75</v>
      </c>
      <c r="J440" s="10" t="s">
        <v>76</v>
      </c>
      <c r="K440" s="10" t="s">
        <v>85</v>
      </c>
      <c r="L440" s="12">
        <v>198</v>
      </c>
      <c r="M440" s="10">
        <v>1</v>
      </c>
      <c r="N440" s="13">
        <v>0.1</v>
      </c>
      <c r="O440" s="14">
        <v>66.28</v>
      </c>
      <c r="P440" s="10" t="s">
        <v>56</v>
      </c>
    </row>
    <row r="441" spans="1:16">
      <c r="A441" s="10" t="s">
        <v>939</v>
      </c>
      <c r="B441" s="11">
        <v>46111</v>
      </c>
      <c r="C441" s="11">
        <v>46386</v>
      </c>
      <c r="D441" s="10" t="s">
        <v>736</v>
      </c>
      <c r="E441" s="10" t="s">
        <v>725</v>
      </c>
      <c r="F441" s="10" t="s">
        <v>43</v>
      </c>
      <c r="G441" s="10" t="s">
        <v>81</v>
      </c>
      <c r="H441" s="10" t="s">
        <v>68</v>
      </c>
      <c r="I441" s="10" t="s">
        <v>22</v>
      </c>
      <c r="J441" s="10" t="s">
        <v>23</v>
      </c>
      <c r="K441" s="10" t="s">
        <v>47</v>
      </c>
      <c r="L441" s="12">
        <v>2480</v>
      </c>
      <c r="M441" s="10">
        <v>1</v>
      </c>
      <c r="N441" s="13">
        <v>0.2</v>
      </c>
      <c r="O441" s="14">
        <v>331.41</v>
      </c>
      <c r="P441" s="10" t="s">
        <v>69</v>
      </c>
    </row>
    <row r="442" spans="1:16">
      <c r="A442" s="10" t="s">
        <v>940</v>
      </c>
      <c r="B442" s="11">
        <v>45369</v>
      </c>
      <c r="C442" s="11">
        <v>46387</v>
      </c>
      <c r="D442" s="10" t="s">
        <v>113</v>
      </c>
      <c r="E442" s="10" t="s">
        <v>623</v>
      </c>
      <c r="F442" s="10" t="s">
        <v>19</v>
      </c>
      <c r="G442" s="10" t="s">
        <v>101</v>
      </c>
      <c r="H442" s="10" t="s">
        <v>102</v>
      </c>
      <c r="I442" s="10" t="s">
        <v>103</v>
      </c>
      <c r="J442" s="10" t="s">
        <v>30</v>
      </c>
      <c r="K442" s="10" t="s">
        <v>127</v>
      </c>
      <c r="L442" s="12">
        <v>855</v>
      </c>
      <c r="M442" s="10">
        <v>6</v>
      </c>
      <c r="N442" s="13">
        <v>0.05</v>
      </c>
      <c r="O442" s="14">
        <v>269.89999999999998</v>
      </c>
      <c r="P442" s="10" t="s">
        <v>56</v>
      </c>
    </row>
    <row r="443" spans="1:16">
      <c r="A443" s="10" t="s">
        <v>941</v>
      </c>
      <c r="B443" s="11">
        <v>45802</v>
      </c>
      <c r="C443" s="11">
        <v>46388</v>
      </c>
      <c r="D443" s="10" t="s">
        <v>431</v>
      </c>
      <c r="E443" s="10" t="s">
        <v>166</v>
      </c>
      <c r="F443" s="10" t="s">
        <v>19</v>
      </c>
      <c r="G443" s="10" t="s">
        <v>111</v>
      </c>
      <c r="H443" s="10" t="s">
        <v>21</v>
      </c>
      <c r="I443" s="10" t="s">
        <v>22</v>
      </c>
      <c r="J443" s="10" t="s">
        <v>30</v>
      </c>
      <c r="K443" s="10" t="s">
        <v>31</v>
      </c>
      <c r="L443" s="12">
        <v>600</v>
      </c>
      <c r="M443" s="10">
        <v>5</v>
      </c>
      <c r="N443" s="13">
        <v>0</v>
      </c>
      <c r="O443" s="14">
        <v>192.24</v>
      </c>
      <c r="P443" s="10" t="s">
        <v>69</v>
      </c>
    </row>
    <row r="444" spans="1:16">
      <c r="A444" s="10" t="s">
        <v>942</v>
      </c>
      <c r="B444" s="11">
        <v>45451</v>
      </c>
      <c r="C444" s="11">
        <v>46389</v>
      </c>
      <c r="D444" s="10" t="s">
        <v>360</v>
      </c>
      <c r="E444" s="10" t="s">
        <v>943</v>
      </c>
      <c r="F444" s="10" t="s">
        <v>43</v>
      </c>
      <c r="G444" s="10" t="s">
        <v>20</v>
      </c>
      <c r="H444" s="10" t="s">
        <v>21</v>
      </c>
      <c r="I444" s="10" t="s">
        <v>22</v>
      </c>
      <c r="J444" s="10" t="s">
        <v>38</v>
      </c>
      <c r="K444" s="10" t="s">
        <v>104</v>
      </c>
      <c r="L444" s="12">
        <v>4420</v>
      </c>
      <c r="M444" s="10">
        <v>8</v>
      </c>
      <c r="N444" s="13">
        <v>0.15</v>
      </c>
      <c r="O444" s="14">
        <v>1572.54</v>
      </c>
      <c r="P444" s="10" t="s">
        <v>69</v>
      </c>
    </row>
    <row r="445" spans="1:16">
      <c r="A445" s="10" t="s">
        <v>944</v>
      </c>
      <c r="B445" s="11">
        <v>45927</v>
      </c>
      <c r="C445" s="11">
        <v>46390</v>
      </c>
      <c r="D445" s="10" t="s">
        <v>255</v>
      </c>
      <c r="E445" s="10" t="s">
        <v>887</v>
      </c>
      <c r="F445" s="10" t="s">
        <v>29</v>
      </c>
      <c r="G445" s="10" t="s">
        <v>73</v>
      </c>
      <c r="H445" s="10" t="s">
        <v>74</v>
      </c>
      <c r="I445" s="10" t="s">
        <v>75</v>
      </c>
      <c r="J445" s="10" t="s">
        <v>23</v>
      </c>
      <c r="K445" s="10" t="s">
        <v>293</v>
      </c>
      <c r="L445" s="12">
        <v>1912.5</v>
      </c>
      <c r="M445" s="10">
        <v>3</v>
      </c>
      <c r="N445" s="13">
        <v>0.15</v>
      </c>
      <c r="O445" s="14">
        <v>544.36</v>
      </c>
      <c r="P445" s="10" t="s">
        <v>63</v>
      </c>
    </row>
    <row r="446" spans="1:16">
      <c r="A446" s="10" t="s">
        <v>945</v>
      </c>
      <c r="B446" s="11">
        <v>46110</v>
      </c>
      <c r="C446" s="11">
        <v>46391</v>
      </c>
      <c r="D446" s="10" t="s">
        <v>463</v>
      </c>
      <c r="E446" s="10" t="s">
        <v>844</v>
      </c>
      <c r="F446" s="10" t="s">
        <v>29</v>
      </c>
      <c r="G446" s="10" t="s">
        <v>73</v>
      </c>
      <c r="H446" s="10" t="s">
        <v>74</v>
      </c>
      <c r="I446" s="10" t="s">
        <v>75</v>
      </c>
      <c r="J446" s="10" t="s">
        <v>38</v>
      </c>
      <c r="K446" s="10" t="s">
        <v>62</v>
      </c>
      <c r="L446" s="12">
        <v>45900</v>
      </c>
      <c r="M446" s="10">
        <v>6</v>
      </c>
      <c r="N446" s="13">
        <v>0.1</v>
      </c>
      <c r="O446" s="14">
        <v>6485.48</v>
      </c>
      <c r="P446" s="10" t="s">
        <v>63</v>
      </c>
    </row>
    <row r="447" spans="1:16">
      <c r="A447" s="10" t="s">
        <v>946</v>
      </c>
      <c r="B447" s="11">
        <v>45763</v>
      </c>
      <c r="C447" s="11">
        <v>46392</v>
      </c>
      <c r="D447" s="10" t="s">
        <v>386</v>
      </c>
      <c r="E447" s="10" t="s">
        <v>477</v>
      </c>
      <c r="F447" s="10" t="s">
        <v>43</v>
      </c>
      <c r="G447" s="10" t="s">
        <v>60</v>
      </c>
      <c r="H447" s="10" t="s">
        <v>61</v>
      </c>
      <c r="I447" s="10" t="s">
        <v>37</v>
      </c>
      <c r="J447" s="10" t="s">
        <v>38</v>
      </c>
      <c r="K447" s="10" t="s">
        <v>104</v>
      </c>
      <c r="L447" s="12">
        <v>2340</v>
      </c>
      <c r="M447" s="10">
        <v>4</v>
      </c>
      <c r="N447" s="13">
        <v>0.1</v>
      </c>
      <c r="O447" s="14">
        <v>500.61</v>
      </c>
      <c r="P447" s="10" t="s">
        <v>56</v>
      </c>
    </row>
    <row r="448" spans="1:16">
      <c r="A448" s="10" t="s">
        <v>947</v>
      </c>
      <c r="B448" s="11">
        <v>45853</v>
      </c>
      <c r="C448" s="11">
        <v>46393</v>
      </c>
      <c r="D448" s="10" t="s">
        <v>948</v>
      </c>
      <c r="E448" s="10" t="s">
        <v>949</v>
      </c>
      <c r="F448" s="10" t="s">
        <v>19</v>
      </c>
      <c r="G448" s="10" t="s">
        <v>111</v>
      </c>
      <c r="H448" s="10" t="s">
        <v>21</v>
      </c>
      <c r="I448" s="10" t="s">
        <v>22</v>
      </c>
      <c r="J448" s="10" t="s">
        <v>23</v>
      </c>
      <c r="K448" s="10" t="s">
        <v>293</v>
      </c>
      <c r="L448" s="12">
        <v>4275</v>
      </c>
      <c r="M448" s="10">
        <v>6</v>
      </c>
      <c r="N448" s="13">
        <v>0.05</v>
      </c>
      <c r="O448" s="14">
        <v>1388.02</v>
      </c>
      <c r="P448" s="10" t="s">
        <v>69</v>
      </c>
    </row>
    <row r="449" spans="1:16">
      <c r="A449" s="10" t="s">
        <v>950</v>
      </c>
      <c r="B449" s="11">
        <v>45665</v>
      </c>
      <c r="C449" s="11">
        <v>46394</v>
      </c>
      <c r="D449" s="10" t="s">
        <v>713</v>
      </c>
      <c r="E449" s="10" t="s">
        <v>166</v>
      </c>
      <c r="F449" s="10" t="s">
        <v>29</v>
      </c>
      <c r="G449" s="10" t="s">
        <v>81</v>
      </c>
      <c r="H449" s="10" t="s">
        <v>68</v>
      </c>
      <c r="I449" s="10" t="s">
        <v>22</v>
      </c>
      <c r="J449" s="10" t="s">
        <v>23</v>
      </c>
      <c r="K449" s="10" t="s">
        <v>293</v>
      </c>
      <c r="L449" s="12">
        <v>1912.5</v>
      </c>
      <c r="M449" s="10">
        <v>3</v>
      </c>
      <c r="N449" s="13">
        <v>0.15</v>
      </c>
      <c r="O449" s="14">
        <v>618.51</v>
      </c>
      <c r="P449" s="10" t="s">
        <v>69</v>
      </c>
    </row>
    <row r="450" spans="1:16">
      <c r="A450" s="10" t="s">
        <v>951</v>
      </c>
      <c r="B450" s="11">
        <v>46115</v>
      </c>
      <c r="C450" s="11">
        <v>46395</v>
      </c>
      <c r="D450" s="10" t="s">
        <v>952</v>
      </c>
      <c r="E450" s="10" t="s">
        <v>301</v>
      </c>
      <c r="F450" s="10" t="s">
        <v>29</v>
      </c>
      <c r="G450" s="10" t="s">
        <v>151</v>
      </c>
      <c r="H450" s="10" t="s">
        <v>151</v>
      </c>
      <c r="I450" s="10" t="s">
        <v>75</v>
      </c>
      <c r="J450" s="10" t="s">
        <v>76</v>
      </c>
      <c r="K450" s="10" t="s">
        <v>77</v>
      </c>
      <c r="L450" s="12">
        <v>6400</v>
      </c>
      <c r="M450" s="10">
        <v>4</v>
      </c>
      <c r="N450" s="13">
        <v>0</v>
      </c>
      <c r="O450" s="14">
        <v>1100.74</v>
      </c>
      <c r="P450" s="10" t="s">
        <v>56</v>
      </c>
    </row>
    <row r="451" spans="1:16">
      <c r="A451" s="10" t="s">
        <v>953</v>
      </c>
      <c r="B451" s="11">
        <v>45723</v>
      </c>
      <c r="C451" s="11">
        <v>46396</v>
      </c>
      <c r="D451" s="10" t="s">
        <v>137</v>
      </c>
      <c r="E451" s="10" t="s">
        <v>776</v>
      </c>
      <c r="F451" s="10" t="s">
        <v>29</v>
      </c>
      <c r="G451" s="10" t="s">
        <v>97</v>
      </c>
      <c r="H451" s="10" t="s">
        <v>21</v>
      </c>
      <c r="I451" s="10" t="s">
        <v>22</v>
      </c>
      <c r="J451" s="10" t="s">
        <v>23</v>
      </c>
      <c r="K451" s="10" t="s">
        <v>293</v>
      </c>
      <c r="L451" s="12">
        <v>3562.5</v>
      </c>
      <c r="M451" s="10">
        <v>5</v>
      </c>
      <c r="N451" s="13">
        <v>0.05</v>
      </c>
      <c r="O451" s="14">
        <v>806.35</v>
      </c>
      <c r="P451" s="10" t="s">
        <v>56</v>
      </c>
    </row>
    <row r="452" spans="1:16">
      <c r="A452" s="10" t="s">
        <v>954</v>
      </c>
      <c r="B452" s="11">
        <v>45353</v>
      </c>
      <c r="C452" s="11">
        <v>46397</v>
      </c>
      <c r="D452" s="10" t="s">
        <v>955</v>
      </c>
      <c r="E452" s="10" t="s">
        <v>326</v>
      </c>
      <c r="F452" s="10" t="s">
        <v>19</v>
      </c>
      <c r="G452" s="10" t="s">
        <v>44</v>
      </c>
      <c r="H452" s="10" t="s">
        <v>45</v>
      </c>
      <c r="I452" s="10" t="s">
        <v>46</v>
      </c>
      <c r="J452" s="10" t="s">
        <v>23</v>
      </c>
      <c r="K452" s="10" t="s">
        <v>293</v>
      </c>
      <c r="L452" s="12">
        <v>1350</v>
      </c>
      <c r="M452" s="10">
        <v>2</v>
      </c>
      <c r="N452" s="13">
        <v>0.1</v>
      </c>
      <c r="O452" s="14">
        <v>231.4</v>
      </c>
      <c r="P452" s="10" t="s">
        <v>63</v>
      </c>
    </row>
    <row r="453" spans="1:16">
      <c r="A453" s="10" t="s">
        <v>956</v>
      </c>
      <c r="B453" s="11">
        <v>46246</v>
      </c>
      <c r="C453" s="11">
        <v>46398</v>
      </c>
      <c r="D453" s="10" t="s">
        <v>17</v>
      </c>
      <c r="E453" s="10" t="s">
        <v>760</v>
      </c>
      <c r="F453" s="10" t="s">
        <v>19</v>
      </c>
      <c r="G453" s="10" t="s">
        <v>179</v>
      </c>
      <c r="H453" s="10" t="s">
        <v>21</v>
      </c>
      <c r="I453" s="10" t="s">
        <v>22</v>
      </c>
      <c r="J453" s="10" t="s">
        <v>23</v>
      </c>
      <c r="K453" s="10" t="s">
        <v>120</v>
      </c>
      <c r="L453" s="12">
        <v>29400</v>
      </c>
      <c r="M453" s="10">
        <v>7</v>
      </c>
      <c r="N453" s="13">
        <v>0</v>
      </c>
      <c r="O453" s="14">
        <v>8488.26</v>
      </c>
      <c r="P453" s="10" t="s">
        <v>63</v>
      </c>
    </row>
    <row r="454" spans="1:16">
      <c r="A454" s="10" t="s">
        <v>957</v>
      </c>
      <c r="B454" s="11">
        <v>45957</v>
      </c>
      <c r="C454" s="11">
        <v>46399</v>
      </c>
      <c r="D454" s="10" t="s">
        <v>388</v>
      </c>
      <c r="E454" s="10" t="s">
        <v>287</v>
      </c>
      <c r="F454" s="10" t="s">
        <v>29</v>
      </c>
      <c r="G454" s="10" t="s">
        <v>151</v>
      </c>
      <c r="H454" s="10" t="s">
        <v>151</v>
      </c>
      <c r="I454" s="10" t="s">
        <v>75</v>
      </c>
      <c r="J454" s="10" t="s">
        <v>30</v>
      </c>
      <c r="K454" s="10" t="s">
        <v>173</v>
      </c>
      <c r="L454" s="12">
        <v>1824</v>
      </c>
      <c r="M454" s="10">
        <v>6</v>
      </c>
      <c r="N454" s="13">
        <v>0.05</v>
      </c>
      <c r="O454" s="14">
        <v>360.19</v>
      </c>
      <c r="P454" s="10" t="s">
        <v>25</v>
      </c>
    </row>
    <row r="455" spans="1:16">
      <c r="A455" s="10" t="s">
        <v>958</v>
      </c>
      <c r="B455" s="11">
        <v>45920</v>
      </c>
      <c r="C455" s="11">
        <v>46400</v>
      </c>
      <c r="D455" s="10" t="s">
        <v>113</v>
      </c>
      <c r="E455" s="10" t="s">
        <v>959</v>
      </c>
      <c r="F455" s="10" t="s">
        <v>29</v>
      </c>
      <c r="G455" s="10" t="s">
        <v>73</v>
      </c>
      <c r="H455" s="10" t="s">
        <v>74</v>
      </c>
      <c r="I455" s="10" t="s">
        <v>75</v>
      </c>
      <c r="J455" s="10" t="s">
        <v>30</v>
      </c>
      <c r="K455" s="10" t="s">
        <v>31</v>
      </c>
      <c r="L455" s="12">
        <v>648</v>
      </c>
      <c r="M455" s="10">
        <v>6</v>
      </c>
      <c r="N455" s="13">
        <v>0.1</v>
      </c>
      <c r="O455" s="14">
        <v>130.16</v>
      </c>
      <c r="P455" s="10" t="s">
        <v>48</v>
      </c>
    </row>
    <row r="456" spans="1:16">
      <c r="A456" s="10" t="s">
        <v>960</v>
      </c>
      <c r="B456" s="11">
        <v>45457</v>
      </c>
      <c r="C456" s="11">
        <v>46401</v>
      </c>
      <c r="D456" s="10" t="s">
        <v>961</v>
      </c>
      <c r="E456" s="10" t="s">
        <v>500</v>
      </c>
      <c r="F456" s="10" t="s">
        <v>43</v>
      </c>
      <c r="G456" s="10" t="s">
        <v>111</v>
      </c>
      <c r="H456" s="10" t="s">
        <v>21</v>
      </c>
      <c r="I456" s="10" t="s">
        <v>22</v>
      </c>
      <c r="J456" s="10" t="s">
        <v>23</v>
      </c>
      <c r="K456" s="10" t="s">
        <v>89</v>
      </c>
      <c r="L456" s="12">
        <v>11200</v>
      </c>
      <c r="M456" s="10">
        <v>5</v>
      </c>
      <c r="N456" s="13">
        <v>0.2</v>
      </c>
      <c r="O456" s="14">
        <v>3141.12</v>
      </c>
      <c r="P456" s="10" t="s">
        <v>69</v>
      </c>
    </row>
    <row r="457" spans="1:16">
      <c r="A457" s="10" t="s">
        <v>962</v>
      </c>
      <c r="B457" s="11">
        <v>46057</v>
      </c>
      <c r="C457" s="11">
        <v>46402</v>
      </c>
      <c r="D457" s="10" t="s">
        <v>580</v>
      </c>
      <c r="E457" s="10" t="s">
        <v>963</v>
      </c>
      <c r="F457" s="10" t="s">
        <v>43</v>
      </c>
      <c r="G457" s="10" t="s">
        <v>151</v>
      </c>
      <c r="H457" s="10" t="s">
        <v>151</v>
      </c>
      <c r="I457" s="10" t="s">
        <v>75</v>
      </c>
      <c r="J457" s="10" t="s">
        <v>76</v>
      </c>
      <c r="K457" s="10" t="s">
        <v>77</v>
      </c>
      <c r="L457" s="12">
        <v>4800</v>
      </c>
      <c r="M457" s="10">
        <v>3</v>
      </c>
      <c r="N457" s="13">
        <v>0</v>
      </c>
      <c r="O457" s="14">
        <v>757.94</v>
      </c>
      <c r="P457" s="10" t="s">
        <v>48</v>
      </c>
    </row>
    <row r="458" spans="1:16">
      <c r="A458" s="10" t="s">
        <v>964</v>
      </c>
      <c r="B458" s="11">
        <v>45507</v>
      </c>
      <c r="C458" s="11">
        <v>46403</v>
      </c>
      <c r="D458" s="10" t="s">
        <v>965</v>
      </c>
      <c r="E458" s="10" t="s">
        <v>402</v>
      </c>
      <c r="F458" s="10" t="s">
        <v>29</v>
      </c>
      <c r="G458" s="10" t="s">
        <v>81</v>
      </c>
      <c r="H458" s="10" t="s">
        <v>68</v>
      </c>
      <c r="I458" s="10" t="s">
        <v>22</v>
      </c>
      <c r="J458" s="10" t="s">
        <v>38</v>
      </c>
      <c r="K458" s="10" t="s">
        <v>104</v>
      </c>
      <c r="L458" s="12">
        <v>1170</v>
      </c>
      <c r="M458" s="10">
        <v>2</v>
      </c>
      <c r="N458" s="13">
        <v>0.1</v>
      </c>
      <c r="O458" s="14">
        <v>260.22000000000003</v>
      </c>
      <c r="P458" s="10" t="s">
        <v>48</v>
      </c>
    </row>
    <row r="459" spans="1:16">
      <c r="A459" s="10" t="s">
        <v>966</v>
      </c>
      <c r="B459" s="11">
        <v>45560</v>
      </c>
      <c r="C459" s="11">
        <v>46404</v>
      </c>
      <c r="D459" s="10" t="s">
        <v>967</v>
      </c>
      <c r="E459" s="10" t="s">
        <v>205</v>
      </c>
      <c r="F459" s="10" t="s">
        <v>29</v>
      </c>
      <c r="G459" s="10" t="s">
        <v>97</v>
      </c>
      <c r="H459" s="10" t="s">
        <v>21</v>
      </c>
      <c r="I459" s="10" t="s">
        <v>22</v>
      </c>
      <c r="J459" s="10" t="s">
        <v>38</v>
      </c>
      <c r="K459" s="10" t="s">
        <v>55</v>
      </c>
      <c r="L459" s="12">
        <v>2750</v>
      </c>
      <c r="M459" s="10">
        <v>5</v>
      </c>
      <c r="N459" s="13">
        <v>0</v>
      </c>
      <c r="O459" s="14">
        <v>868.11</v>
      </c>
      <c r="P459" s="10" t="s">
        <v>56</v>
      </c>
    </row>
    <row r="460" spans="1:16">
      <c r="A460" s="10" t="s">
        <v>968</v>
      </c>
      <c r="B460" s="11">
        <v>45831</v>
      </c>
      <c r="C460" s="11">
        <v>46405</v>
      </c>
      <c r="D460" s="10" t="s">
        <v>83</v>
      </c>
      <c r="E460" s="10" t="s">
        <v>341</v>
      </c>
      <c r="F460" s="10" t="s">
        <v>43</v>
      </c>
      <c r="G460" s="10" t="s">
        <v>97</v>
      </c>
      <c r="H460" s="10" t="s">
        <v>21</v>
      </c>
      <c r="I460" s="10" t="s">
        <v>22</v>
      </c>
      <c r="J460" s="10" t="s">
        <v>38</v>
      </c>
      <c r="K460" s="10" t="s">
        <v>104</v>
      </c>
      <c r="L460" s="12">
        <v>3705</v>
      </c>
      <c r="M460" s="10">
        <v>6</v>
      </c>
      <c r="N460" s="13">
        <v>0.05</v>
      </c>
      <c r="O460" s="14">
        <v>547.59</v>
      </c>
      <c r="P460" s="10" t="s">
        <v>63</v>
      </c>
    </row>
    <row r="461" spans="1:16">
      <c r="A461" s="10" t="s">
        <v>969</v>
      </c>
      <c r="B461" s="11">
        <v>45747</v>
      </c>
      <c r="C461" s="11">
        <v>46406</v>
      </c>
      <c r="D461" s="10" t="s">
        <v>149</v>
      </c>
      <c r="E461" s="10" t="s">
        <v>273</v>
      </c>
      <c r="F461" s="10" t="s">
        <v>19</v>
      </c>
      <c r="G461" s="10" t="s">
        <v>60</v>
      </c>
      <c r="H461" s="10" t="s">
        <v>61</v>
      </c>
      <c r="I461" s="10" t="s">
        <v>37</v>
      </c>
      <c r="J461" s="10" t="s">
        <v>30</v>
      </c>
      <c r="K461" s="10" t="s">
        <v>93</v>
      </c>
      <c r="L461" s="12">
        <v>576</v>
      </c>
      <c r="M461" s="10">
        <v>8</v>
      </c>
      <c r="N461" s="13">
        <v>0.2</v>
      </c>
      <c r="O461" s="14">
        <v>89.44</v>
      </c>
      <c r="P461" s="10" t="s">
        <v>63</v>
      </c>
    </row>
    <row r="462" spans="1:16">
      <c r="A462" s="10" t="s">
        <v>970</v>
      </c>
      <c r="B462" s="11">
        <v>45609</v>
      </c>
      <c r="C462" s="11">
        <v>46407</v>
      </c>
      <c r="D462" s="10" t="s">
        <v>955</v>
      </c>
      <c r="E462" s="10" t="s">
        <v>150</v>
      </c>
      <c r="F462" s="10" t="s">
        <v>29</v>
      </c>
      <c r="G462" s="10" t="s">
        <v>73</v>
      </c>
      <c r="H462" s="10" t="s">
        <v>74</v>
      </c>
      <c r="I462" s="10" t="s">
        <v>75</v>
      </c>
      <c r="J462" s="10" t="s">
        <v>30</v>
      </c>
      <c r="K462" s="10" t="s">
        <v>261</v>
      </c>
      <c r="L462" s="12">
        <v>1368</v>
      </c>
      <c r="M462" s="10">
        <v>8</v>
      </c>
      <c r="N462" s="13">
        <v>0.05</v>
      </c>
      <c r="O462" s="14">
        <v>379.48</v>
      </c>
      <c r="P462" s="10" t="s">
        <v>48</v>
      </c>
    </row>
    <row r="463" spans="1:16">
      <c r="A463" s="10" t="s">
        <v>971</v>
      </c>
      <c r="B463" s="11">
        <v>45827</v>
      </c>
      <c r="C463" s="11">
        <v>46408</v>
      </c>
      <c r="D463" s="10" t="s">
        <v>282</v>
      </c>
      <c r="E463" s="10" t="s">
        <v>700</v>
      </c>
      <c r="F463" s="10" t="s">
        <v>43</v>
      </c>
      <c r="G463" s="10" t="s">
        <v>35</v>
      </c>
      <c r="H463" s="10" t="s">
        <v>36</v>
      </c>
      <c r="I463" s="10" t="s">
        <v>37</v>
      </c>
      <c r="J463" s="10" t="s">
        <v>30</v>
      </c>
      <c r="K463" s="10" t="s">
        <v>173</v>
      </c>
      <c r="L463" s="12">
        <v>1440</v>
      </c>
      <c r="M463" s="10">
        <v>5</v>
      </c>
      <c r="N463" s="13">
        <v>0.1</v>
      </c>
      <c r="O463" s="14">
        <v>325.26</v>
      </c>
      <c r="P463" s="10" t="s">
        <v>69</v>
      </c>
    </row>
    <row r="464" spans="1:16">
      <c r="A464" s="10" t="s">
        <v>972</v>
      </c>
      <c r="B464" s="11">
        <v>45301</v>
      </c>
      <c r="C464" s="11">
        <v>46409</v>
      </c>
      <c r="D464" s="10" t="s">
        <v>356</v>
      </c>
      <c r="E464" s="10" t="s">
        <v>973</v>
      </c>
      <c r="F464" s="10" t="s">
        <v>19</v>
      </c>
      <c r="G464" s="10" t="s">
        <v>81</v>
      </c>
      <c r="H464" s="10" t="s">
        <v>68</v>
      </c>
      <c r="I464" s="10" t="s">
        <v>22</v>
      </c>
      <c r="J464" s="10" t="s">
        <v>23</v>
      </c>
      <c r="K464" s="10" t="s">
        <v>47</v>
      </c>
      <c r="L464" s="12">
        <v>12400</v>
      </c>
      <c r="M464" s="10">
        <v>4</v>
      </c>
      <c r="N464" s="13">
        <v>0</v>
      </c>
      <c r="O464" s="14">
        <v>2944.56</v>
      </c>
      <c r="P464" s="10" t="s">
        <v>25</v>
      </c>
    </row>
    <row r="465" spans="1:16">
      <c r="A465" s="10" t="s">
        <v>974</v>
      </c>
      <c r="B465" s="11">
        <v>45696</v>
      </c>
      <c r="C465" s="11">
        <v>46410</v>
      </c>
      <c r="D465" s="10" t="s">
        <v>891</v>
      </c>
      <c r="E465" s="10" t="s">
        <v>395</v>
      </c>
      <c r="F465" s="10" t="s">
        <v>19</v>
      </c>
      <c r="G465" s="10" t="s">
        <v>97</v>
      </c>
      <c r="H465" s="10" t="s">
        <v>21</v>
      </c>
      <c r="I465" s="10" t="s">
        <v>22</v>
      </c>
      <c r="J465" s="10" t="s">
        <v>76</v>
      </c>
      <c r="K465" s="10" t="s">
        <v>77</v>
      </c>
      <c r="L465" s="12">
        <v>6080</v>
      </c>
      <c r="M465" s="10">
        <v>4</v>
      </c>
      <c r="N465" s="13">
        <v>0.05</v>
      </c>
      <c r="O465" s="14">
        <v>2139.59</v>
      </c>
      <c r="P465" s="10" t="s">
        <v>69</v>
      </c>
    </row>
    <row r="466" spans="1:16">
      <c r="A466" s="10" t="s">
        <v>975</v>
      </c>
      <c r="B466" s="11">
        <v>45583</v>
      </c>
      <c r="C466" s="11">
        <v>46411</v>
      </c>
      <c r="D466" s="10" t="s">
        <v>721</v>
      </c>
      <c r="E466" s="10" t="s">
        <v>976</v>
      </c>
      <c r="F466" s="10" t="s">
        <v>43</v>
      </c>
      <c r="G466" s="10" t="s">
        <v>60</v>
      </c>
      <c r="H466" s="10" t="s">
        <v>61</v>
      </c>
      <c r="I466" s="10" t="s">
        <v>37</v>
      </c>
      <c r="J466" s="10" t="s">
        <v>23</v>
      </c>
      <c r="K466" s="10" t="s">
        <v>293</v>
      </c>
      <c r="L466" s="12">
        <v>3000</v>
      </c>
      <c r="M466" s="10">
        <v>4</v>
      </c>
      <c r="N466" s="13">
        <v>0</v>
      </c>
      <c r="O466" s="14">
        <v>997.72</v>
      </c>
      <c r="P466" s="10" t="s">
        <v>63</v>
      </c>
    </row>
    <row r="467" spans="1:16">
      <c r="A467" s="10" t="s">
        <v>977</v>
      </c>
      <c r="B467" s="11">
        <v>45755</v>
      </c>
      <c r="C467" s="11">
        <v>46412</v>
      </c>
      <c r="D467" s="10" t="s">
        <v>316</v>
      </c>
      <c r="E467" s="10" t="s">
        <v>943</v>
      </c>
      <c r="F467" s="10" t="s">
        <v>29</v>
      </c>
      <c r="G467" s="10" t="s">
        <v>60</v>
      </c>
      <c r="H467" s="10" t="s">
        <v>61</v>
      </c>
      <c r="I467" s="10" t="s">
        <v>37</v>
      </c>
      <c r="J467" s="10" t="s">
        <v>76</v>
      </c>
      <c r="K467" s="10" t="s">
        <v>131</v>
      </c>
      <c r="L467" s="12">
        <v>2100</v>
      </c>
      <c r="M467" s="10">
        <v>6</v>
      </c>
      <c r="N467" s="13">
        <v>0</v>
      </c>
      <c r="O467" s="14">
        <v>714.93</v>
      </c>
      <c r="P467" s="10" t="s">
        <v>48</v>
      </c>
    </row>
    <row r="468" spans="1:16">
      <c r="A468" s="10" t="s">
        <v>978</v>
      </c>
      <c r="B468" s="11">
        <v>45580</v>
      </c>
      <c r="C468" s="11">
        <v>46413</v>
      </c>
      <c r="D468" s="10" t="s">
        <v>629</v>
      </c>
      <c r="E468" s="10" t="s">
        <v>429</v>
      </c>
      <c r="F468" s="10" t="s">
        <v>43</v>
      </c>
      <c r="G468" s="10" t="s">
        <v>97</v>
      </c>
      <c r="H468" s="10" t="s">
        <v>21</v>
      </c>
      <c r="I468" s="10" t="s">
        <v>22</v>
      </c>
      <c r="J468" s="10" t="s">
        <v>76</v>
      </c>
      <c r="K468" s="10" t="s">
        <v>206</v>
      </c>
      <c r="L468" s="12">
        <v>4400</v>
      </c>
      <c r="M468" s="10">
        <v>4</v>
      </c>
      <c r="N468" s="13">
        <v>0</v>
      </c>
      <c r="O468" s="14">
        <v>1499.62</v>
      </c>
      <c r="P468" s="10" t="s">
        <v>69</v>
      </c>
    </row>
    <row r="469" spans="1:16">
      <c r="A469" s="10" t="s">
        <v>979</v>
      </c>
      <c r="B469" s="11">
        <v>46096</v>
      </c>
      <c r="C469" s="11">
        <v>46414</v>
      </c>
      <c r="D469" s="10" t="s">
        <v>980</v>
      </c>
      <c r="E469" s="10" t="s">
        <v>418</v>
      </c>
      <c r="F469" s="10" t="s">
        <v>43</v>
      </c>
      <c r="G469" s="10" t="s">
        <v>73</v>
      </c>
      <c r="H469" s="10" t="s">
        <v>74</v>
      </c>
      <c r="I469" s="10" t="s">
        <v>75</v>
      </c>
      <c r="J469" s="10" t="s">
        <v>23</v>
      </c>
      <c r="K469" s="10" t="s">
        <v>293</v>
      </c>
      <c r="L469" s="12">
        <v>712.5</v>
      </c>
      <c r="M469" s="10">
        <v>1</v>
      </c>
      <c r="N469" s="13">
        <v>0.05</v>
      </c>
      <c r="O469" s="14">
        <v>250.54</v>
      </c>
      <c r="P469" s="10" t="s">
        <v>25</v>
      </c>
    </row>
    <row r="470" spans="1:16">
      <c r="A470" s="10" t="s">
        <v>981</v>
      </c>
      <c r="B470" s="11">
        <v>45365</v>
      </c>
      <c r="C470" s="11">
        <v>46415</v>
      </c>
      <c r="D470" s="10" t="s">
        <v>468</v>
      </c>
      <c r="E470" s="10" t="s">
        <v>687</v>
      </c>
      <c r="F470" s="10" t="s">
        <v>43</v>
      </c>
      <c r="G470" s="10" t="s">
        <v>73</v>
      </c>
      <c r="H470" s="10" t="s">
        <v>74</v>
      </c>
      <c r="I470" s="10" t="s">
        <v>75</v>
      </c>
      <c r="J470" s="10" t="s">
        <v>30</v>
      </c>
      <c r="K470" s="10" t="s">
        <v>31</v>
      </c>
      <c r="L470" s="12">
        <v>540</v>
      </c>
      <c r="M470" s="10">
        <v>5</v>
      </c>
      <c r="N470" s="13">
        <v>0.1</v>
      </c>
      <c r="O470" s="14">
        <v>80.81</v>
      </c>
      <c r="P470" s="10" t="s">
        <v>56</v>
      </c>
    </row>
    <row r="471" spans="1:16">
      <c r="A471" s="10" t="s">
        <v>982</v>
      </c>
      <c r="B471" s="11">
        <v>46047</v>
      </c>
      <c r="C471" s="11">
        <v>46416</v>
      </c>
      <c r="D471" s="10" t="s">
        <v>897</v>
      </c>
      <c r="E471" s="10" t="s">
        <v>382</v>
      </c>
      <c r="F471" s="10" t="s">
        <v>43</v>
      </c>
      <c r="G471" s="10" t="s">
        <v>111</v>
      </c>
      <c r="H471" s="10" t="s">
        <v>21</v>
      </c>
      <c r="I471" s="10" t="s">
        <v>22</v>
      </c>
      <c r="J471" s="10" t="s">
        <v>76</v>
      </c>
      <c r="K471" s="10" t="s">
        <v>206</v>
      </c>
      <c r="L471" s="12">
        <v>3960</v>
      </c>
      <c r="M471" s="10">
        <v>4</v>
      </c>
      <c r="N471" s="13">
        <v>0.1</v>
      </c>
      <c r="O471" s="14">
        <v>1044.76</v>
      </c>
      <c r="P471" s="10" t="s">
        <v>56</v>
      </c>
    </row>
    <row r="472" spans="1:16">
      <c r="A472" s="10" t="s">
        <v>983</v>
      </c>
      <c r="B472" s="11">
        <v>45936</v>
      </c>
      <c r="C472" s="11">
        <v>46417</v>
      </c>
      <c r="D472" s="10" t="s">
        <v>984</v>
      </c>
      <c r="E472" s="10" t="s">
        <v>80</v>
      </c>
      <c r="F472" s="10" t="s">
        <v>19</v>
      </c>
      <c r="G472" s="10" t="s">
        <v>135</v>
      </c>
      <c r="H472" s="10" t="s">
        <v>21</v>
      </c>
      <c r="I472" s="10" t="s">
        <v>22</v>
      </c>
      <c r="J472" s="10" t="s">
        <v>38</v>
      </c>
      <c r="K472" s="10" t="s">
        <v>169</v>
      </c>
      <c r="L472" s="12">
        <v>9280</v>
      </c>
      <c r="M472" s="10">
        <v>8</v>
      </c>
      <c r="N472" s="13">
        <v>0.2</v>
      </c>
      <c r="O472" s="14">
        <v>2527.02</v>
      </c>
      <c r="P472" s="10" t="s">
        <v>56</v>
      </c>
    </row>
    <row r="473" spans="1:16">
      <c r="A473" s="10" t="s">
        <v>985</v>
      </c>
      <c r="B473" s="11">
        <v>46288</v>
      </c>
      <c r="C473" s="11">
        <v>46418</v>
      </c>
      <c r="D473" s="10" t="s">
        <v>807</v>
      </c>
      <c r="E473" s="10" t="s">
        <v>986</v>
      </c>
      <c r="F473" s="10" t="s">
        <v>29</v>
      </c>
      <c r="G473" s="10" t="s">
        <v>111</v>
      </c>
      <c r="H473" s="10" t="s">
        <v>21</v>
      </c>
      <c r="I473" s="10" t="s">
        <v>22</v>
      </c>
      <c r="J473" s="10" t="s">
        <v>76</v>
      </c>
      <c r="K473" s="10" t="s">
        <v>229</v>
      </c>
      <c r="L473" s="12">
        <v>1900</v>
      </c>
      <c r="M473" s="10">
        <v>1</v>
      </c>
      <c r="N473" s="13">
        <v>0</v>
      </c>
      <c r="O473" s="14">
        <v>329.57</v>
      </c>
      <c r="P473" s="10" t="s">
        <v>48</v>
      </c>
    </row>
    <row r="474" spans="1:16">
      <c r="A474" s="10" t="s">
        <v>987</v>
      </c>
      <c r="B474" s="11">
        <v>46284</v>
      </c>
      <c r="C474" s="11">
        <v>46419</v>
      </c>
      <c r="D474" s="10" t="s">
        <v>736</v>
      </c>
      <c r="E474" s="10" t="s">
        <v>844</v>
      </c>
      <c r="F474" s="10" t="s">
        <v>29</v>
      </c>
      <c r="G474" s="10" t="s">
        <v>224</v>
      </c>
      <c r="H474" s="10" t="s">
        <v>225</v>
      </c>
      <c r="I474" s="10" t="s">
        <v>75</v>
      </c>
      <c r="J474" s="10" t="s">
        <v>76</v>
      </c>
      <c r="K474" s="10" t="s">
        <v>85</v>
      </c>
      <c r="L474" s="12">
        <v>627</v>
      </c>
      <c r="M474" s="10">
        <v>3</v>
      </c>
      <c r="N474" s="13">
        <v>0.05</v>
      </c>
      <c r="O474" s="14">
        <v>107.9</v>
      </c>
      <c r="P474" s="10" t="s">
        <v>63</v>
      </c>
    </row>
    <row r="475" spans="1:16">
      <c r="A475" s="10" t="s">
        <v>988</v>
      </c>
      <c r="B475" s="11">
        <v>45638</v>
      </c>
      <c r="C475" s="11">
        <v>46420</v>
      </c>
      <c r="D475" s="10" t="s">
        <v>41</v>
      </c>
      <c r="E475" s="10" t="s">
        <v>350</v>
      </c>
      <c r="F475" s="10" t="s">
        <v>43</v>
      </c>
      <c r="G475" s="10" t="s">
        <v>167</v>
      </c>
      <c r="H475" s="10" t="s">
        <v>168</v>
      </c>
      <c r="I475" s="10" t="s">
        <v>37</v>
      </c>
      <c r="J475" s="10" t="s">
        <v>38</v>
      </c>
      <c r="K475" s="10" t="s">
        <v>104</v>
      </c>
      <c r="L475" s="12">
        <v>3120</v>
      </c>
      <c r="M475" s="10">
        <v>6</v>
      </c>
      <c r="N475" s="13">
        <v>0.2</v>
      </c>
      <c r="O475" s="14">
        <v>967.14</v>
      </c>
      <c r="P475" s="10" t="s">
        <v>56</v>
      </c>
    </row>
    <row r="476" spans="1:16">
      <c r="A476" s="10" t="s">
        <v>989</v>
      </c>
      <c r="B476" s="11">
        <v>45616</v>
      </c>
      <c r="C476" s="11">
        <v>46421</v>
      </c>
      <c r="D476" s="10" t="s">
        <v>621</v>
      </c>
      <c r="E476" s="10" t="s">
        <v>150</v>
      </c>
      <c r="F476" s="10" t="s">
        <v>29</v>
      </c>
      <c r="G476" s="10" t="s">
        <v>35</v>
      </c>
      <c r="H476" s="10" t="s">
        <v>36</v>
      </c>
      <c r="I476" s="10" t="s">
        <v>37</v>
      </c>
      <c r="J476" s="10" t="s">
        <v>23</v>
      </c>
      <c r="K476" s="10" t="s">
        <v>293</v>
      </c>
      <c r="L476" s="12">
        <v>3000</v>
      </c>
      <c r="M476" s="10">
        <v>4</v>
      </c>
      <c r="N476" s="13">
        <v>0</v>
      </c>
      <c r="O476" s="14">
        <v>602.39</v>
      </c>
      <c r="P476" s="10" t="s">
        <v>25</v>
      </c>
    </row>
    <row r="477" spans="1:16">
      <c r="A477" s="10" t="s">
        <v>990</v>
      </c>
      <c r="B477" s="11">
        <v>46015</v>
      </c>
      <c r="C477" s="11">
        <v>46422</v>
      </c>
      <c r="D477" s="10" t="s">
        <v>457</v>
      </c>
      <c r="E477" s="10" t="s">
        <v>326</v>
      </c>
      <c r="F477" s="10" t="s">
        <v>19</v>
      </c>
      <c r="G477" s="10" t="s">
        <v>151</v>
      </c>
      <c r="H477" s="10" t="s">
        <v>151</v>
      </c>
      <c r="I477" s="10" t="s">
        <v>75</v>
      </c>
      <c r="J477" s="10" t="s">
        <v>23</v>
      </c>
      <c r="K477" s="10" t="s">
        <v>47</v>
      </c>
      <c r="L477" s="12">
        <v>24800</v>
      </c>
      <c r="M477" s="10">
        <v>8</v>
      </c>
      <c r="N477" s="13">
        <v>0</v>
      </c>
      <c r="O477" s="14">
        <v>5769.91</v>
      </c>
      <c r="P477" s="10" t="s">
        <v>25</v>
      </c>
    </row>
    <row r="478" spans="1:16">
      <c r="A478" s="10" t="s">
        <v>991</v>
      </c>
      <c r="B478" s="11">
        <v>45573</v>
      </c>
      <c r="C478" s="11">
        <v>46423</v>
      </c>
      <c r="D478" s="10" t="s">
        <v>862</v>
      </c>
      <c r="E478" s="10" t="s">
        <v>178</v>
      </c>
      <c r="F478" s="10" t="s">
        <v>43</v>
      </c>
      <c r="G478" s="10" t="s">
        <v>44</v>
      </c>
      <c r="H478" s="10" t="s">
        <v>45</v>
      </c>
      <c r="I478" s="10" t="s">
        <v>46</v>
      </c>
      <c r="J478" s="10" t="s">
        <v>30</v>
      </c>
      <c r="K478" s="10" t="s">
        <v>261</v>
      </c>
      <c r="L478" s="12">
        <v>486</v>
      </c>
      <c r="M478" s="10">
        <v>3</v>
      </c>
      <c r="N478" s="13">
        <v>0.1</v>
      </c>
      <c r="O478" s="14">
        <v>140.03</v>
      </c>
      <c r="P478" s="10" t="s">
        <v>48</v>
      </c>
    </row>
    <row r="479" spans="1:16">
      <c r="A479" s="10" t="s">
        <v>992</v>
      </c>
      <c r="B479" s="11">
        <v>46086</v>
      </c>
      <c r="C479" s="11">
        <v>46424</v>
      </c>
      <c r="D479" s="10" t="s">
        <v>463</v>
      </c>
      <c r="E479" s="10" t="s">
        <v>760</v>
      </c>
      <c r="F479" s="10" t="s">
        <v>43</v>
      </c>
      <c r="G479" s="10" t="s">
        <v>151</v>
      </c>
      <c r="H479" s="10" t="s">
        <v>151</v>
      </c>
      <c r="I479" s="10" t="s">
        <v>75</v>
      </c>
      <c r="J479" s="10" t="s">
        <v>76</v>
      </c>
      <c r="K479" s="10" t="s">
        <v>131</v>
      </c>
      <c r="L479" s="12">
        <v>297.5</v>
      </c>
      <c r="M479" s="10">
        <v>1</v>
      </c>
      <c r="N479" s="13">
        <v>0.15</v>
      </c>
      <c r="O479" s="14">
        <v>40.08</v>
      </c>
      <c r="P479" s="10" t="s">
        <v>48</v>
      </c>
    </row>
    <row r="480" spans="1:16">
      <c r="A480" s="10" t="s">
        <v>993</v>
      </c>
      <c r="B480" s="11">
        <v>45966</v>
      </c>
      <c r="C480" s="11">
        <v>46425</v>
      </c>
      <c r="D480" s="10" t="s">
        <v>967</v>
      </c>
      <c r="E480" s="10" t="s">
        <v>182</v>
      </c>
      <c r="F480" s="10" t="s">
        <v>19</v>
      </c>
      <c r="G480" s="10" t="s">
        <v>44</v>
      </c>
      <c r="H480" s="10" t="s">
        <v>45</v>
      </c>
      <c r="I480" s="10" t="s">
        <v>46</v>
      </c>
      <c r="J480" s="10" t="s">
        <v>76</v>
      </c>
      <c r="K480" s="10" t="s">
        <v>131</v>
      </c>
      <c r="L480" s="12">
        <v>2380</v>
      </c>
      <c r="M480" s="10">
        <v>8</v>
      </c>
      <c r="N480" s="13">
        <v>0.15</v>
      </c>
      <c r="O480" s="14">
        <v>755.47</v>
      </c>
      <c r="P480" s="10" t="s">
        <v>69</v>
      </c>
    </row>
    <row r="481" spans="1:16">
      <c r="A481" s="10" t="s">
        <v>994</v>
      </c>
      <c r="B481" s="11">
        <v>45405</v>
      </c>
      <c r="C481" s="11">
        <v>46426</v>
      </c>
      <c r="D481" s="10" t="s">
        <v>635</v>
      </c>
      <c r="E481" s="10" t="s">
        <v>344</v>
      </c>
      <c r="F481" s="10" t="s">
        <v>29</v>
      </c>
      <c r="G481" s="10" t="s">
        <v>151</v>
      </c>
      <c r="H481" s="10" t="s">
        <v>151</v>
      </c>
      <c r="I481" s="10" t="s">
        <v>75</v>
      </c>
      <c r="J481" s="10" t="s">
        <v>38</v>
      </c>
      <c r="K481" s="10" t="s">
        <v>104</v>
      </c>
      <c r="L481" s="12">
        <v>1950</v>
      </c>
      <c r="M481" s="10">
        <v>3</v>
      </c>
      <c r="N481" s="13">
        <v>0</v>
      </c>
      <c r="O481" s="14">
        <v>298.14</v>
      </c>
      <c r="P481" s="10" t="s">
        <v>48</v>
      </c>
    </row>
    <row r="482" spans="1:16">
      <c r="A482" s="10" t="s">
        <v>995</v>
      </c>
      <c r="B482" s="11">
        <v>45324</v>
      </c>
      <c r="C482" s="11">
        <v>46427</v>
      </c>
      <c r="D482" s="10" t="s">
        <v>502</v>
      </c>
      <c r="E482" s="10" t="s">
        <v>996</v>
      </c>
      <c r="F482" s="10" t="s">
        <v>29</v>
      </c>
      <c r="G482" s="10" t="s">
        <v>167</v>
      </c>
      <c r="H482" s="10" t="s">
        <v>168</v>
      </c>
      <c r="I482" s="10" t="s">
        <v>37</v>
      </c>
      <c r="J482" s="10" t="s">
        <v>76</v>
      </c>
      <c r="K482" s="10" t="s">
        <v>77</v>
      </c>
      <c r="L482" s="12">
        <v>8000</v>
      </c>
      <c r="M482" s="10">
        <v>5</v>
      </c>
      <c r="N482" s="13">
        <v>0</v>
      </c>
      <c r="O482" s="14">
        <v>2277.98</v>
      </c>
      <c r="P482" s="10" t="s">
        <v>25</v>
      </c>
    </row>
    <row r="483" spans="1:16">
      <c r="A483" s="10" t="s">
        <v>997</v>
      </c>
      <c r="B483" s="11">
        <v>46242</v>
      </c>
      <c r="C483" s="11">
        <v>46428</v>
      </c>
      <c r="D483" s="10" t="s">
        <v>828</v>
      </c>
      <c r="E483" s="10" t="s">
        <v>243</v>
      </c>
      <c r="F483" s="10" t="s">
        <v>43</v>
      </c>
      <c r="G483" s="10" t="s">
        <v>20</v>
      </c>
      <c r="H483" s="10" t="s">
        <v>21</v>
      </c>
      <c r="I483" s="10" t="s">
        <v>22</v>
      </c>
      <c r="J483" s="10" t="s">
        <v>76</v>
      </c>
      <c r="K483" s="10" t="s">
        <v>206</v>
      </c>
      <c r="L483" s="12">
        <v>5610</v>
      </c>
      <c r="M483" s="10">
        <v>6</v>
      </c>
      <c r="N483" s="13">
        <v>0.15</v>
      </c>
      <c r="O483" s="14">
        <v>921.14</v>
      </c>
      <c r="P483" s="10" t="s">
        <v>48</v>
      </c>
    </row>
    <row r="484" spans="1:16">
      <c r="A484" s="10" t="s">
        <v>998</v>
      </c>
      <c r="B484" s="11">
        <v>46135</v>
      </c>
      <c r="C484" s="11">
        <v>46429</v>
      </c>
      <c r="D484" s="10" t="s">
        <v>231</v>
      </c>
      <c r="E484" s="10" t="s">
        <v>412</v>
      </c>
      <c r="F484" s="10" t="s">
        <v>29</v>
      </c>
      <c r="G484" s="10" t="s">
        <v>179</v>
      </c>
      <c r="H484" s="10" t="s">
        <v>21</v>
      </c>
      <c r="I484" s="10" t="s">
        <v>22</v>
      </c>
      <c r="J484" s="10" t="s">
        <v>38</v>
      </c>
      <c r="K484" s="10" t="s">
        <v>104</v>
      </c>
      <c r="L484" s="12">
        <v>3250</v>
      </c>
      <c r="M484" s="10">
        <v>5</v>
      </c>
      <c r="N484" s="13">
        <v>0</v>
      </c>
      <c r="O484" s="14">
        <v>436.81</v>
      </c>
      <c r="P484" s="10" t="s">
        <v>56</v>
      </c>
    </row>
    <row r="485" spans="1:16">
      <c r="A485" s="10" t="s">
        <v>999</v>
      </c>
      <c r="B485" s="11">
        <v>45836</v>
      </c>
      <c r="C485" s="11">
        <v>46430</v>
      </c>
      <c r="D485" s="10" t="s">
        <v>263</v>
      </c>
      <c r="E485" s="10" t="s">
        <v>147</v>
      </c>
      <c r="F485" s="10" t="s">
        <v>19</v>
      </c>
      <c r="G485" s="10" t="s">
        <v>111</v>
      </c>
      <c r="H485" s="10" t="s">
        <v>21</v>
      </c>
      <c r="I485" s="10" t="s">
        <v>22</v>
      </c>
      <c r="J485" s="10" t="s">
        <v>30</v>
      </c>
      <c r="K485" s="10" t="s">
        <v>93</v>
      </c>
      <c r="L485" s="12">
        <v>306</v>
      </c>
      <c r="M485" s="10">
        <v>4</v>
      </c>
      <c r="N485" s="13">
        <v>0.15</v>
      </c>
      <c r="O485" s="14">
        <v>59.64</v>
      </c>
      <c r="P485" s="10" t="s">
        <v>25</v>
      </c>
    </row>
    <row r="486" spans="1:16">
      <c r="A486" s="10" t="s">
        <v>1000</v>
      </c>
      <c r="B486" s="11">
        <v>46056</v>
      </c>
      <c r="C486" s="11">
        <v>46431</v>
      </c>
      <c r="D486" s="10" t="s">
        <v>428</v>
      </c>
      <c r="E486" s="10" t="s">
        <v>28</v>
      </c>
      <c r="F486" s="10" t="s">
        <v>19</v>
      </c>
      <c r="G486" s="10" t="s">
        <v>35</v>
      </c>
      <c r="H486" s="10" t="s">
        <v>36</v>
      </c>
      <c r="I486" s="10" t="s">
        <v>37</v>
      </c>
      <c r="J486" s="10" t="s">
        <v>23</v>
      </c>
      <c r="K486" s="10" t="s">
        <v>293</v>
      </c>
      <c r="L486" s="12">
        <v>5250</v>
      </c>
      <c r="M486" s="10">
        <v>7</v>
      </c>
      <c r="N486" s="13">
        <v>0</v>
      </c>
      <c r="O486" s="14">
        <v>1767.31</v>
      </c>
      <c r="P486" s="10" t="s">
        <v>69</v>
      </c>
    </row>
    <row r="487" spans="1:16">
      <c r="A487" s="10" t="s">
        <v>1001</v>
      </c>
      <c r="B487" s="11">
        <v>45965</v>
      </c>
      <c r="C487" s="11">
        <v>46432</v>
      </c>
      <c r="D487" s="10" t="s">
        <v>386</v>
      </c>
      <c r="E487" s="10" t="s">
        <v>469</v>
      </c>
      <c r="F487" s="10" t="s">
        <v>19</v>
      </c>
      <c r="G487" s="10" t="s">
        <v>151</v>
      </c>
      <c r="H487" s="10" t="s">
        <v>151</v>
      </c>
      <c r="I487" s="10" t="s">
        <v>75</v>
      </c>
      <c r="J487" s="10" t="s">
        <v>76</v>
      </c>
      <c r="K487" s="10" t="s">
        <v>229</v>
      </c>
      <c r="L487" s="12">
        <v>9690</v>
      </c>
      <c r="M487" s="10">
        <v>6</v>
      </c>
      <c r="N487" s="13">
        <v>0.15</v>
      </c>
      <c r="O487" s="14">
        <v>966.28</v>
      </c>
      <c r="P487" s="10" t="s">
        <v>25</v>
      </c>
    </row>
    <row r="488" spans="1:16">
      <c r="A488" s="10" t="s">
        <v>1002</v>
      </c>
      <c r="B488" s="11">
        <v>46137</v>
      </c>
      <c r="C488" s="11">
        <v>46433</v>
      </c>
      <c r="D488" s="10" t="s">
        <v>95</v>
      </c>
      <c r="E488" s="10" t="s">
        <v>1003</v>
      </c>
      <c r="F488" s="10" t="s">
        <v>43</v>
      </c>
      <c r="G488" s="10" t="s">
        <v>67</v>
      </c>
      <c r="H488" s="10" t="s">
        <v>68</v>
      </c>
      <c r="I488" s="10" t="s">
        <v>22</v>
      </c>
      <c r="J488" s="10" t="s">
        <v>30</v>
      </c>
      <c r="K488" s="10" t="s">
        <v>93</v>
      </c>
      <c r="L488" s="12">
        <v>324</v>
      </c>
      <c r="M488" s="10">
        <v>4</v>
      </c>
      <c r="N488" s="13">
        <v>0.1</v>
      </c>
      <c r="O488" s="14">
        <v>53.76</v>
      </c>
      <c r="P488" s="10" t="s">
        <v>25</v>
      </c>
    </row>
    <row r="489" spans="1:16">
      <c r="A489" s="10" t="s">
        <v>1004</v>
      </c>
      <c r="B489" s="11">
        <v>46274</v>
      </c>
      <c r="C489" s="11">
        <v>46278</v>
      </c>
      <c r="D489" s="10" t="s">
        <v>828</v>
      </c>
      <c r="E489" s="10" t="s">
        <v>264</v>
      </c>
      <c r="F489" s="10" t="s">
        <v>43</v>
      </c>
      <c r="G489" s="10" t="s">
        <v>135</v>
      </c>
      <c r="H489" s="10" t="s">
        <v>21</v>
      </c>
      <c r="I489" s="10" t="s">
        <v>22</v>
      </c>
      <c r="J489" s="10" t="s">
        <v>38</v>
      </c>
      <c r="K489" s="10" t="s">
        <v>169</v>
      </c>
      <c r="L489" s="12">
        <v>1232.5</v>
      </c>
      <c r="M489" s="10">
        <v>1</v>
      </c>
      <c r="N489" s="13">
        <v>0.15</v>
      </c>
      <c r="O489" s="14">
        <v>397.33</v>
      </c>
      <c r="P489" s="10" t="s">
        <v>56</v>
      </c>
    </row>
    <row r="490" spans="1:16">
      <c r="A490" s="10" t="s">
        <v>1005</v>
      </c>
      <c r="B490" s="11">
        <v>45511</v>
      </c>
      <c r="C490" s="11">
        <v>45518</v>
      </c>
      <c r="D490" s="10" t="s">
        <v>621</v>
      </c>
      <c r="E490" s="10" t="s">
        <v>100</v>
      </c>
      <c r="F490" s="10" t="s">
        <v>43</v>
      </c>
      <c r="G490" s="10" t="s">
        <v>67</v>
      </c>
      <c r="H490" s="10" t="s">
        <v>68</v>
      </c>
      <c r="I490" s="10" t="s">
        <v>22</v>
      </c>
      <c r="J490" s="10" t="s">
        <v>38</v>
      </c>
      <c r="K490" s="10" t="s">
        <v>169</v>
      </c>
      <c r="L490" s="12">
        <v>4350</v>
      </c>
      <c r="M490" s="10">
        <v>3</v>
      </c>
      <c r="N490" s="13">
        <v>0</v>
      </c>
      <c r="O490" s="14">
        <v>1610.32</v>
      </c>
      <c r="P490" s="10" t="s">
        <v>69</v>
      </c>
    </row>
    <row r="491" spans="1:16">
      <c r="A491" s="10" t="s">
        <v>1006</v>
      </c>
      <c r="B491" s="11">
        <v>46202</v>
      </c>
      <c r="C491" s="11">
        <v>46207</v>
      </c>
      <c r="D491" s="10" t="s">
        <v>137</v>
      </c>
      <c r="E491" s="10" t="s">
        <v>106</v>
      </c>
      <c r="F491" s="10" t="s">
        <v>29</v>
      </c>
      <c r="G491" s="10" t="s">
        <v>111</v>
      </c>
      <c r="H491" s="10" t="s">
        <v>21</v>
      </c>
      <c r="I491" s="10" t="s">
        <v>22</v>
      </c>
      <c r="J491" s="10" t="s">
        <v>30</v>
      </c>
      <c r="K491" s="10" t="s">
        <v>173</v>
      </c>
      <c r="L491" s="12">
        <v>1600</v>
      </c>
      <c r="M491" s="10">
        <v>5</v>
      </c>
      <c r="N491" s="13">
        <v>0</v>
      </c>
      <c r="O491" s="14">
        <v>370.68</v>
      </c>
      <c r="P491" s="10" t="s">
        <v>69</v>
      </c>
    </row>
    <row r="492" spans="1:16">
      <c r="A492" s="10" t="s">
        <v>1007</v>
      </c>
      <c r="B492" s="11">
        <v>46103</v>
      </c>
      <c r="C492" s="11">
        <v>46107</v>
      </c>
      <c r="D492" s="10" t="s">
        <v>894</v>
      </c>
      <c r="E492" s="10" t="s">
        <v>273</v>
      </c>
      <c r="F492" s="10" t="s">
        <v>29</v>
      </c>
      <c r="G492" s="10" t="s">
        <v>97</v>
      </c>
      <c r="H492" s="10" t="s">
        <v>21</v>
      </c>
      <c r="I492" s="10" t="s">
        <v>22</v>
      </c>
      <c r="J492" s="10" t="s">
        <v>76</v>
      </c>
      <c r="K492" s="10" t="s">
        <v>85</v>
      </c>
      <c r="L492" s="12">
        <v>374</v>
      </c>
      <c r="M492" s="10">
        <v>2</v>
      </c>
      <c r="N492" s="13">
        <v>0.15</v>
      </c>
      <c r="O492" s="14">
        <v>71.25</v>
      </c>
      <c r="P492" s="10" t="s">
        <v>48</v>
      </c>
    </row>
    <row r="493" spans="1:16">
      <c r="A493" s="10" t="s">
        <v>1008</v>
      </c>
      <c r="B493" s="11">
        <v>46235</v>
      </c>
      <c r="C493" s="11">
        <v>46242</v>
      </c>
      <c r="D493" s="10" t="s">
        <v>335</v>
      </c>
      <c r="E493" s="10" t="s">
        <v>849</v>
      </c>
      <c r="F493" s="10" t="s">
        <v>29</v>
      </c>
      <c r="G493" s="10" t="s">
        <v>67</v>
      </c>
      <c r="H493" s="10" t="s">
        <v>68</v>
      </c>
      <c r="I493" s="10" t="s">
        <v>22</v>
      </c>
      <c r="J493" s="10" t="s">
        <v>23</v>
      </c>
      <c r="K493" s="10" t="s">
        <v>293</v>
      </c>
      <c r="L493" s="12">
        <v>5250</v>
      </c>
      <c r="M493" s="10">
        <v>7</v>
      </c>
      <c r="N493" s="13">
        <v>0</v>
      </c>
      <c r="O493" s="14">
        <v>807.74</v>
      </c>
      <c r="P493" s="10" t="s">
        <v>25</v>
      </c>
    </row>
    <row r="494" spans="1:16">
      <c r="A494" s="10" t="s">
        <v>1009</v>
      </c>
      <c r="B494" s="11">
        <v>45347</v>
      </c>
      <c r="C494" s="11">
        <v>45350</v>
      </c>
      <c r="D494" s="10" t="s">
        <v>255</v>
      </c>
      <c r="E494" s="10" t="s">
        <v>418</v>
      </c>
      <c r="F494" s="10" t="s">
        <v>19</v>
      </c>
      <c r="G494" s="10" t="s">
        <v>151</v>
      </c>
      <c r="H494" s="10" t="s">
        <v>151</v>
      </c>
      <c r="I494" s="10" t="s">
        <v>75</v>
      </c>
      <c r="J494" s="10" t="s">
        <v>38</v>
      </c>
      <c r="K494" s="10" t="s">
        <v>169</v>
      </c>
      <c r="L494" s="12">
        <v>4132.5</v>
      </c>
      <c r="M494" s="10">
        <v>3</v>
      </c>
      <c r="N494" s="13">
        <v>0.05</v>
      </c>
      <c r="O494" s="14">
        <v>999.55</v>
      </c>
      <c r="P494" s="10" t="s">
        <v>25</v>
      </c>
    </row>
    <row r="495" spans="1:16">
      <c r="A495" s="10" t="s">
        <v>1010</v>
      </c>
      <c r="B495" s="11">
        <v>46286</v>
      </c>
      <c r="C495" s="11">
        <v>46290</v>
      </c>
      <c r="D495" s="10" t="s">
        <v>303</v>
      </c>
      <c r="E495" s="10" t="s">
        <v>503</v>
      </c>
      <c r="F495" s="10" t="s">
        <v>29</v>
      </c>
      <c r="G495" s="10" t="s">
        <v>35</v>
      </c>
      <c r="H495" s="10" t="s">
        <v>36</v>
      </c>
      <c r="I495" s="10" t="s">
        <v>37</v>
      </c>
      <c r="J495" s="10" t="s">
        <v>38</v>
      </c>
      <c r="K495" s="10" t="s">
        <v>39</v>
      </c>
      <c r="L495" s="12">
        <v>6317.5</v>
      </c>
      <c r="M495" s="10">
        <v>7</v>
      </c>
      <c r="N495" s="13">
        <v>0.05</v>
      </c>
      <c r="O495" s="14">
        <v>1061.6199999999999</v>
      </c>
      <c r="P495" s="10" t="s">
        <v>25</v>
      </c>
    </row>
    <row r="496" spans="1:16">
      <c r="A496" s="10" t="s">
        <v>1011</v>
      </c>
      <c r="B496" s="11">
        <v>45877</v>
      </c>
      <c r="C496" s="11">
        <v>45883</v>
      </c>
      <c r="D496" s="10" t="s">
        <v>463</v>
      </c>
      <c r="E496" s="10" t="s">
        <v>393</v>
      </c>
      <c r="F496" s="10" t="s">
        <v>29</v>
      </c>
      <c r="G496" s="10" t="s">
        <v>135</v>
      </c>
      <c r="H496" s="10" t="s">
        <v>21</v>
      </c>
      <c r="I496" s="10" t="s">
        <v>22</v>
      </c>
      <c r="J496" s="10" t="s">
        <v>76</v>
      </c>
      <c r="K496" s="10" t="s">
        <v>229</v>
      </c>
      <c r="L496" s="12">
        <v>3420</v>
      </c>
      <c r="M496" s="10">
        <v>2</v>
      </c>
      <c r="N496" s="13">
        <v>0.1</v>
      </c>
      <c r="O496" s="14">
        <v>802.08</v>
      </c>
      <c r="P496" s="10" t="s">
        <v>25</v>
      </c>
    </row>
    <row r="497" spans="1:16">
      <c r="A497" s="10" t="s">
        <v>1012</v>
      </c>
      <c r="B497" s="11">
        <v>45864</v>
      </c>
      <c r="C497" s="11">
        <v>45866</v>
      </c>
      <c r="D497" s="10" t="s">
        <v>217</v>
      </c>
      <c r="E497" s="10" t="s">
        <v>589</v>
      </c>
      <c r="F497" s="10" t="s">
        <v>29</v>
      </c>
      <c r="G497" s="10" t="s">
        <v>73</v>
      </c>
      <c r="H497" s="10" t="s">
        <v>74</v>
      </c>
      <c r="I497" s="10" t="s">
        <v>75</v>
      </c>
      <c r="J497" s="10" t="s">
        <v>76</v>
      </c>
      <c r="K497" s="10" t="s">
        <v>85</v>
      </c>
      <c r="L497" s="12">
        <v>748</v>
      </c>
      <c r="M497" s="10">
        <v>4</v>
      </c>
      <c r="N497" s="13">
        <v>0.15</v>
      </c>
      <c r="O497" s="14">
        <v>147.61000000000001</v>
      </c>
      <c r="P497" s="10" t="s">
        <v>48</v>
      </c>
    </row>
    <row r="498" spans="1:16">
      <c r="A498" s="10" t="s">
        <v>1013</v>
      </c>
      <c r="B498" s="11">
        <v>45564</v>
      </c>
      <c r="C498" s="11">
        <v>45571</v>
      </c>
      <c r="D498" s="10" t="s">
        <v>948</v>
      </c>
      <c r="E498" s="10" t="s">
        <v>326</v>
      </c>
      <c r="F498" s="10" t="s">
        <v>29</v>
      </c>
      <c r="G498" s="10" t="s">
        <v>81</v>
      </c>
      <c r="H498" s="10" t="s">
        <v>68</v>
      </c>
      <c r="I498" s="10" t="s">
        <v>22</v>
      </c>
      <c r="J498" s="10" t="s">
        <v>23</v>
      </c>
      <c r="K498" s="10" t="s">
        <v>47</v>
      </c>
      <c r="L498" s="12">
        <v>6200</v>
      </c>
      <c r="M498" s="10">
        <v>2</v>
      </c>
      <c r="N498" s="13">
        <v>0</v>
      </c>
      <c r="O498" s="14">
        <v>1273.1400000000001</v>
      </c>
      <c r="P498" s="10" t="s">
        <v>69</v>
      </c>
    </row>
    <row r="499" spans="1:16">
      <c r="A499" s="10" t="s">
        <v>1014</v>
      </c>
      <c r="B499" s="11">
        <v>45644</v>
      </c>
      <c r="C499" s="11">
        <v>45649</v>
      </c>
      <c r="D499" s="10" t="s">
        <v>204</v>
      </c>
      <c r="E499" s="10" t="s">
        <v>656</v>
      </c>
      <c r="F499" s="10" t="s">
        <v>29</v>
      </c>
      <c r="G499" s="10" t="s">
        <v>167</v>
      </c>
      <c r="H499" s="10" t="s">
        <v>168</v>
      </c>
      <c r="I499" s="10" t="s">
        <v>37</v>
      </c>
      <c r="J499" s="10" t="s">
        <v>38</v>
      </c>
      <c r="K499" s="10" t="s">
        <v>169</v>
      </c>
      <c r="L499" s="12">
        <v>4132.5</v>
      </c>
      <c r="M499" s="10">
        <v>3</v>
      </c>
      <c r="N499" s="13">
        <v>0.05</v>
      </c>
      <c r="O499" s="14">
        <v>877.26</v>
      </c>
      <c r="P499" s="10" t="s">
        <v>25</v>
      </c>
    </row>
    <row r="500" spans="1:16">
      <c r="A500" s="10" t="s">
        <v>1015</v>
      </c>
      <c r="B500" s="11">
        <v>45337</v>
      </c>
      <c r="C500" s="11">
        <v>45344</v>
      </c>
      <c r="D500" s="10" t="s">
        <v>555</v>
      </c>
      <c r="E500" s="10" t="s">
        <v>707</v>
      </c>
      <c r="F500" s="10" t="s">
        <v>19</v>
      </c>
      <c r="G500" s="10" t="s">
        <v>111</v>
      </c>
      <c r="H500" s="10" t="s">
        <v>21</v>
      </c>
      <c r="I500" s="10" t="s">
        <v>22</v>
      </c>
      <c r="J500" s="10" t="s">
        <v>30</v>
      </c>
      <c r="K500" s="10" t="s">
        <v>173</v>
      </c>
      <c r="L500" s="12">
        <v>768</v>
      </c>
      <c r="M500" s="10">
        <v>3</v>
      </c>
      <c r="N500" s="13">
        <v>0.2</v>
      </c>
      <c r="O500" s="14">
        <v>98.52</v>
      </c>
      <c r="P500" s="10" t="s">
        <v>56</v>
      </c>
    </row>
    <row r="501" spans="1:16">
      <c r="A501" s="10" t="s">
        <v>1016</v>
      </c>
      <c r="B501" s="11">
        <v>46181</v>
      </c>
      <c r="C501" s="11">
        <v>46188</v>
      </c>
      <c r="D501" s="10" t="s">
        <v>1017</v>
      </c>
      <c r="E501" s="10" t="s">
        <v>670</v>
      </c>
      <c r="F501" s="10" t="s">
        <v>29</v>
      </c>
      <c r="G501" s="10" t="s">
        <v>44</v>
      </c>
      <c r="H501" s="10" t="s">
        <v>45</v>
      </c>
      <c r="I501" s="10" t="s">
        <v>46</v>
      </c>
      <c r="J501" s="10" t="s">
        <v>23</v>
      </c>
      <c r="K501" s="10" t="s">
        <v>120</v>
      </c>
      <c r="L501" s="12">
        <v>20160</v>
      </c>
      <c r="M501" s="10">
        <v>6</v>
      </c>
      <c r="N501" s="13">
        <v>0.2</v>
      </c>
      <c r="O501" s="14">
        <v>2840.28</v>
      </c>
      <c r="P501" s="10" t="s">
        <v>69</v>
      </c>
    </row>
    <row r="502" spans="1:16">
      <c r="A502" s="10" t="s">
        <v>1018</v>
      </c>
      <c r="B502" s="11">
        <v>45506</v>
      </c>
      <c r="C502" s="11">
        <v>45512</v>
      </c>
      <c r="D502" s="10" t="s">
        <v>181</v>
      </c>
      <c r="E502" s="10" t="s">
        <v>641</v>
      </c>
      <c r="F502" s="10" t="s">
        <v>19</v>
      </c>
      <c r="G502" s="10" t="s">
        <v>151</v>
      </c>
      <c r="H502" s="10" t="s">
        <v>151</v>
      </c>
      <c r="I502" s="10" t="s">
        <v>75</v>
      </c>
      <c r="J502" s="10" t="s">
        <v>30</v>
      </c>
      <c r="K502" s="10" t="s">
        <v>31</v>
      </c>
      <c r="L502" s="12">
        <v>510</v>
      </c>
      <c r="M502" s="10">
        <v>5</v>
      </c>
      <c r="N502" s="13">
        <v>0.15</v>
      </c>
      <c r="O502" s="14">
        <v>118.28</v>
      </c>
      <c r="P502" s="10" t="s">
        <v>48</v>
      </c>
    </row>
    <row r="503" spans="1:16">
      <c r="A503" s="10" t="s">
        <v>1019</v>
      </c>
      <c r="B503" s="11">
        <v>45677</v>
      </c>
      <c r="C503" s="11">
        <v>45682</v>
      </c>
      <c r="D503" s="10" t="s">
        <v>487</v>
      </c>
      <c r="E503" s="10" t="s">
        <v>1020</v>
      </c>
      <c r="F503" s="10" t="s">
        <v>29</v>
      </c>
      <c r="G503" s="10" t="s">
        <v>101</v>
      </c>
      <c r="H503" s="10" t="s">
        <v>102</v>
      </c>
      <c r="I503" s="10" t="s">
        <v>103</v>
      </c>
      <c r="J503" s="10" t="s">
        <v>38</v>
      </c>
      <c r="K503" s="10" t="s">
        <v>169</v>
      </c>
      <c r="L503" s="12">
        <v>4350</v>
      </c>
      <c r="M503" s="10">
        <v>3</v>
      </c>
      <c r="N503" s="13">
        <v>0</v>
      </c>
      <c r="O503" s="14">
        <v>1331.78</v>
      </c>
      <c r="P503" s="10" t="s">
        <v>25</v>
      </c>
    </row>
    <row r="504" spans="1:16">
      <c r="A504" s="10" t="s">
        <v>1021</v>
      </c>
      <c r="B504" s="11">
        <v>45962</v>
      </c>
      <c r="C504" s="11">
        <v>45963</v>
      </c>
      <c r="D504" s="10" t="s">
        <v>1022</v>
      </c>
      <c r="E504" s="10" t="s">
        <v>304</v>
      </c>
      <c r="F504" s="10" t="s">
        <v>43</v>
      </c>
      <c r="G504" s="10" t="s">
        <v>20</v>
      </c>
      <c r="H504" s="10" t="s">
        <v>21</v>
      </c>
      <c r="I504" s="10" t="s">
        <v>22</v>
      </c>
      <c r="J504" s="10" t="s">
        <v>76</v>
      </c>
      <c r="K504" s="10" t="s">
        <v>229</v>
      </c>
      <c r="L504" s="12">
        <v>11400</v>
      </c>
      <c r="M504" s="10">
        <v>6</v>
      </c>
      <c r="N504" s="13">
        <v>0</v>
      </c>
      <c r="O504" s="14">
        <v>4275.45</v>
      </c>
      <c r="P504" s="10" t="s">
        <v>63</v>
      </c>
    </row>
    <row r="505" spans="1:16">
      <c r="A505" s="10" t="s">
        <v>1023</v>
      </c>
      <c r="B505" s="11">
        <v>46292</v>
      </c>
      <c r="C505" s="11">
        <v>46298</v>
      </c>
      <c r="D505" s="10" t="s">
        <v>245</v>
      </c>
      <c r="E505" s="10" t="s">
        <v>420</v>
      </c>
      <c r="F505" s="10" t="s">
        <v>19</v>
      </c>
      <c r="G505" s="10" t="s">
        <v>20</v>
      </c>
      <c r="H505" s="10" t="s">
        <v>21</v>
      </c>
      <c r="I505" s="10" t="s">
        <v>22</v>
      </c>
      <c r="J505" s="10" t="s">
        <v>23</v>
      </c>
      <c r="K505" s="10" t="s">
        <v>293</v>
      </c>
      <c r="L505" s="12">
        <v>1500</v>
      </c>
      <c r="M505" s="10">
        <v>2</v>
      </c>
      <c r="N505" s="13">
        <v>0</v>
      </c>
      <c r="O505" s="14">
        <v>492.44</v>
      </c>
      <c r="P505" s="10" t="s">
        <v>48</v>
      </c>
    </row>
    <row r="506" spans="1:16">
      <c r="A506" s="10" t="s">
        <v>1024</v>
      </c>
      <c r="B506" s="11">
        <v>45332</v>
      </c>
      <c r="C506" s="11">
        <v>45334</v>
      </c>
      <c r="D506" s="10" t="s">
        <v>460</v>
      </c>
      <c r="E506" s="10" t="s">
        <v>1025</v>
      </c>
      <c r="F506" s="10" t="s">
        <v>43</v>
      </c>
      <c r="G506" s="10" t="s">
        <v>101</v>
      </c>
      <c r="H506" s="10" t="s">
        <v>102</v>
      </c>
      <c r="I506" s="10" t="s">
        <v>103</v>
      </c>
      <c r="J506" s="10" t="s">
        <v>23</v>
      </c>
      <c r="K506" s="10" t="s">
        <v>89</v>
      </c>
      <c r="L506" s="12">
        <v>20160</v>
      </c>
      <c r="M506" s="10">
        <v>8</v>
      </c>
      <c r="N506" s="13">
        <v>0.1</v>
      </c>
      <c r="O506" s="14">
        <v>3456.6</v>
      </c>
      <c r="P506" s="10" t="s">
        <v>69</v>
      </c>
    </row>
    <row r="507" spans="1:16">
      <c r="A507" s="10" t="s">
        <v>1026</v>
      </c>
      <c r="B507" s="11">
        <v>45932</v>
      </c>
      <c r="C507" s="11">
        <v>45935</v>
      </c>
      <c r="D507" s="10" t="s">
        <v>465</v>
      </c>
      <c r="E507" s="10" t="s">
        <v>1027</v>
      </c>
      <c r="F507" s="10" t="s">
        <v>43</v>
      </c>
      <c r="G507" s="10" t="s">
        <v>111</v>
      </c>
      <c r="H507" s="10" t="s">
        <v>21</v>
      </c>
      <c r="I507" s="10" t="s">
        <v>22</v>
      </c>
      <c r="J507" s="10" t="s">
        <v>23</v>
      </c>
      <c r="K507" s="10" t="s">
        <v>120</v>
      </c>
      <c r="L507" s="12">
        <v>18900</v>
      </c>
      <c r="M507" s="10">
        <v>5</v>
      </c>
      <c r="N507" s="13">
        <v>0.1</v>
      </c>
      <c r="O507" s="14">
        <v>2523.06</v>
      </c>
      <c r="P507" s="10" t="s">
        <v>56</v>
      </c>
    </row>
    <row r="508" spans="1:16">
      <c r="A508" s="10" t="s">
        <v>1028</v>
      </c>
      <c r="B508" s="11">
        <v>45447</v>
      </c>
      <c r="C508" s="11">
        <v>45450</v>
      </c>
      <c r="D508" s="10" t="s">
        <v>231</v>
      </c>
      <c r="E508" s="10" t="s">
        <v>859</v>
      </c>
      <c r="F508" s="10" t="s">
        <v>19</v>
      </c>
      <c r="G508" s="10" t="s">
        <v>101</v>
      </c>
      <c r="H508" s="10" t="s">
        <v>102</v>
      </c>
      <c r="I508" s="10" t="s">
        <v>103</v>
      </c>
      <c r="J508" s="10" t="s">
        <v>76</v>
      </c>
      <c r="K508" s="10" t="s">
        <v>131</v>
      </c>
      <c r="L508" s="12">
        <v>560</v>
      </c>
      <c r="M508" s="10">
        <v>2</v>
      </c>
      <c r="N508" s="13">
        <v>0.2</v>
      </c>
      <c r="O508" s="14">
        <v>140.35</v>
      </c>
      <c r="P508" s="10" t="s">
        <v>56</v>
      </c>
    </row>
    <row r="509" spans="1:16">
      <c r="A509" s="10" t="s">
        <v>1029</v>
      </c>
      <c r="B509" s="11">
        <v>45719</v>
      </c>
      <c r="C509" s="11">
        <v>45721</v>
      </c>
      <c r="D509" s="10" t="s">
        <v>122</v>
      </c>
      <c r="E509" s="10" t="s">
        <v>488</v>
      </c>
      <c r="F509" s="10" t="s">
        <v>19</v>
      </c>
      <c r="G509" s="10" t="s">
        <v>224</v>
      </c>
      <c r="H509" s="10" t="s">
        <v>225</v>
      </c>
      <c r="I509" s="10" t="s">
        <v>75</v>
      </c>
      <c r="J509" s="10" t="s">
        <v>30</v>
      </c>
      <c r="K509" s="10" t="s">
        <v>127</v>
      </c>
      <c r="L509" s="12">
        <v>637.5</v>
      </c>
      <c r="M509" s="10">
        <v>5</v>
      </c>
      <c r="N509" s="13">
        <v>0.15</v>
      </c>
      <c r="O509" s="14">
        <v>173.33</v>
      </c>
      <c r="P509" s="10" t="s">
        <v>56</v>
      </c>
    </row>
    <row r="510" spans="1:16">
      <c r="A510" s="10" t="s">
        <v>1030</v>
      </c>
      <c r="B510" s="11">
        <v>45886</v>
      </c>
      <c r="C510" s="11">
        <v>45891</v>
      </c>
      <c r="D510" s="10" t="s">
        <v>1031</v>
      </c>
      <c r="E510" s="10" t="s">
        <v>119</v>
      </c>
      <c r="F510" s="10" t="s">
        <v>29</v>
      </c>
      <c r="G510" s="10" t="s">
        <v>167</v>
      </c>
      <c r="H510" s="10" t="s">
        <v>168</v>
      </c>
      <c r="I510" s="10" t="s">
        <v>37</v>
      </c>
      <c r="J510" s="10" t="s">
        <v>30</v>
      </c>
      <c r="K510" s="10" t="s">
        <v>31</v>
      </c>
      <c r="L510" s="12">
        <v>480</v>
      </c>
      <c r="M510" s="10">
        <v>5</v>
      </c>
      <c r="N510" s="13">
        <v>0.2</v>
      </c>
      <c r="O510" s="14">
        <v>80</v>
      </c>
      <c r="P510" s="10" t="s">
        <v>63</v>
      </c>
    </row>
    <row r="511" spans="1:16">
      <c r="A511" s="10" t="s">
        <v>1032</v>
      </c>
      <c r="B511" s="11">
        <v>46231</v>
      </c>
      <c r="C511" s="11">
        <v>46233</v>
      </c>
      <c r="D511" s="10" t="s">
        <v>781</v>
      </c>
      <c r="E511" s="10" t="s">
        <v>641</v>
      </c>
      <c r="F511" s="10" t="s">
        <v>29</v>
      </c>
      <c r="G511" s="10" t="s">
        <v>67</v>
      </c>
      <c r="H511" s="10" t="s">
        <v>68</v>
      </c>
      <c r="I511" s="10" t="s">
        <v>22</v>
      </c>
      <c r="J511" s="10" t="s">
        <v>38</v>
      </c>
      <c r="K511" s="10" t="s">
        <v>62</v>
      </c>
      <c r="L511" s="12">
        <v>17000</v>
      </c>
      <c r="M511" s="10">
        <v>2</v>
      </c>
      <c r="N511" s="13">
        <v>0</v>
      </c>
      <c r="O511" s="14">
        <v>5056.22</v>
      </c>
      <c r="P511" s="10" t="s">
        <v>69</v>
      </c>
    </row>
    <row r="512" spans="1:16">
      <c r="A512" s="10" t="s">
        <v>1033</v>
      </c>
      <c r="B512" s="11">
        <v>46193</v>
      </c>
      <c r="C512" s="11">
        <v>46197</v>
      </c>
      <c r="D512" s="10" t="s">
        <v>347</v>
      </c>
      <c r="E512" s="10" t="s">
        <v>100</v>
      </c>
      <c r="F512" s="10" t="s">
        <v>29</v>
      </c>
      <c r="G512" s="10" t="s">
        <v>81</v>
      </c>
      <c r="H512" s="10" t="s">
        <v>68</v>
      </c>
      <c r="I512" s="10" t="s">
        <v>22</v>
      </c>
      <c r="J512" s="10" t="s">
        <v>23</v>
      </c>
      <c r="K512" s="10" t="s">
        <v>293</v>
      </c>
      <c r="L512" s="12">
        <v>3750</v>
      </c>
      <c r="M512" s="10">
        <v>5</v>
      </c>
      <c r="N512" s="13">
        <v>0</v>
      </c>
      <c r="O512" s="14">
        <v>665.37</v>
      </c>
      <c r="P512" s="10" t="s">
        <v>63</v>
      </c>
    </row>
    <row r="513" spans="1:16">
      <c r="A513" s="10" t="s">
        <v>1034</v>
      </c>
      <c r="B513" s="11">
        <v>45923</v>
      </c>
      <c r="C513" s="11">
        <v>45926</v>
      </c>
      <c r="D513" s="10" t="s">
        <v>621</v>
      </c>
      <c r="E513" s="10" t="s">
        <v>892</v>
      </c>
      <c r="F513" s="10" t="s">
        <v>43</v>
      </c>
      <c r="G513" s="10" t="s">
        <v>224</v>
      </c>
      <c r="H513" s="10" t="s">
        <v>225</v>
      </c>
      <c r="I513" s="10" t="s">
        <v>75</v>
      </c>
      <c r="J513" s="10" t="s">
        <v>30</v>
      </c>
      <c r="K513" s="10" t="s">
        <v>93</v>
      </c>
      <c r="L513" s="12">
        <v>360</v>
      </c>
      <c r="M513" s="10">
        <v>4</v>
      </c>
      <c r="N513" s="13">
        <v>0</v>
      </c>
      <c r="O513" s="14">
        <v>72.459999999999994</v>
      </c>
      <c r="P513" s="10" t="s">
        <v>56</v>
      </c>
    </row>
    <row r="514" spans="1:16">
      <c r="A514" s="10" t="s">
        <v>1035</v>
      </c>
      <c r="B514" s="11">
        <v>45806</v>
      </c>
      <c r="C514" s="11">
        <v>45813</v>
      </c>
      <c r="D514" s="10" t="s">
        <v>543</v>
      </c>
      <c r="E514" s="10" t="s">
        <v>260</v>
      </c>
      <c r="F514" s="10" t="s">
        <v>29</v>
      </c>
      <c r="G514" s="10" t="s">
        <v>224</v>
      </c>
      <c r="H514" s="10" t="s">
        <v>225</v>
      </c>
      <c r="I514" s="10" t="s">
        <v>75</v>
      </c>
      <c r="J514" s="10" t="s">
        <v>76</v>
      </c>
      <c r="K514" s="10" t="s">
        <v>229</v>
      </c>
      <c r="L514" s="12">
        <v>5130</v>
      </c>
      <c r="M514" s="10">
        <v>3</v>
      </c>
      <c r="N514" s="13">
        <v>0.1</v>
      </c>
      <c r="O514" s="14">
        <v>1216.96</v>
      </c>
      <c r="P514" s="10" t="s">
        <v>48</v>
      </c>
    </row>
    <row r="515" spans="1:16">
      <c r="A515" s="10" t="s">
        <v>1036</v>
      </c>
      <c r="B515" s="11">
        <v>45710</v>
      </c>
      <c r="C515" s="11">
        <v>45717</v>
      </c>
      <c r="D515" s="10" t="s">
        <v>635</v>
      </c>
      <c r="E515" s="10" t="s">
        <v>214</v>
      </c>
      <c r="F515" s="10" t="s">
        <v>29</v>
      </c>
      <c r="G515" s="10" t="s">
        <v>135</v>
      </c>
      <c r="H515" s="10" t="s">
        <v>21</v>
      </c>
      <c r="I515" s="10" t="s">
        <v>22</v>
      </c>
      <c r="J515" s="10" t="s">
        <v>23</v>
      </c>
      <c r="K515" s="10" t="s">
        <v>293</v>
      </c>
      <c r="L515" s="12">
        <v>2400</v>
      </c>
      <c r="M515" s="10">
        <v>4</v>
      </c>
      <c r="N515" s="13">
        <v>0.2</v>
      </c>
      <c r="O515" s="14">
        <v>421.08</v>
      </c>
      <c r="P515" s="10" t="s">
        <v>25</v>
      </c>
    </row>
    <row r="516" spans="1:16">
      <c r="A516" s="10" t="s">
        <v>1037</v>
      </c>
      <c r="B516" s="11">
        <v>46179</v>
      </c>
      <c r="C516" s="11">
        <v>46184</v>
      </c>
      <c r="D516" s="10" t="s">
        <v>1038</v>
      </c>
      <c r="E516" s="10" t="s">
        <v>1039</v>
      </c>
      <c r="F516" s="10" t="s">
        <v>43</v>
      </c>
      <c r="G516" s="10" t="s">
        <v>73</v>
      </c>
      <c r="H516" s="10" t="s">
        <v>74</v>
      </c>
      <c r="I516" s="10" t="s">
        <v>75</v>
      </c>
      <c r="J516" s="10" t="s">
        <v>23</v>
      </c>
      <c r="K516" s="10" t="s">
        <v>293</v>
      </c>
      <c r="L516" s="12">
        <v>2700</v>
      </c>
      <c r="M516" s="10">
        <v>4</v>
      </c>
      <c r="N516" s="13">
        <v>0.1</v>
      </c>
      <c r="O516" s="14">
        <v>701.28</v>
      </c>
      <c r="P516" s="10" t="s">
        <v>69</v>
      </c>
    </row>
    <row r="517" spans="1:16">
      <c r="A517" s="10" t="s">
        <v>1040</v>
      </c>
      <c r="B517" s="11">
        <v>45695</v>
      </c>
      <c r="C517" s="11">
        <v>45700</v>
      </c>
      <c r="D517" s="10" t="s">
        <v>149</v>
      </c>
      <c r="E517" s="10" t="s">
        <v>163</v>
      </c>
      <c r="F517" s="10" t="s">
        <v>29</v>
      </c>
      <c r="G517" s="10" t="s">
        <v>60</v>
      </c>
      <c r="H517" s="10" t="s">
        <v>61</v>
      </c>
      <c r="I517" s="10" t="s">
        <v>37</v>
      </c>
      <c r="J517" s="10" t="s">
        <v>38</v>
      </c>
      <c r="K517" s="10" t="s">
        <v>62</v>
      </c>
      <c r="L517" s="12">
        <v>15300</v>
      </c>
      <c r="M517" s="10">
        <v>2</v>
      </c>
      <c r="N517" s="13">
        <v>0.1</v>
      </c>
      <c r="O517" s="14">
        <v>3766.95</v>
      </c>
      <c r="P517" s="10" t="s">
        <v>63</v>
      </c>
    </row>
    <row r="518" spans="1:16">
      <c r="A518" s="10" t="s">
        <v>1041</v>
      </c>
      <c r="B518" s="11">
        <v>45842</v>
      </c>
      <c r="C518" s="11">
        <v>45846</v>
      </c>
      <c r="D518" s="10" t="s">
        <v>897</v>
      </c>
      <c r="E518" s="10" t="s">
        <v>707</v>
      </c>
      <c r="F518" s="10" t="s">
        <v>43</v>
      </c>
      <c r="G518" s="10" t="s">
        <v>60</v>
      </c>
      <c r="H518" s="10" t="s">
        <v>61</v>
      </c>
      <c r="I518" s="10" t="s">
        <v>37</v>
      </c>
      <c r="J518" s="10" t="s">
        <v>38</v>
      </c>
      <c r="K518" s="10" t="s">
        <v>62</v>
      </c>
      <c r="L518" s="12">
        <v>50575</v>
      </c>
      <c r="M518" s="10">
        <v>7</v>
      </c>
      <c r="N518" s="13">
        <v>0.15</v>
      </c>
      <c r="O518" s="14">
        <v>8019.09</v>
      </c>
      <c r="P518" s="10" t="s">
        <v>25</v>
      </c>
    </row>
    <row r="519" spans="1:16">
      <c r="A519" s="10" t="s">
        <v>1042</v>
      </c>
      <c r="B519" s="11">
        <v>45699</v>
      </c>
      <c r="C519" s="11">
        <v>45702</v>
      </c>
      <c r="D519" s="10" t="s">
        <v>529</v>
      </c>
      <c r="E519" s="10" t="s">
        <v>1043</v>
      </c>
      <c r="F519" s="10" t="s">
        <v>19</v>
      </c>
      <c r="G519" s="10" t="s">
        <v>35</v>
      </c>
      <c r="H519" s="10" t="s">
        <v>36</v>
      </c>
      <c r="I519" s="10" t="s">
        <v>37</v>
      </c>
      <c r="J519" s="10" t="s">
        <v>23</v>
      </c>
      <c r="K519" s="10" t="s">
        <v>293</v>
      </c>
      <c r="L519" s="12">
        <v>2025</v>
      </c>
      <c r="M519" s="10">
        <v>3</v>
      </c>
      <c r="N519" s="13">
        <v>0.1</v>
      </c>
      <c r="O519" s="14">
        <v>584.11</v>
      </c>
      <c r="P519" s="10" t="s">
        <v>56</v>
      </c>
    </row>
    <row r="520" spans="1:16">
      <c r="A520" s="10" t="s">
        <v>1044</v>
      </c>
      <c r="B520" s="11">
        <v>45766</v>
      </c>
      <c r="C520" s="11">
        <v>45773</v>
      </c>
      <c r="D520" s="10" t="s">
        <v>190</v>
      </c>
      <c r="E520" s="10" t="s">
        <v>659</v>
      </c>
      <c r="F520" s="10" t="s">
        <v>43</v>
      </c>
      <c r="G520" s="10" t="s">
        <v>167</v>
      </c>
      <c r="H520" s="10" t="s">
        <v>168</v>
      </c>
      <c r="I520" s="10" t="s">
        <v>37</v>
      </c>
      <c r="J520" s="10" t="s">
        <v>76</v>
      </c>
      <c r="K520" s="10" t="s">
        <v>206</v>
      </c>
      <c r="L520" s="12">
        <v>2200</v>
      </c>
      <c r="M520" s="10">
        <v>2</v>
      </c>
      <c r="N520" s="13">
        <v>0</v>
      </c>
      <c r="O520" s="14">
        <v>390.57</v>
      </c>
      <c r="P520" s="10" t="s">
        <v>25</v>
      </c>
    </row>
    <row r="521" spans="1:16">
      <c r="A521" s="10" t="s">
        <v>1045</v>
      </c>
      <c r="B521" s="11">
        <v>45623</v>
      </c>
      <c r="C521" s="11">
        <v>45627</v>
      </c>
      <c r="D521" s="10" t="s">
        <v>289</v>
      </c>
      <c r="E521" s="10" t="s">
        <v>756</v>
      </c>
      <c r="F521" s="10" t="s">
        <v>19</v>
      </c>
      <c r="G521" s="10" t="s">
        <v>135</v>
      </c>
      <c r="H521" s="10" t="s">
        <v>21</v>
      </c>
      <c r="I521" s="10" t="s">
        <v>22</v>
      </c>
      <c r="J521" s="10" t="s">
        <v>30</v>
      </c>
      <c r="K521" s="10" t="s">
        <v>127</v>
      </c>
      <c r="L521" s="12">
        <v>540</v>
      </c>
      <c r="M521" s="10">
        <v>4</v>
      </c>
      <c r="N521" s="13">
        <v>0.1</v>
      </c>
      <c r="O521" s="14">
        <v>184.44</v>
      </c>
      <c r="P521" s="10" t="s">
        <v>48</v>
      </c>
    </row>
    <row r="522" spans="1:16">
      <c r="A522" s="10" t="s">
        <v>1046</v>
      </c>
      <c r="B522" s="11">
        <v>45385</v>
      </c>
      <c r="C522" s="11">
        <v>45386</v>
      </c>
      <c r="D522" s="10" t="s">
        <v>181</v>
      </c>
      <c r="E522" s="10" t="s">
        <v>92</v>
      </c>
      <c r="F522" s="10" t="s">
        <v>29</v>
      </c>
      <c r="G522" s="10" t="s">
        <v>60</v>
      </c>
      <c r="H522" s="10" t="s">
        <v>61</v>
      </c>
      <c r="I522" s="10" t="s">
        <v>37</v>
      </c>
      <c r="J522" s="10" t="s">
        <v>76</v>
      </c>
      <c r="K522" s="10" t="s">
        <v>229</v>
      </c>
      <c r="L522" s="12">
        <v>3230</v>
      </c>
      <c r="M522" s="10">
        <v>2</v>
      </c>
      <c r="N522" s="13">
        <v>0.15</v>
      </c>
      <c r="O522" s="14">
        <v>560.75</v>
      </c>
      <c r="P522" s="10" t="s">
        <v>25</v>
      </c>
    </row>
    <row r="523" spans="1:16">
      <c r="A523" s="10" t="s">
        <v>1047</v>
      </c>
      <c r="B523" s="11">
        <v>45855</v>
      </c>
      <c r="C523" s="11">
        <v>45859</v>
      </c>
      <c r="D523" s="10" t="s">
        <v>263</v>
      </c>
      <c r="E523" s="10" t="s">
        <v>776</v>
      </c>
      <c r="F523" s="10" t="s">
        <v>43</v>
      </c>
      <c r="G523" s="10" t="s">
        <v>135</v>
      </c>
      <c r="H523" s="10" t="s">
        <v>21</v>
      </c>
      <c r="I523" s="10" t="s">
        <v>22</v>
      </c>
      <c r="J523" s="10" t="s">
        <v>30</v>
      </c>
      <c r="K523" s="10" t="s">
        <v>173</v>
      </c>
      <c r="L523" s="12">
        <v>960</v>
      </c>
      <c r="M523" s="10">
        <v>3</v>
      </c>
      <c r="N523" s="13">
        <v>0</v>
      </c>
      <c r="O523" s="14">
        <v>147.94</v>
      </c>
      <c r="P523" s="10" t="s">
        <v>69</v>
      </c>
    </row>
    <row r="524" spans="1:16">
      <c r="A524" s="10" t="s">
        <v>1048</v>
      </c>
      <c r="B524" s="11">
        <v>46039</v>
      </c>
      <c r="C524" s="11">
        <v>46046</v>
      </c>
      <c r="D524" s="10" t="s">
        <v>768</v>
      </c>
      <c r="E524" s="10" t="s">
        <v>240</v>
      </c>
      <c r="F524" s="10" t="s">
        <v>43</v>
      </c>
      <c r="G524" s="10" t="s">
        <v>73</v>
      </c>
      <c r="H524" s="10" t="s">
        <v>74</v>
      </c>
      <c r="I524" s="10" t="s">
        <v>75</v>
      </c>
      <c r="J524" s="10" t="s">
        <v>23</v>
      </c>
      <c r="K524" s="10" t="s">
        <v>24</v>
      </c>
      <c r="L524" s="12">
        <v>13000</v>
      </c>
      <c r="M524" s="10">
        <v>2</v>
      </c>
      <c r="N524" s="13">
        <v>0</v>
      </c>
      <c r="O524" s="14">
        <v>1693.73</v>
      </c>
      <c r="P524" s="10" t="s">
        <v>48</v>
      </c>
    </row>
    <row r="525" spans="1:16">
      <c r="A525" s="10" t="s">
        <v>1049</v>
      </c>
      <c r="B525" s="11">
        <v>45761</v>
      </c>
      <c r="C525" s="11">
        <v>45765</v>
      </c>
      <c r="D525" s="10" t="s">
        <v>362</v>
      </c>
      <c r="E525" s="10" t="s">
        <v>572</v>
      </c>
      <c r="F525" s="10" t="s">
        <v>19</v>
      </c>
      <c r="G525" s="10" t="s">
        <v>44</v>
      </c>
      <c r="H525" s="10" t="s">
        <v>45</v>
      </c>
      <c r="I525" s="10" t="s">
        <v>46</v>
      </c>
      <c r="J525" s="10" t="s">
        <v>76</v>
      </c>
      <c r="K525" s="10" t="s">
        <v>85</v>
      </c>
      <c r="L525" s="12">
        <v>187</v>
      </c>
      <c r="M525" s="10">
        <v>1</v>
      </c>
      <c r="N525" s="13">
        <v>0.15</v>
      </c>
      <c r="O525" s="14">
        <v>23.94</v>
      </c>
      <c r="P525" s="10" t="s">
        <v>25</v>
      </c>
    </row>
    <row r="526" spans="1:16">
      <c r="A526" s="10" t="s">
        <v>1050</v>
      </c>
      <c r="B526" s="11">
        <v>45756</v>
      </c>
      <c r="C526" s="11">
        <v>45760</v>
      </c>
      <c r="D526" s="10" t="s">
        <v>535</v>
      </c>
      <c r="E526" s="10" t="s">
        <v>328</v>
      </c>
      <c r="F526" s="10" t="s">
        <v>19</v>
      </c>
      <c r="G526" s="10" t="s">
        <v>73</v>
      </c>
      <c r="H526" s="10" t="s">
        <v>74</v>
      </c>
      <c r="I526" s="10" t="s">
        <v>75</v>
      </c>
      <c r="J526" s="10" t="s">
        <v>38</v>
      </c>
      <c r="K526" s="10" t="s">
        <v>62</v>
      </c>
      <c r="L526" s="12">
        <v>8500</v>
      </c>
      <c r="M526" s="10">
        <v>1</v>
      </c>
      <c r="N526" s="13">
        <v>0</v>
      </c>
      <c r="O526" s="14">
        <v>1280.4100000000001</v>
      </c>
      <c r="P526" s="10" t="s">
        <v>56</v>
      </c>
    </row>
    <row r="527" spans="1:16">
      <c r="A527" s="10" t="s">
        <v>1051</v>
      </c>
      <c r="B527" s="11">
        <v>45342</v>
      </c>
      <c r="C527" s="11">
        <v>45344</v>
      </c>
      <c r="D527" s="10" t="s">
        <v>1052</v>
      </c>
      <c r="E527" s="10" t="s">
        <v>603</v>
      </c>
      <c r="F527" s="10" t="s">
        <v>19</v>
      </c>
      <c r="G527" s="10" t="s">
        <v>97</v>
      </c>
      <c r="H527" s="10" t="s">
        <v>21</v>
      </c>
      <c r="I527" s="10" t="s">
        <v>22</v>
      </c>
      <c r="J527" s="10" t="s">
        <v>38</v>
      </c>
      <c r="K527" s="10" t="s">
        <v>169</v>
      </c>
      <c r="L527" s="12">
        <v>1450</v>
      </c>
      <c r="M527" s="10">
        <v>1</v>
      </c>
      <c r="N527" s="13">
        <v>0</v>
      </c>
      <c r="O527" s="14">
        <v>229.11</v>
      </c>
      <c r="P527" s="10" t="s">
        <v>69</v>
      </c>
    </row>
    <row r="528" spans="1:16">
      <c r="A528" s="10" t="s">
        <v>1053</v>
      </c>
      <c r="B528" s="11">
        <v>45631</v>
      </c>
      <c r="C528" s="11">
        <v>45632</v>
      </c>
      <c r="D528" s="10" t="s">
        <v>1054</v>
      </c>
      <c r="E528" s="10" t="s">
        <v>742</v>
      </c>
      <c r="F528" s="10" t="s">
        <v>19</v>
      </c>
      <c r="G528" s="10" t="s">
        <v>135</v>
      </c>
      <c r="H528" s="10" t="s">
        <v>21</v>
      </c>
      <c r="I528" s="10" t="s">
        <v>22</v>
      </c>
      <c r="J528" s="10" t="s">
        <v>38</v>
      </c>
      <c r="K528" s="10" t="s">
        <v>55</v>
      </c>
      <c r="L528" s="12">
        <v>1650</v>
      </c>
      <c r="M528" s="10">
        <v>3</v>
      </c>
      <c r="N528" s="13">
        <v>0</v>
      </c>
      <c r="O528" s="14">
        <v>338.67</v>
      </c>
      <c r="P528" s="10" t="s">
        <v>56</v>
      </c>
    </row>
    <row r="529" spans="1:16">
      <c r="A529" s="10" t="s">
        <v>1055</v>
      </c>
      <c r="B529" s="11">
        <v>46281</v>
      </c>
      <c r="C529" s="11">
        <v>46285</v>
      </c>
      <c r="D529" s="10" t="s">
        <v>747</v>
      </c>
      <c r="E529" s="10" t="s">
        <v>959</v>
      </c>
      <c r="F529" s="10" t="s">
        <v>29</v>
      </c>
      <c r="G529" s="10" t="s">
        <v>60</v>
      </c>
      <c r="H529" s="10" t="s">
        <v>61</v>
      </c>
      <c r="I529" s="10" t="s">
        <v>37</v>
      </c>
      <c r="J529" s="10" t="s">
        <v>23</v>
      </c>
      <c r="K529" s="10" t="s">
        <v>120</v>
      </c>
      <c r="L529" s="12">
        <v>7980</v>
      </c>
      <c r="M529" s="10">
        <v>2</v>
      </c>
      <c r="N529" s="13">
        <v>0.05</v>
      </c>
      <c r="O529" s="14">
        <v>2302.7600000000002</v>
      </c>
      <c r="P529" s="10" t="s">
        <v>25</v>
      </c>
    </row>
    <row r="530" spans="1:16">
      <c r="A530" s="10" t="s">
        <v>1056</v>
      </c>
      <c r="B530" s="11">
        <v>46155</v>
      </c>
      <c r="C530" s="11">
        <v>46160</v>
      </c>
      <c r="D530" s="10" t="s">
        <v>1057</v>
      </c>
      <c r="E530" s="10" t="s">
        <v>871</v>
      </c>
      <c r="F530" s="10" t="s">
        <v>43</v>
      </c>
      <c r="G530" s="10" t="s">
        <v>20</v>
      </c>
      <c r="H530" s="10" t="s">
        <v>21</v>
      </c>
      <c r="I530" s="10" t="s">
        <v>22</v>
      </c>
      <c r="J530" s="10" t="s">
        <v>23</v>
      </c>
      <c r="K530" s="10" t="s">
        <v>293</v>
      </c>
      <c r="L530" s="12">
        <v>2250</v>
      </c>
      <c r="M530" s="10">
        <v>3</v>
      </c>
      <c r="N530" s="13">
        <v>0</v>
      </c>
      <c r="O530" s="14">
        <v>448.65</v>
      </c>
      <c r="P530" s="10" t="s">
        <v>63</v>
      </c>
    </row>
    <row r="531" spans="1:16">
      <c r="A531" s="10" t="s">
        <v>1058</v>
      </c>
      <c r="B531" s="11">
        <v>45506</v>
      </c>
      <c r="C531" s="11">
        <v>45512</v>
      </c>
      <c r="D531" s="10" t="s">
        <v>284</v>
      </c>
      <c r="E531" s="10" t="s">
        <v>490</v>
      </c>
      <c r="F531" s="10" t="s">
        <v>19</v>
      </c>
      <c r="G531" s="10" t="s">
        <v>111</v>
      </c>
      <c r="H531" s="10" t="s">
        <v>21</v>
      </c>
      <c r="I531" s="10" t="s">
        <v>22</v>
      </c>
      <c r="J531" s="10" t="s">
        <v>38</v>
      </c>
      <c r="K531" s="10" t="s">
        <v>104</v>
      </c>
      <c r="L531" s="12">
        <v>1170</v>
      </c>
      <c r="M531" s="10">
        <v>2</v>
      </c>
      <c r="N531" s="13">
        <v>0.1</v>
      </c>
      <c r="O531" s="14">
        <v>206.79</v>
      </c>
      <c r="P531" s="10" t="s">
        <v>69</v>
      </c>
    </row>
    <row r="532" spans="1:16">
      <c r="A532" s="10" t="s">
        <v>1059</v>
      </c>
      <c r="B532" s="11">
        <v>45557</v>
      </c>
      <c r="C532" s="11">
        <v>45562</v>
      </c>
      <c r="D532" s="10" t="s">
        <v>840</v>
      </c>
      <c r="E532" s="10" t="s">
        <v>700</v>
      </c>
      <c r="F532" s="10" t="s">
        <v>29</v>
      </c>
      <c r="G532" s="10" t="s">
        <v>224</v>
      </c>
      <c r="H532" s="10" t="s">
        <v>225</v>
      </c>
      <c r="I532" s="10" t="s">
        <v>75</v>
      </c>
      <c r="J532" s="10" t="s">
        <v>23</v>
      </c>
      <c r="K532" s="10" t="s">
        <v>24</v>
      </c>
      <c r="L532" s="12">
        <v>44200</v>
      </c>
      <c r="M532" s="10">
        <v>8</v>
      </c>
      <c r="N532" s="13">
        <v>0.15</v>
      </c>
      <c r="O532" s="14">
        <v>7421.71</v>
      </c>
      <c r="P532" s="10" t="s">
        <v>63</v>
      </c>
    </row>
    <row r="533" spans="1:16">
      <c r="A533" s="10" t="s">
        <v>1060</v>
      </c>
      <c r="B533" s="11">
        <v>45530</v>
      </c>
      <c r="C533" s="11">
        <v>45536</v>
      </c>
      <c r="D533" s="10" t="s">
        <v>452</v>
      </c>
      <c r="E533" s="10" t="s">
        <v>927</v>
      </c>
      <c r="F533" s="10" t="s">
        <v>29</v>
      </c>
      <c r="G533" s="10" t="s">
        <v>179</v>
      </c>
      <c r="H533" s="10" t="s">
        <v>21</v>
      </c>
      <c r="I533" s="10" t="s">
        <v>22</v>
      </c>
      <c r="J533" s="10" t="s">
        <v>30</v>
      </c>
      <c r="K533" s="10" t="s">
        <v>261</v>
      </c>
      <c r="L533" s="12">
        <v>360</v>
      </c>
      <c r="M533" s="10">
        <v>2</v>
      </c>
      <c r="N533" s="13">
        <v>0</v>
      </c>
      <c r="O533" s="14">
        <v>93.29</v>
      </c>
      <c r="P533" s="10" t="s">
        <v>63</v>
      </c>
    </row>
    <row r="534" spans="1:16">
      <c r="A534" s="10" t="s">
        <v>1061</v>
      </c>
      <c r="B534" s="11">
        <v>45716</v>
      </c>
      <c r="C534" s="11">
        <v>45720</v>
      </c>
      <c r="D534" s="10" t="s">
        <v>282</v>
      </c>
      <c r="E534" s="10" t="s">
        <v>474</v>
      </c>
      <c r="F534" s="10" t="s">
        <v>29</v>
      </c>
      <c r="G534" s="10" t="s">
        <v>135</v>
      </c>
      <c r="H534" s="10" t="s">
        <v>21</v>
      </c>
      <c r="I534" s="10" t="s">
        <v>22</v>
      </c>
      <c r="J534" s="10" t="s">
        <v>23</v>
      </c>
      <c r="K534" s="10" t="s">
        <v>89</v>
      </c>
      <c r="L534" s="12">
        <v>11200</v>
      </c>
      <c r="M534" s="10">
        <v>4</v>
      </c>
      <c r="N534" s="13">
        <v>0</v>
      </c>
      <c r="O534" s="14">
        <v>2390.52</v>
      </c>
      <c r="P534" s="10" t="s">
        <v>69</v>
      </c>
    </row>
    <row r="535" spans="1:16">
      <c r="A535" s="10" t="s">
        <v>1062</v>
      </c>
      <c r="B535" s="11">
        <v>45599</v>
      </c>
      <c r="C535" s="11">
        <v>45604</v>
      </c>
      <c r="D535" s="10" t="s">
        <v>702</v>
      </c>
      <c r="E535" s="10" t="s">
        <v>194</v>
      </c>
      <c r="F535" s="10" t="s">
        <v>29</v>
      </c>
      <c r="G535" s="10" t="s">
        <v>151</v>
      </c>
      <c r="H535" s="10" t="s">
        <v>151</v>
      </c>
      <c r="I535" s="10" t="s">
        <v>75</v>
      </c>
      <c r="J535" s="10" t="s">
        <v>23</v>
      </c>
      <c r="K535" s="10" t="s">
        <v>120</v>
      </c>
      <c r="L535" s="12">
        <v>6720</v>
      </c>
      <c r="M535" s="10">
        <v>2</v>
      </c>
      <c r="N535" s="13">
        <v>0.2</v>
      </c>
      <c r="O535" s="14">
        <v>1769.69</v>
      </c>
      <c r="P535" s="10" t="s">
        <v>56</v>
      </c>
    </row>
    <row r="536" spans="1:16">
      <c r="A536" s="10" t="s">
        <v>1063</v>
      </c>
      <c r="B536" s="11">
        <v>45490</v>
      </c>
      <c r="C536" s="11">
        <v>45493</v>
      </c>
      <c r="D536" s="10" t="s">
        <v>441</v>
      </c>
      <c r="E536" s="10" t="s">
        <v>157</v>
      </c>
      <c r="F536" s="10" t="s">
        <v>43</v>
      </c>
      <c r="G536" s="10" t="s">
        <v>44</v>
      </c>
      <c r="H536" s="10" t="s">
        <v>45</v>
      </c>
      <c r="I536" s="10" t="s">
        <v>46</v>
      </c>
      <c r="J536" s="10" t="s">
        <v>23</v>
      </c>
      <c r="K536" s="10" t="s">
        <v>293</v>
      </c>
      <c r="L536" s="12">
        <v>6000</v>
      </c>
      <c r="M536" s="10">
        <v>8</v>
      </c>
      <c r="N536" s="13">
        <v>0</v>
      </c>
      <c r="O536" s="14">
        <v>1272.78</v>
      </c>
      <c r="P536" s="10" t="s">
        <v>63</v>
      </c>
    </row>
    <row r="537" spans="1:16">
      <c r="A537" s="10" t="s">
        <v>1064</v>
      </c>
      <c r="B537" s="11">
        <v>46209</v>
      </c>
      <c r="C537" s="11">
        <v>46212</v>
      </c>
      <c r="D537" s="10" t="s">
        <v>616</v>
      </c>
      <c r="E537" s="10" t="s">
        <v>72</v>
      </c>
      <c r="F537" s="10" t="s">
        <v>29</v>
      </c>
      <c r="G537" s="10" t="s">
        <v>73</v>
      </c>
      <c r="H537" s="10" t="s">
        <v>74</v>
      </c>
      <c r="I537" s="10" t="s">
        <v>75</v>
      </c>
      <c r="J537" s="10" t="s">
        <v>76</v>
      </c>
      <c r="K537" s="10" t="s">
        <v>206</v>
      </c>
      <c r="L537" s="12">
        <v>4675</v>
      </c>
      <c r="M537" s="10">
        <v>5</v>
      </c>
      <c r="N537" s="13">
        <v>0.15</v>
      </c>
      <c r="O537" s="14">
        <v>790.12</v>
      </c>
      <c r="P537" s="10" t="s">
        <v>56</v>
      </c>
    </row>
    <row r="538" spans="1:16">
      <c r="A538" s="10" t="s">
        <v>1065</v>
      </c>
      <c r="B538" s="11">
        <v>45883</v>
      </c>
      <c r="C538" s="11">
        <v>45889</v>
      </c>
      <c r="D538" s="10" t="s">
        <v>343</v>
      </c>
      <c r="E538" s="10" t="s">
        <v>191</v>
      </c>
      <c r="F538" s="10" t="s">
        <v>19</v>
      </c>
      <c r="G538" s="10" t="s">
        <v>67</v>
      </c>
      <c r="H538" s="10" t="s">
        <v>68</v>
      </c>
      <c r="I538" s="10" t="s">
        <v>22</v>
      </c>
      <c r="J538" s="10" t="s">
        <v>23</v>
      </c>
      <c r="K538" s="10" t="s">
        <v>120</v>
      </c>
      <c r="L538" s="12">
        <v>11970</v>
      </c>
      <c r="M538" s="10">
        <v>3</v>
      </c>
      <c r="N538" s="13">
        <v>0.05</v>
      </c>
      <c r="O538" s="14">
        <v>1842.28</v>
      </c>
      <c r="P538" s="10" t="s">
        <v>56</v>
      </c>
    </row>
    <row r="539" spans="1:16">
      <c r="A539" s="10" t="s">
        <v>1066</v>
      </c>
      <c r="B539" s="11">
        <v>45876</v>
      </c>
      <c r="C539" s="11">
        <v>45881</v>
      </c>
      <c r="D539" s="10" t="s">
        <v>616</v>
      </c>
      <c r="E539" s="10" t="s">
        <v>575</v>
      </c>
      <c r="F539" s="10" t="s">
        <v>43</v>
      </c>
      <c r="G539" s="10" t="s">
        <v>81</v>
      </c>
      <c r="H539" s="10" t="s">
        <v>68</v>
      </c>
      <c r="I539" s="10" t="s">
        <v>22</v>
      </c>
      <c r="J539" s="10" t="s">
        <v>30</v>
      </c>
      <c r="K539" s="10" t="s">
        <v>93</v>
      </c>
      <c r="L539" s="12">
        <v>171</v>
      </c>
      <c r="M539" s="10">
        <v>2</v>
      </c>
      <c r="N539" s="13">
        <v>0.05</v>
      </c>
      <c r="O539" s="14">
        <v>32.340000000000003</v>
      </c>
      <c r="P539" s="10" t="s">
        <v>48</v>
      </c>
    </row>
    <row r="540" spans="1:16">
      <c r="A540" s="10" t="s">
        <v>1067</v>
      </c>
      <c r="B540" s="11">
        <v>45800</v>
      </c>
      <c r="C540" s="11">
        <v>45802</v>
      </c>
      <c r="D540" s="10" t="s">
        <v>555</v>
      </c>
      <c r="E540" s="10" t="s">
        <v>251</v>
      </c>
      <c r="F540" s="10" t="s">
        <v>29</v>
      </c>
      <c r="G540" s="10" t="s">
        <v>67</v>
      </c>
      <c r="H540" s="10" t="s">
        <v>68</v>
      </c>
      <c r="I540" s="10" t="s">
        <v>22</v>
      </c>
      <c r="J540" s="10" t="s">
        <v>76</v>
      </c>
      <c r="K540" s="10" t="s">
        <v>229</v>
      </c>
      <c r="L540" s="12">
        <v>6460</v>
      </c>
      <c r="M540" s="10">
        <v>4</v>
      </c>
      <c r="N540" s="13">
        <v>0.15</v>
      </c>
      <c r="O540" s="14">
        <v>1801.68</v>
      </c>
      <c r="P540" s="10" t="s">
        <v>56</v>
      </c>
    </row>
    <row r="541" spans="1:16">
      <c r="A541" s="10" t="s">
        <v>1068</v>
      </c>
      <c r="B541" s="11">
        <v>46227</v>
      </c>
      <c r="C541" s="11">
        <v>46228</v>
      </c>
      <c r="D541" s="10" t="s">
        <v>441</v>
      </c>
      <c r="E541" s="10" t="s">
        <v>84</v>
      </c>
      <c r="F541" s="10" t="s">
        <v>43</v>
      </c>
      <c r="G541" s="10" t="s">
        <v>73</v>
      </c>
      <c r="H541" s="10" t="s">
        <v>74</v>
      </c>
      <c r="I541" s="10" t="s">
        <v>75</v>
      </c>
      <c r="J541" s="10" t="s">
        <v>38</v>
      </c>
      <c r="K541" s="10" t="s">
        <v>55</v>
      </c>
      <c r="L541" s="12">
        <v>1650</v>
      </c>
      <c r="M541" s="10">
        <v>3</v>
      </c>
      <c r="N541" s="13">
        <v>0</v>
      </c>
      <c r="O541" s="14">
        <v>481.09</v>
      </c>
      <c r="P541" s="10" t="s">
        <v>56</v>
      </c>
    </row>
    <row r="542" spans="1:16">
      <c r="A542" s="10" t="s">
        <v>1069</v>
      </c>
      <c r="B542" s="11">
        <v>46079</v>
      </c>
      <c r="C542" s="11">
        <v>46086</v>
      </c>
      <c r="D542" s="10" t="s">
        <v>601</v>
      </c>
      <c r="E542" s="10" t="s">
        <v>412</v>
      </c>
      <c r="F542" s="10" t="s">
        <v>29</v>
      </c>
      <c r="G542" s="10" t="s">
        <v>20</v>
      </c>
      <c r="H542" s="10" t="s">
        <v>21</v>
      </c>
      <c r="I542" s="10" t="s">
        <v>22</v>
      </c>
      <c r="J542" s="10" t="s">
        <v>30</v>
      </c>
      <c r="K542" s="10" t="s">
        <v>31</v>
      </c>
      <c r="L542" s="12">
        <v>108</v>
      </c>
      <c r="M542" s="10">
        <v>1</v>
      </c>
      <c r="N542" s="13">
        <v>0.1</v>
      </c>
      <c r="O542" s="14">
        <v>28.54</v>
      </c>
      <c r="P542" s="10" t="s">
        <v>69</v>
      </c>
    </row>
    <row r="543" spans="1:16">
      <c r="A543" s="10" t="s">
        <v>1070</v>
      </c>
      <c r="B543" s="11">
        <v>46246</v>
      </c>
      <c r="C543" s="11">
        <v>46247</v>
      </c>
      <c r="D543" s="10" t="s">
        <v>392</v>
      </c>
      <c r="E543" s="10" t="s">
        <v>264</v>
      </c>
      <c r="F543" s="10" t="s">
        <v>19</v>
      </c>
      <c r="G543" s="10" t="s">
        <v>167</v>
      </c>
      <c r="H543" s="10" t="s">
        <v>168</v>
      </c>
      <c r="I543" s="10" t="s">
        <v>37</v>
      </c>
      <c r="J543" s="10" t="s">
        <v>38</v>
      </c>
      <c r="K543" s="10" t="s">
        <v>169</v>
      </c>
      <c r="L543" s="12">
        <v>11600</v>
      </c>
      <c r="M543" s="10">
        <v>8</v>
      </c>
      <c r="N543" s="13">
        <v>0</v>
      </c>
      <c r="O543" s="14">
        <v>4097.04</v>
      </c>
      <c r="P543" s="10" t="s">
        <v>69</v>
      </c>
    </row>
    <row r="544" spans="1:16">
      <c r="A544" s="10" t="s">
        <v>1071</v>
      </c>
      <c r="B544" s="11">
        <v>45946</v>
      </c>
      <c r="C544" s="11">
        <v>45948</v>
      </c>
      <c r="D544" s="10" t="s">
        <v>156</v>
      </c>
      <c r="E544" s="10" t="s">
        <v>205</v>
      </c>
      <c r="F544" s="10" t="s">
        <v>29</v>
      </c>
      <c r="G544" s="10" t="s">
        <v>67</v>
      </c>
      <c r="H544" s="10" t="s">
        <v>68</v>
      </c>
      <c r="I544" s="10" t="s">
        <v>22</v>
      </c>
      <c r="J544" s="10" t="s">
        <v>30</v>
      </c>
      <c r="K544" s="10" t="s">
        <v>31</v>
      </c>
      <c r="L544" s="12">
        <v>570</v>
      </c>
      <c r="M544" s="10">
        <v>5</v>
      </c>
      <c r="N544" s="13">
        <v>0.05</v>
      </c>
      <c r="O544" s="14">
        <v>133.44</v>
      </c>
      <c r="P544" s="10" t="s">
        <v>69</v>
      </c>
    </row>
    <row r="545" spans="1:16">
      <c r="A545" s="10" t="s">
        <v>1072</v>
      </c>
      <c r="B545" s="11">
        <v>45444</v>
      </c>
      <c r="C545" s="11">
        <v>45446</v>
      </c>
      <c r="D545" s="10" t="s">
        <v>257</v>
      </c>
      <c r="E545" s="10" t="s">
        <v>553</v>
      </c>
      <c r="F545" s="10" t="s">
        <v>29</v>
      </c>
      <c r="G545" s="10" t="s">
        <v>179</v>
      </c>
      <c r="H545" s="10" t="s">
        <v>21</v>
      </c>
      <c r="I545" s="10" t="s">
        <v>22</v>
      </c>
      <c r="J545" s="10" t="s">
        <v>38</v>
      </c>
      <c r="K545" s="10" t="s">
        <v>104</v>
      </c>
      <c r="L545" s="12">
        <v>1300</v>
      </c>
      <c r="M545" s="10">
        <v>2</v>
      </c>
      <c r="N545" s="13">
        <v>0</v>
      </c>
      <c r="O545" s="14">
        <v>310.63</v>
      </c>
      <c r="P545" s="10" t="s">
        <v>69</v>
      </c>
    </row>
    <row r="546" spans="1:16">
      <c r="A546" s="10" t="s">
        <v>1073</v>
      </c>
      <c r="B546" s="11">
        <v>45879</v>
      </c>
      <c r="C546" s="11">
        <v>45881</v>
      </c>
      <c r="D546" s="10" t="s">
        <v>1074</v>
      </c>
      <c r="E546" s="10" t="s">
        <v>796</v>
      </c>
      <c r="F546" s="10" t="s">
        <v>19</v>
      </c>
      <c r="G546" s="10" t="s">
        <v>97</v>
      </c>
      <c r="H546" s="10" t="s">
        <v>21</v>
      </c>
      <c r="I546" s="10" t="s">
        <v>22</v>
      </c>
      <c r="J546" s="10" t="s">
        <v>38</v>
      </c>
      <c r="K546" s="10" t="s">
        <v>169</v>
      </c>
      <c r="L546" s="12">
        <v>7395</v>
      </c>
      <c r="M546" s="10">
        <v>6</v>
      </c>
      <c r="N546" s="13">
        <v>0.15</v>
      </c>
      <c r="O546" s="14">
        <v>1790.71</v>
      </c>
      <c r="P546" s="10" t="s">
        <v>48</v>
      </c>
    </row>
    <row r="547" spans="1:16">
      <c r="A547" s="10" t="s">
        <v>1075</v>
      </c>
      <c r="B547" s="11">
        <v>45400</v>
      </c>
      <c r="C547" s="11">
        <v>45404</v>
      </c>
      <c r="D547" s="10" t="s">
        <v>715</v>
      </c>
      <c r="E547" s="10" t="s">
        <v>716</v>
      </c>
      <c r="F547" s="10" t="s">
        <v>19</v>
      </c>
      <c r="G547" s="10" t="s">
        <v>135</v>
      </c>
      <c r="H547" s="10" t="s">
        <v>21</v>
      </c>
      <c r="I547" s="10" t="s">
        <v>22</v>
      </c>
      <c r="J547" s="10" t="s">
        <v>38</v>
      </c>
      <c r="K547" s="10" t="s">
        <v>55</v>
      </c>
      <c r="L547" s="12">
        <v>3850</v>
      </c>
      <c r="M547" s="10">
        <v>7</v>
      </c>
      <c r="N547" s="13">
        <v>0</v>
      </c>
      <c r="O547" s="14">
        <v>757.62</v>
      </c>
      <c r="P547" s="10" t="s">
        <v>25</v>
      </c>
    </row>
    <row r="548" spans="1:16">
      <c r="A548" s="10" t="s">
        <v>1076</v>
      </c>
      <c r="B548" s="11">
        <v>45923</v>
      </c>
      <c r="C548" s="11">
        <v>45926</v>
      </c>
      <c r="D548" s="10" t="s">
        <v>1077</v>
      </c>
      <c r="E548" s="10" t="s">
        <v>567</v>
      </c>
      <c r="F548" s="10" t="s">
        <v>43</v>
      </c>
      <c r="G548" s="10" t="s">
        <v>179</v>
      </c>
      <c r="H548" s="10" t="s">
        <v>21</v>
      </c>
      <c r="I548" s="10" t="s">
        <v>22</v>
      </c>
      <c r="J548" s="10" t="s">
        <v>23</v>
      </c>
      <c r="K548" s="10" t="s">
        <v>24</v>
      </c>
      <c r="L548" s="12">
        <v>11700</v>
      </c>
      <c r="M548" s="10">
        <v>2</v>
      </c>
      <c r="N548" s="13">
        <v>0.1</v>
      </c>
      <c r="O548" s="14">
        <v>2543.2800000000002</v>
      </c>
      <c r="P548" s="10" t="s">
        <v>69</v>
      </c>
    </row>
    <row r="549" spans="1:16">
      <c r="A549" s="10" t="s">
        <v>1078</v>
      </c>
      <c r="B549" s="11">
        <v>45992</v>
      </c>
      <c r="C549" s="11">
        <v>45998</v>
      </c>
      <c r="D549" s="10" t="s">
        <v>747</v>
      </c>
      <c r="E549" s="10" t="s">
        <v>1020</v>
      </c>
      <c r="F549" s="10" t="s">
        <v>43</v>
      </c>
      <c r="G549" s="10" t="s">
        <v>60</v>
      </c>
      <c r="H549" s="10" t="s">
        <v>61</v>
      </c>
      <c r="I549" s="10" t="s">
        <v>37</v>
      </c>
      <c r="J549" s="10" t="s">
        <v>76</v>
      </c>
      <c r="K549" s="10" t="s">
        <v>77</v>
      </c>
      <c r="L549" s="12">
        <v>6400</v>
      </c>
      <c r="M549" s="10">
        <v>4</v>
      </c>
      <c r="N549" s="13">
        <v>0</v>
      </c>
      <c r="O549" s="14">
        <v>2192.85</v>
      </c>
      <c r="P549" s="10" t="s">
        <v>25</v>
      </c>
    </row>
    <row r="550" spans="1:16">
      <c r="A550" s="10" t="s">
        <v>1079</v>
      </c>
      <c r="B550" s="11">
        <v>45479</v>
      </c>
      <c r="C550" s="11">
        <v>45485</v>
      </c>
      <c r="D550" s="10" t="s">
        <v>519</v>
      </c>
      <c r="E550" s="10" t="s">
        <v>1080</v>
      </c>
      <c r="F550" s="10" t="s">
        <v>43</v>
      </c>
      <c r="G550" s="10" t="s">
        <v>101</v>
      </c>
      <c r="H550" s="10" t="s">
        <v>102</v>
      </c>
      <c r="I550" s="10" t="s">
        <v>103</v>
      </c>
      <c r="J550" s="10" t="s">
        <v>23</v>
      </c>
      <c r="K550" s="10" t="s">
        <v>89</v>
      </c>
      <c r="L550" s="12">
        <v>20160</v>
      </c>
      <c r="M550" s="10">
        <v>8</v>
      </c>
      <c r="N550" s="13">
        <v>0.1</v>
      </c>
      <c r="O550" s="14">
        <v>7199.77</v>
      </c>
      <c r="P550" s="10" t="s">
        <v>25</v>
      </c>
    </row>
    <row r="551" spans="1:16">
      <c r="A551" s="10" t="s">
        <v>1081</v>
      </c>
      <c r="B551" s="11">
        <v>46158</v>
      </c>
      <c r="C551" s="11">
        <v>46160</v>
      </c>
      <c r="D551" s="10" t="s">
        <v>637</v>
      </c>
      <c r="E551" s="10" t="s">
        <v>1080</v>
      </c>
      <c r="F551" s="10" t="s">
        <v>19</v>
      </c>
      <c r="G551" s="10" t="s">
        <v>179</v>
      </c>
      <c r="H551" s="10" t="s">
        <v>21</v>
      </c>
      <c r="I551" s="10" t="s">
        <v>22</v>
      </c>
      <c r="J551" s="10" t="s">
        <v>23</v>
      </c>
      <c r="K551" s="10" t="s">
        <v>47</v>
      </c>
      <c r="L551" s="12">
        <v>7905</v>
      </c>
      <c r="M551" s="10">
        <v>3</v>
      </c>
      <c r="N551" s="13">
        <v>0.15</v>
      </c>
      <c r="O551" s="14">
        <v>2614.48</v>
      </c>
      <c r="P551" s="10" t="s">
        <v>48</v>
      </c>
    </row>
    <row r="552" spans="1:16">
      <c r="A552" s="10" t="s">
        <v>1082</v>
      </c>
      <c r="B552" s="11">
        <v>46103</v>
      </c>
      <c r="C552" s="11">
        <v>46106</v>
      </c>
      <c r="D552" s="10" t="s">
        <v>257</v>
      </c>
      <c r="E552" s="10" t="s">
        <v>844</v>
      </c>
      <c r="F552" s="10" t="s">
        <v>43</v>
      </c>
      <c r="G552" s="10" t="s">
        <v>151</v>
      </c>
      <c r="H552" s="10" t="s">
        <v>151</v>
      </c>
      <c r="I552" s="10" t="s">
        <v>75</v>
      </c>
      <c r="J552" s="10" t="s">
        <v>76</v>
      </c>
      <c r="K552" s="10" t="s">
        <v>77</v>
      </c>
      <c r="L552" s="12">
        <v>11200</v>
      </c>
      <c r="M552" s="10">
        <v>7</v>
      </c>
      <c r="N552" s="13">
        <v>0</v>
      </c>
      <c r="O552" s="14">
        <v>2448.0100000000002</v>
      </c>
      <c r="P552" s="10" t="s">
        <v>48</v>
      </c>
    </row>
    <row r="553" spans="1:16">
      <c r="A553" s="10" t="s">
        <v>1083</v>
      </c>
      <c r="B553" s="11">
        <v>45640</v>
      </c>
      <c r="C553" s="11">
        <v>45642</v>
      </c>
      <c r="D553" s="10" t="s">
        <v>699</v>
      </c>
      <c r="E553" s="10" t="s">
        <v>892</v>
      </c>
      <c r="F553" s="10" t="s">
        <v>19</v>
      </c>
      <c r="G553" s="10" t="s">
        <v>44</v>
      </c>
      <c r="H553" s="10" t="s">
        <v>45</v>
      </c>
      <c r="I553" s="10" t="s">
        <v>46</v>
      </c>
      <c r="J553" s="10" t="s">
        <v>76</v>
      </c>
      <c r="K553" s="10" t="s">
        <v>77</v>
      </c>
      <c r="L553" s="12">
        <v>8160</v>
      </c>
      <c r="M553" s="10">
        <v>6</v>
      </c>
      <c r="N553" s="13">
        <v>0.15</v>
      </c>
      <c r="O553" s="14">
        <v>1444.53</v>
      </c>
      <c r="P553" s="10" t="s">
        <v>63</v>
      </c>
    </row>
    <row r="554" spans="1:16">
      <c r="A554" s="10" t="s">
        <v>1084</v>
      </c>
      <c r="B554" s="11">
        <v>46148</v>
      </c>
      <c r="C554" s="11">
        <v>46152</v>
      </c>
      <c r="D554" s="10" t="s">
        <v>540</v>
      </c>
      <c r="E554" s="10" t="s">
        <v>445</v>
      </c>
      <c r="F554" s="10" t="s">
        <v>19</v>
      </c>
      <c r="G554" s="10" t="s">
        <v>20</v>
      </c>
      <c r="H554" s="10" t="s">
        <v>21</v>
      </c>
      <c r="I554" s="10" t="s">
        <v>22</v>
      </c>
      <c r="J554" s="10" t="s">
        <v>76</v>
      </c>
      <c r="K554" s="10" t="s">
        <v>229</v>
      </c>
      <c r="L554" s="12">
        <v>3420</v>
      </c>
      <c r="M554" s="10">
        <v>2</v>
      </c>
      <c r="N554" s="13">
        <v>0.1</v>
      </c>
      <c r="O554" s="14">
        <v>1091.6500000000001</v>
      </c>
      <c r="P554" s="10" t="s">
        <v>48</v>
      </c>
    </row>
    <row r="555" spans="1:16">
      <c r="A555" s="10" t="s">
        <v>1085</v>
      </c>
      <c r="B555" s="11">
        <v>45993</v>
      </c>
      <c r="C555" s="11">
        <v>46000</v>
      </c>
      <c r="D555" s="10" t="s">
        <v>1077</v>
      </c>
      <c r="E555" s="10" t="s">
        <v>1086</v>
      </c>
      <c r="F555" s="10" t="s">
        <v>29</v>
      </c>
      <c r="G555" s="10" t="s">
        <v>224</v>
      </c>
      <c r="H555" s="10" t="s">
        <v>225</v>
      </c>
      <c r="I555" s="10" t="s">
        <v>75</v>
      </c>
      <c r="J555" s="10" t="s">
        <v>76</v>
      </c>
      <c r="K555" s="10" t="s">
        <v>229</v>
      </c>
      <c r="L555" s="12">
        <v>12160</v>
      </c>
      <c r="M555" s="10">
        <v>8</v>
      </c>
      <c r="N555" s="13">
        <v>0.2</v>
      </c>
      <c r="O555" s="14">
        <v>2168.8200000000002</v>
      </c>
      <c r="P555" s="10" t="s">
        <v>63</v>
      </c>
    </row>
    <row r="556" spans="1:16">
      <c r="A556" s="10" t="s">
        <v>1087</v>
      </c>
      <c r="B556" s="11">
        <v>46216</v>
      </c>
      <c r="C556" s="11">
        <v>46223</v>
      </c>
      <c r="D556" s="10" t="s">
        <v>125</v>
      </c>
      <c r="E556" s="10" t="s">
        <v>742</v>
      </c>
      <c r="F556" s="10" t="s">
        <v>43</v>
      </c>
      <c r="G556" s="10" t="s">
        <v>167</v>
      </c>
      <c r="H556" s="10" t="s">
        <v>168</v>
      </c>
      <c r="I556" s="10" t="s">
        <v>37</v>
      </c>
      <c r="J556" s="10" t="s">
        <v>38</v>
      </c>
      <c r="K556" s="10" t="s">
        <v>39</v>
      </c>
      <c r="L556" s="12">
        <v>2565</v>
      </c>
      <c r="M556" s="10">
        <v>3</v>
      </c>
      <c r="N556" s="13">
        <v>0.1</v>
      </c>
      <c r="O556" s="14">
        <v>581.92999999999995</v>
      </c>
      <c r="P556" s="10" t="s">
        <v>56</v>
      </c>
    </row>
    <row r="557" spans="1:16">
      <c r="A557" s="10" t="s">
        <v>1088</v>
      </c>
      <c r="B557" s="11">
        <v>45502</v>
      </c>
      <c r="C557" s="11">
        <v>45508</v>
      </c>
      <c r="D557" s="10" t="s">
        <v>447</v>
      </c>
      <c r="E557" s="10" t="s">
        <v>565</v>
      </c>
      <c r="F557" s="10" t="s">
        <v>19</v>
      </c>
      <c r="G557" s="10" t="s">
        <v>101</v>
      </c>
      <c r="H557" s="10" t="s">
        <v>102</v>
      </c>
      <c r="I557" s="10" t="s">
        <v>103</v>
      </c>
      <c r="J557" s="10" t="s">
        <v>23</v>
      </c>
      <c r="K557" s="10" t="s">
        <v>89</v>
      </c>
      <c r="L557" s="12">
        <v>12600</v>
      </c>
      <c r="M557" s="10">
        <v>5</v>
      </c>
      <c r="N557" s="13">
        <v>0.1</v>
      </c>
      <c r="O557" s="14">
        <v>2247.52</v>
      </c>
      <c r="P557" s="10" t="s">
        <v>48</v>
      </c>
    </row>
    <row r="558" spans="1:16">
      <c r="A558" s="10" t="s">
        <v>1089</v>
      </c>
      <c r="B558" s="11">
        <v>45918</v>
      </c>
      <c r="C558" s="11">
        <v>45923</v>
      </c>
      <c r="D558" s="10" t="s">
        <v>245</v>
      </c>
      <c r="E558" s="10" t="s">
        <v>829</v>
      </c>
      <c r="F558" s="10" t="s">
        <v>19</v>
      </c>
      <c r="G558" s="10" t="s">
        <v>81</v>
      </c>
      <c r="H558" s="10" t="s">
        <v>68</v>
      </c>
      <c r="I558" s="10" t="s">
        <v>22</v>
      </c>
      <c r="J558" s="10" t="s">
        <v>30</v>
      </c>
      <c r="K558" s="10" t="s">
        <v>173</v>
      </c>
      <c r="L558" s="12">
        <v>304</v>
      </c>
      <c r="M558" s="10">
        <v>1</v>
      </c>
      <c r="N558" s="13">
        <v>0.05</v>
      </c>
      <c r="O558" s="14">
        <v>42.02</v>
      </c>
      <c r="P558" s="10" t="s">
        <v>63</v>
      </c>
    </row>
    <row r="559" spans="1:16">
      <c r="A559" s="10" t="s">
        <v>1090</v>
      </c>
      <c r="B559" s="11">
        <v>46132</v>
      </c>
      <c r="C559" s="11">
        <v>46135</v>
      </c>
      <c r="D559" s="10" t="s">
        <v>661</v>
      </c>
      <c r="E559" s="10" t="s">
        <v>905</v>
      </c>
      <c r="F559" s="10" t="s">
        <v>43</v>
      </c>
      <c r="G559" s="10" t="s">
        <v>20</v>
      </c>
      <c r="H559" s="10" t="s">
        <v>21</v>
      </c>
      <c r="I559" s="10" t="s">
        <v>22</v>
      </c>
      <c r="J559" s="10" t="s">
        <v>23</v>
      </c>
      <c r="K559" s="10" t="s">
        <v>120</v>
      </c>
      <c r="L559" s="12">
        <v>15120</v>
      </c>
      <c r="M559" s="10">
        <v>4</v>
      </c>
      <c r="N559" s="13">
        <v>0.1</v>
      </c>
      <c r="O559" s="14">
        <v>2758.23</v>
      </c>
      <c r="P559" s="10" t="s">
        <v>25</v>
      </c>
    </row>
    <row r="560" spans="1:16">
      <c r="A560" s="10" t="s">
        <v>1091</v>
      </c>
      <c r="B560" s="11">
        <v>45682</v>
      </c>
      <c r="C560" s="11">
        <v>45686</v>
      </c>
      <c r="D560" s="10" t="s">
        <v>744</v>
      </c>
      <c r="E560" s="10" t="s">
        <v>856</v>
      </c>
      <c r="F560" s="10" t="s">
        <v>43</v>
      </c>
      <c r="G560" s="10" t="s">
        <v>151</v>
      </c>
      <c r="H560" s="10" t="s">
        <v>151</v>
      </c>
      <c r="I560" s="10" t="s">
        <v>75</v>
      </c>
      <c r="J560" s="10" t="s">
        <v>30</v>
      </c>
      <c r="K560" s="10" t="s">
        <v>31</v>
      </c>
      <c r="L560" s="12">
        <v>960</v>
      </c>
      <c r="M560" s="10">
        <v>8</v>
      </c>
      <c r="N560" s="13">
        <v>0</v>
      </c>
      <c r="O560" s="14">
        <v>317.82</v>
      </c>
      <c r="P560" s="10" t="s">
        <v>56</v>
      </c>
    </row>
    <row r="561" spans="1:16">
      <c r="A561" s="10" t="s">
        <v>1092</v>
      </c>
      <c r="B561" s="11">
        <v>45587</v>
      </c>
      <c r="C561" s="11">
        <v>45594</v>
      </c>
      <c r="D561" s="10" t="s">
        <v>588</v>
      </c>
      <c r="E561" s="10" t="s">
        <v>296</v>
      </c>
      <c r="F561" s="10" t="s">
        <v>43</v>
      </c>
      <c r="G561" s="10" t="s">
        <v>167</v>
      </c>
      <c r="H561" s="10" t="s">
        <v>168</v>
      </c>
      <c r="I561" s="10" t="s">
        <v>37</v>
      </c>
      <c r="J561" s="10" t="s">
        <v>30</v>
      </c>
      <c r="K561" s="10" t="s">
        <v>31</v>
      </c>
      <c r="L561" s="12">
        <v>120</v>
      </c>
      <c r="M561" s="10">
        <v>1</v>
      </c>
      <c r="N561" s="13">
        <v>0</v>
      </c>
      <c r="O561" s="14">
        <v>25.37</v>
      </c>
      <c r="P561" s="10" t="s">
        <v>56</v>
      </c>
    </row>
    <row r="562" spans="1:16">
      <c r="A562" s="10" t="s">
        <v>1093</v>
      </c>
      <c r="B562" s="11">
        <v>45378</v>
      </c>
      <c r="C562" s="11">
        <v>45380</v>
      </c>
      <c r="D562" s="10" t="s">
        <v>647</v>
      </c>
      <c r="E562" s="10" t="s">
        <v>643</v>
      </c>
      <c r="F562" s="10" t="s">
        <v>43</v>
      </c>
      <c r="G562" s="10" t="s">
        <v>167</v>
      </c>
      <c r="H562" s="10" t="s">
        <v>168</v>
      </c>
      <c r="I562" s="10" t="s">
        <v>37</v>
      </c>
      <c r="J562" s="10" t="s">
        <v>76</v>
      </c>
      <c r="K562" s="10" t="s">
        <v>77</v>
      </c>
      <c r="L562" s="12">
        <v>9520</v>
      </c>
      <c r="M562" s="10">
        <v>7</v>
      </c>
      <c r="N562" s="13">
        <v>0.15</v>
      </c>
      <c r="O562" s="14">
        <v>2958.37</v>
      </c>
      <c r="P562" s="10" t="s">
        <v>25</v>
      </c>
    </row>
    <row r="563" spans="1:16">
      <c r="A563" s="10" t="s">
        <v>1094</v>
      </c>
      <c r="B563" s="11">
        <v>45655</v>
      </c>
      <c r="C563" s="11">
        <v>45657</v>
      </c>
      <c r="D563" s="10" t="s">
        <v>1095</v>
      </c>
      <c r="E563" s="10" t="s">
        <v>253</v>
      </c>
      <c r="F563" s="10" t="s">
        <v>19</v>
      </c>
      <c r="G563" s="10" t="s">
        <v>97</v>
      </c>
      <c r="H563" s="10" t="s">
        <v>21</v>
      </c>
      <c r="I563" s="10" t="s">
        <v>22</v>
      </c>
      <c r="J563" s="10" t="s">
        <v>76</v>
      </c>
      <c r="K563" s="10" t="s">
        <v>85</v>
      </c>
      <c r="L563" s="12">
        <v>187</v>
      </c>
      <c r="M563" s="10">
        <v>1</v>
      </c>
      <c r="N563" s="13">
        <v>0.15</v>
      </c>
      <c r="O563" s="14">
        <v>42.63</v>
      </c>
      <c r="P563" s="10" t="s">
        <v>69</v>
      </c>
    </row>
    <row r="564" spans="1:16">
      <c r="A564" s="10" t="s">
        <v>1096</v>
      </c>
      <c r="B564" s="11">
        <v>45712</v>
      </c>
      <c r="C564" s="11">
        <v>45717</v>
      </c>
      <c r="D564" s="10" t="s">
        <v>354</v>
      </c>
      <c r="E564" s="10" t="s">
        <v>544</v>
      </c>
      <c r="F564" s="10" t="s">
        <v>43</v>
      </c>
      <c r="G564" s="10" t="s">
        <v>224</v>
      </c>
      <c r="H564" s="10" t="s">
        <v>225</v>
      </c>
      <c r="I564" s="10" t="s">
        <v>75</v>
      </c>
      <c r="J564" s="10" t="s">
        <v>23</v>
      </c>
      <c r="K564" s="10" t="s">
        <v>120</v>
      </c>
      <c r="L564" s="12">
        <v>3570</v>
      </c>
      <c r="M564" s="10">
        <v>1</v>
      </c>
      <c r="N564" s="13">
        <v>0.15</v>
      </c>
      <c r="O564" s="14">
        <v>827.71</v>
      </c>
      <c r="P564" s="10" t="s">
        <v>48</v>
      </c>
    </row>
    <row r="565" spans="1:16">
      <c r="A565" s="10" t="s">
        <v>1097</v>
      </c>
      <c r="B565" s="11">
        <v>45437</v>
      </c>
      <c r="C565" s="11">
        <v>45443</v>
      </c>
      <c r="D565" s="10" t="s">
        <v>690</v>
      </c>
      <c r="E565" s="10" t="s">
        <v>199</v>
      </c>
      <c r="F565" s="10" t="s">
        <v>19</v>
      </c>
      <c r="G565" s="10" t="s">
        <v>60</v>
      </c>
      <c r="H565" s="10" t="s">
        <v>61</v>
      </c>
      <c r="I565" s="10" t="s">
        <v>37</v>
      </c>
      <c r="J565" s="10" t="s">
        <v>23</v>
      </c>
      <c r="K565" s="10" t="s">
        <v>293</v>
      </c>
      <c r="L565" s="12">
        <v>1275</v>
      </c>
      <c r="M565" s="10">
        <v>2</v>
      </c>
      <c r="N565" s="13">
        <v>0.15</v>
      </c>
      <c r="O565" s="14">
        <v>160.81</v>
      </c>
      <c r="P565" s="10" t="s">
        <v>48</v>
      </c>
    </row>
    <row r="566" spans="1:16">
      <c r="A566" s="10" t="s">
        <v>1098</v>
      </c>
      <c r="B566" s="11">
        <v>45992</v>
      </c>
      <c r="C566" s="11">
        <v>45998</v>
      </c>
      <c r="D566" s="10" t="s">
        <v>330</v>
      </c>
      <c r="E566" s="10" t="s">
        <v>209</v>
      </c>
      <c r="F566" s="10" t="s">
        <v>19</v>
      </c>
      <c r="G566" s="10" t="s">
        <v>151</v>
      </c>
      <c r="H566" s="10" t="s">
        <v>151</v>
      </c>
      <c r="I566" s="10" t="s">
        <v>75</v>
      </c>
      <c r="J566" s="10" t="s">
        <v>23</v>
      </c>
      <c r="K566" s="10" t="s">
        <v>47</v>
      </c>
      <c r="L566" s="12">
        <v>2945</v>
      </c>
      <c r="M566" s="10">
        <v>1</v>
      </c>
      <c r="N566" s="13">
        <v>0.05</v>
      </c>
      <c r="O566" s="14">
        <v>687.34</v>
      </c>
      <c r="P566" s="10" t="s">
        <v>25</v>
      </c>
    </row>
    <row r="567" spans="1:16">
      <c r="A567" s="10" t="s">
        <v>1099</v>
      </c>
      <c r="B567" s="11">
        <v>45879</v>
      </c>
      <c r="C567" s="11">
        <v>45885</v>
      </c>
      <c r="D567" s="10" t="s">
        <v>886</v>
      </c>
      <c r="E567" s="10" t="s">
        <v>1039</v>
      </c>
      <c r="F567" s="10" t="s">
        <v>43</v>
      </c>
      <c r="G567" s="10" t="s">
        <v>67</v>
      </c>
      <c r="H567" s="10" t="s">
        <v>68</v>
      </c>
      <c r="I567" s="10" t="s">
        <v>22</v>
      </c>
      <c r="J567" s="10" t="s">
        <v>76</v>
      </c>
      <c r="K567" s="10" t="s">
        <v>229</v>
      </c>
      <c r="L567" s="12">
        <v>9025</v>
      </c>
      <c r="M567" s="10">
        <v>5</v>
      </c>
      <c r="N567" s="13">
        <v>0.05</v>
      </c>
      <c r="O567" s="14">
        <v>2968.75</v>
      </c>
      <c r="P567" s="10" t="s">
        <v>63</v>
      </c>
    </row>
    <row r="568" spans="1:16">
      <c r="A568" s="10" t="s">
        <v>1100</v>
      </c>
      <c r="B568" s="11">
        <v>45558</v>
      </c>
      <c r="C568" s="11">
        <v>45559</v>
      </c>
      <c r="D568" s="10" t="s">
        <v>721</v>
      </c>
      <c r="E568" s="10" t="s">
        <v>584</v>
      </c>
      <c r="F568" s="10" t="s">
        <v>43</v>
      </c>
      <c r="G568" s="10" t="s">
        <v>167</v>
      </c>
      <c r="H568" s="10" t="s">
        <v>168</v>
      </c>
      <c r="I568" s="10" t="s">
        <v>37</v>
      </c>
      <c r="J568" s="10" t="s">
        <v>76</v>
      </c>
      <c r="K568" s="10" t="s">
        <v>85</v>
      </c>
      <c r="L568" s="12">
        <v>561</v>
      </c>
      <c r="M568" s="10">
        <v>3</v>
      </c>
      <c r="N568" s="13">
        <v>0.15</v>
      </c>
      <c r="O568" s="14">
        <v>193.03</v>
      </c>
      <c r="P568" s="10" t="s">
        <v>25</v>
      </c>
    </row>
    <row r="569" spans="1:16">
      <c r="A569" s="10" t="s">
        <v>1101</v>
      </c>
      <c r="B569" s="11">
        <v>45376</v>
      </c>
      <c r="C569" s="11">
        <v>45378</v>
      </c>
      <c r="D569" s="10" t="s">
        <v>1057</v>
      </c>
      <c r="E569" s="10" t="s">
        <v>285</v>
      </c>
      <c r="F569" s="10" t="s">
        <v>19</v>
      </c>
      <c r="G569" s="10" t="s">
        <v>151</v>
      </c>
      <c r="H569" s="10" t="s">
        <v>151</v>
      </c>
      <c r="I569" s="10" t="s">
        <v>75</v>
      </c>
      <c r="J569" s="10" t="s">
        <v>38</v>
      </c>
      <c r="K569" s="10" t="s">
        <v>169</v>
      </c>
      <c r="L569" s="12">
        <v>7250</v>
      </c>
      <c r="M569" s="10">
        <v>5</v>
      </c>
      <c r="N569" s="13">
        <v>0</v>
      </c>
      <c r="O569" s="14">
        <v>1594.22</v>
      </c>
      <c r="P569" s="10" t="s">
        <v>48</v>
      </c>
    </row>
    <row r="570" spans="1:16">
      <c r="A570" s="10" t="s">
        <v>1102</v>
      </c>
      <c r="B570" s="11">
        <v>45910</v>
      </c>
      <c r="C570" s="11">
        <v>45912</v>
      </c>
      <c r="D570" s="10" t="s">
        <v>381</v>
      </c>
      <c r="E570" s="10" t="s">
        <v>199</v>
      </c>
      <c r="F570" s="10" t="s">
        <v>29</v>
      </c>
      <c r="G570" s="10" t="s">
        <v>101</v>
      </c>
      <c r="H570" s="10" t="s">
        <v>102</v>
      </c>
      <c r="I570" s="10" t="s">
        <v>103</v>
      </c>
      <c r="J570" s="10" t="s">
        <v>30</v>
      </c>
      <c r="K570" s="10" t="s">
        <v>127</v>
      </c>
      <c r="L570" s="12">
        <v>900</v>
      </c>
      <c r="M570" s="10">
        <v>6</v>
      </c>
      <c r="N570" s="13">
        <v>0</v>
      </c>
      <c r="O570" s="14">
        <v>280.87</v>
      </c>
      <c r="P570" s="10" t="s">
        <v>63</v>
      </c>
    </row>
    <row r="571" spans="1:16">
      <c r="A571" s="10" t="s">
        <v>1103</v>
      </c>
      <c r="B571" s="11">
        <v>46174</v>
      </c>
      <c r="C571" s="11">
        <v>46175</v>
      </c>
      <c r="D571" s="10" t="s">
        <v>311</v>
      </c>
      <c r="E571" s="10" t="s">
        <v>304</v>
      </c>
      <c r="F571" s="10" t="s">
        <v>19</v>
      </c>
      <c r="G571" s="10" t="s">
        <v>67</v>
      </c>
      <c r="H571" s="10" t="s">
        <v>68</v>
      </c>
      <c r="I571" s="10" t="s">
        <v>22</v>
      </c>
      <c r="J571" s="10" t="s">
        <v>38</v>
      </c>
      <c r="K571" s="10" t="s">
        <v>39</v>
      </c>
      <c r="L571" s="12">
        <v>2565</v>
      </c>
      <c r="M571" s="10">
        <v>3</v>
      </c>
      <c r="N571" s="13">
        <v>0.1</v>
      </c>
      <c r="O571" s="14">
        <v>434.21</v>
      </c>
      <c r="P571" s="10" t="s">
        <v>25</v>
      </c>
    </row>
    <row r="572" spans="1:16">
      <c r="A572" s="10" t="s">
        <v>1104</v>
      </c>
      <c r="B572" s="11">
        <v>46035</v>
      </c>
      <c r="C572" s="11">
        <v>46041</v>
      </c>
      <c r="D572" s="10" t="s">
        <v>79</v>
      </c>
      <c r="E572" s="10" t="s">
        <v>653</v>
      </c>
      <c r="F572" s="10" t="s">
        <v>29</v>
      </c>
      <c r="G572" s="10" t="s">
        <v>97</v>
      </c>
      <c r="H572" s="10" t="s">
        <v>21</v>
      </c>
      <c r="I572" s="10" t="s">
        <v>22</v>
      </c>
      <c r="J572" s="10" t="s">
        <v>30</v>
      </c>
      <c r="K572" s="10" t="s">
        <v>93</v>
      </c>
      <c r="L572" s="12">
        <v>540</v>
      </c>
      <c r="M572" s="10">
        <v>6</v>
      </c>
      <c r="N572" s="13">
        <v>0</v>
      </c>
      <c r="O572" s="14">
        <v>115.03</v>
      </c>
      <c r="P572" s="10" t="s">
        <v>25</v>
      </c>
    </row>
    <row r="573" spans="1:16">
      <c r="A573" s="10" t="s">
        <v>1105</v>
      </c>
      <c r="B573" s="11">
        <v>45700</v>
      </c>
      <c r="C573" s="11">
        <v>45704</v>
      </c>
      <c r="D573" s="10" t="s">
        <v>125</v>
      </c>
      <c r="E573" s="10" t="s">
        <v>1106</v>
      </c>
      <c r="F573" s="10" t="s">
        <v>29</v>
      </c>
      <c r="G573" s="10" t="s">
        <v>179</v>
      </c>
      <c r="H573" s="10" t="s">
        <v>21</v>
      </c>
      <c r="I573" s="10" t="s">
        <v>22</v>
      </c>
      <c r="J573" s="10" t="s">
        <v>76</v>
      </c>
      <c r="K573" s="10" t="s">
        <v>85</v>
      </c>
      <c r="L573" s="12">
        <v>792</v>
      </c>
      <c r="M573" s="10">
        <v>4</v>
      </c>
      <c r="N573" s="13">
        <v>0.1</v>
      </c>
      <c r="O573" s="14">
        <v>148.33000000000001</v>
      </c>
      <c r="P573" s="10" t="s">
        <v>63</v>
      </c>
    </row>
    <row r="574" spans="1:16">
      <c r="A574" s="10" t="s">
        <v>1107</v>
      </c>
      <c r="B574" s="11">
        <v>46183</v>
      </c>
      <c r="C574" s="11">
        <v>46187</v>
      </c>
      <c r="D574" s="10" t="s">
        <v>133</v>
      </c>
      <c r="E574" s="10" t="s">
        <v>835</v>
      </c>
      <c r="F574" s="10" t="s">
        <v>19</v>
      </c>
      <c r="G574" s="10" t="s">
        <v>135</v>
      </c>
      <c r="H574" s="10" t="s">
        <v>21</v>
      </c>
      <c r="I574" s="10" t="s">
        <v>22</v>
      </c>
      <c r="J574" s="10" t="s">
        <v>23</v>
      </c>
      <c r="K574" s="10" t="s">
        <v>293</v>
      </c>
      <c r="L574" s="12">
        <v>4200</v>
      </c>
      <c r="M574" s="10">
        <v>7</v>
      </c>
      <c r="N574" s="13">
        <v>0.2</v>
      </c>
      <c r="O574" s="14">
        <v>1125.27</v>
      </c>
      <c r="P574" s="10" t="s">
        <v>69</v>
      </c>
    </row>
    <row r="575" spans="1:16">
      <c r="A575" s="10" t="s">
        <v>1108</v>
      </c>
      <c r="B575" s="11">
        <v>46271</v>
      </c>
      <c r="C575" s="11">
        <v>46278</v>
      </c>
      <c r="D575" s="10" t="s">
        <v>1109</v>
      </c>
      <c r="E575" s="10" t="s">
        <v>273</v>
      </c>
      <c r="F575" s="10" t="s">
        <v>43</v>
      </c>
      <c r="G575" s="10" t="s">
        <v>81</v>
      </c>
      <c r="H575" s="10" t="s">
        <v>68</v>
      </c>
      <c r="I575" s="10" t="s">
        <v>22</v>
      </c>
      <c r="J575" s="10" t="s">
        <v>23</v>
      </c>
      <c r="K575" s="10" t="s">
        <v>89</v>
      </c>
      <c r="L575" s="12">
        <v>13300</v>
      </c>
      <c r="M575" s="10">
        <v>5</v>
      </c>
      <c r="N575" s="13">
        <v>0.05</v>
      </c>
      <c r="O575" s="14">
        <v>2179.84</v>
      </c>
      <c r="P575" s="10" t="s">
        <v>56</v>
      </c>
    </row>
    <row r="576" spans="1:16">
      <c r="A576" s="10" t="s">
        <v>1110</v>
      </c>
      <c r="B576" s="11">
        <v>46043</v>
      </c>
      <c r="C576" s="11">
        <v>46049</v>
      </c>
      <c r="D576" s="10" t="s">
        <v>428</v>
      </c>
      <c r="E576" s="10" t="s">
        <v>871</v>
      </c>
      <c r="F576" s="10" t="s">
        <v>29</v>
      </c>
      <c r="G576" s="10" t="s">
        <v>224</v>
      </c>
      <c r="H576" s="10" t="s">
        <v>225</v>
      </c>
      <c r="I576" s="10" t="s">
        <v>75</v>
      </c>
      <c r="J576" s="10" t="s">
        <v>30</v>
      </c>
      <c r="K576" s="10" t="s">
        <v>93</v>
      </c>
      <c r="L576" s="12">
        <v>432</v>
      </c>
      <c r="M576" s="10">
        <v>6</v>
      </c>
      <c r="N576" s="13">
        <v>0.2</v>
      </c>
      <c r="O576" s="14">
        <v>73.67</v>
      </c>
      <c r="P576" s="10" t="s">
        <v>48</v>
      </c>
    </row>
    <row r="577" spans="1:16">
      <c r="A577" s="10" t="s">
        <v>1111</v>
      </c>
      <c r="B577" s="11">
        <v>46143</v>
      </c>
      <c r="C577" s="11">
        <v>46144</v>
      </c>
      <c r="D577" s="10" t="s">
        <v>255</v>
      </c>
      <c r="E577" s="10" t="s">
        <v>474</v>
      </c>
      <c r="F577" s="10" t="s">
        <v>29</v>
      </c>
      <c r="G577" s="10" t="s">
        <v>135</v>
      </c>
      <c r="H577" s="10" t="s">
        <v>21</v>
      </c>
      <c r="I577" s="10" t="s">
        <v>22</v>
      </c>
      <c r="J577" s="10" t="s">
        <v>76</v>
      </c>
      <c r="K577" s="10" t="s">
        <v>206</v>
      </c>
      <c r="L577" s="12">
        <v>1760</v>
      </c>
      <c r="M577" s="10">
        <v>2</v>
      </c>
      <c r="N577" s="13">
        <v>0.2</v>
      </c>
      <c r="O577" s="14">
        <v>411.94</v>
      </c>
      <c r="P577" s="10" t="s">
        <v>48</v>
      </c>
    </row>
    <row r="578" spans="1:16">
      <c r="A578" s="10" t="s">
        <v>1112</v>
      </c>
      <c r="B578" s="11">
        <v>45316</v>
      </c>
      <c r="C578" s="11">
        <v>45321</v>
      </c>
      <c r="D578" s="10" t="s">
        <v>639</v>
      </c>
      <c r="E578" s="10" t="s">
        <v>691</v>
      </c>
      <c r="F578" s="10" t="s">
        <v>19</v>
      </c>
      <c r="G578" s="10" t="s">
        <v>20</v>
      </c>
      <c r="H578" s="10" t="s">
        <v>21</v>
      </c>
      <c r="I578" s="10" t="s">
        <v>22</v>
      </c>
      <c r="J578" s="10" t="s">
        <v>38</v>
      </c>
      <c r="K578" s="10" t="s">
        <v>62</v>
      </c>
      <c r="L578" s="12">
        <v>28900</v>
      </c>
      <c r="M578" s="10">
        <v>4</v>
      </c>
      <c r="N578" s="13">
        <v>0.15</v>
      </c>
      <c r="O578" s="14">
        <v>5537.2</v>
      </c>
      <c r="P578" s="10" t="s">
        <v>56</v>
      </c>
    </row>
    <row r="579" spans="1:16">
      <c r="A579" s="10" t="s">
        <v>1113</v>
      </c>
      <c r="B579" s="11">
        <v>45676</v>
      </c>
      <c r="C579" s="11">
        <v>45682</v>
      </c>
      <c r="D579" s="10" t="s">
        <v>50</v>
      </c>
      <c r="E579" s="10" t="s">
        <v>1114</v>
      </c>
      <c r="F579" s="10" t="s">
        <v>43</v>
      </c>
      <c r="G579" s="10" t="s">
        <v>35</v>
      </c>
      <c r="H579" s="10" t="s">
        <v>36</v>
      </c>
      <c r="I579" s="10" t="s">
        <v>37</v>
      </c>
      <c r="J579" s="10" t="s">
        <v>30</v>
      </c>
      <c r="K579" s="10" t="s">
        <v>261</v>
      </c>
      <c r="L579" s="12">
        <v>513</v>
      </c>
      <c r="M579" s="10">
        <v>3</v>
      </c>
      <c r="N579" s="13">
        <v>0.05</v>
      </c>
      <c r="O579" s="14">
        <v>151.80000000000001</v>
      </c>
      <c r="P579" s="10" t="s">
        <v>69</v>
      </c>
    </row>
    <row r="580" spans="1:16">
      <c r="A580" s="10" t="s">
        <v>1115</v>
      </c>
      <c r="B580" s="11">
        <v>46079</v>
      </c>
      <c r="C580" s="11">
        <v>46083</v>
      </c>
      <c r="D580" s="10" t="s">
        <v>1116</v>
      </c>
      <c r="E580" s="10" t="s">
        <v>578</v>
      </c>
      <c r="F580" s="10" t="s">
        <v>43</v>
      </c>
      <c r="G580" s="10" t="s">
        <v>60</v>
      </c>
      <c r="H580" s="10" t="s">
        <v>61</v>
      </c>
      <c r="I580" s="10" t="s">
        <v>37</v>
      </c>
      <c r="J580" s="10" t="s">
        <v>23</v>
      </c>
      <c r="K580" s="10" t="s">
        <v>89</v>
      </c>
      <c r="L580" s="12">
        <v>8400</v>
      </c>
      <c r="M580" s="10">
        <v>3</v>
      </c>
      <c r="N580" s="13">
        <v>0</v>
      </c>
      <c r="O580" s="14">
        <v>2586.4</v>
      </c>
      <c r="P580" s="10" t="s">
        <v>48</v>
      </c>
    </row>
    <row r="581" spans="1:16">
      <c r="A581" s="10" t="s">
        <v>1117</v>
      </c>
      <c r="B581" s="11">
        <v>45556</v>
      </c>
      <c r="C581" s="11">
        <v>45563</v>
      </c>
      <c r="D581" s="10" t="s">
        <v>635</v>
      </c>
      <c r="E581" s="10" t="s">
        <v>833</v>
      </c>
      <c r="F581" s="10" t="s">
        <v>29</v>
      </c>
      <c r="G581" s="10" t="s">
        <v>179</v>
      </c>
      <c r="H581" s="10" t="s">
        <v>21</v>
      </c>
      <c r="I581" s="10" t="s">
        <v>22</v>
      </c>
      <c r="J581" s="10" t="s">
        <v>30</v>
      </c>
      <c r="K581" s="10" t="s">
        <v>127</v>
      </c>
      <c r="L581" s="12">
        <v>270</v>
      </c>
      <c r="M581" s="10">
        <v>2</v>
      </c>
      <c r="N581" s="13">
        <v>0.1</v>
      </c>
      <c r="O581" s="14">
        <v>29.79</v>
      </c>
      <c r="P581" s="10" t="s">
        <v>25</v>
      </c>
    </row>
    <row r="582" spans="1:16">
      <c r="A582" s="10" t="s">
        <v>1118</v>
      </c>
      <c r="B582" s="11">
        <v>45403</v>
      </c>
      <c r="C582" s="11">
        <v>45405</v>
      </c>
      <c r="D582" s="10" t="s">
        <v>377</v>
      </c>
      <c r="E582" s="10" t="s">
        <v>835</v>
      </c>
      <c r="F582" s="10" t="s">
        <v>29</v>
      </c>
      <c r="G582" s="10" t="s">
        <v>151</v>
      </c>
      <c r="H582" s="10" t="s">
        <v>151</v>
      </c>
      <c r="I582" s="10" t="s">
        <v>75</v>
      </c>
      <c r="J582" s="10" t="s">
        <v>76</v>
      </c>
      <c r="K582" s="10" t="s">
        <v>131</v>
      </c>
      <c r="L582" s="12">
        <v>630</v>
      </c>
      <c r="M582" s="10">
        <v>2</v>
      </c>
      <c r="N582" s="13">
        <v>0.1</v>
      </c>
      <c r="O582" s="14">
        <v>112.77</v>
      </c>
      <c r="P582" s="10" t="s">
        <v>63</v>
      </c>
    </row>
    <row r="583" spans="1:16">
      <c r="A583" s="10" t="s">
        <v>1119</v>
      </c>
      <c r="B583" s="11">
        <v>46037</v>
      </c>
      <c r="C583" s="11">
        <v>46040</v>
      </c>
      <c r="D583" s="10" t="s">
        <v>768</v>
      </c>
      <c r="E583" s="10" t="s">
        <v>116</v>
      </c>
      <c r="F583" s="10" t="s">
        <v>43</v>
      </c>
      <c r="G583" s="10" t="s">
        <v>35</v>
      </c>
      <c r="H583" s="10" t="s">
        <v>36</v>
      </c>
      <c r="I583" s="10" t="s">
        <v>37</v>
      </c>
      <c r="J583" s="10" t="s">
        <v>76</v>
      </c>
      <c r="K583" s="10" t="s">
        <v>206</v>
      </c>
      <c r="L583" s="12">
        <v>8800</v>
      </c>
      <c r="M583" s="10">
        <v>8</v>
      </c>
      <c r="N583" s="13">
        <v>0</v>
      </c>
      <c r="O583" s="14">
        <v>1850.24</v>
      </c>
      <c r="P583" s="10" t="s">
        <v>69</v>
      </c>
    </row>
    <row r="584" spans="1:16">
      <c r="A584" s="10" t="s">
        <v>1120</v>
      </c>
      <c r="B584" s="11">
        <v>45447</v>
      </c>
      <c r="C584" s="11">
        <v>45453</v>
      </c>
      <c r="D584" s="10" t="s">
        <v>156</v>
      </c>
      <c r="E584" s="10" t="s">
        <v>209</v>
      </c>
      <c r="F584" s="10" t="s">
        <v>43</v>
      </c>
      <c r="G584" s="10" t="s">
        <v>67</v>
      </c>
      <c r="H584" s="10" t="s">
        <v>68</v>
      </c>
      <c r="I584" s="10" t="s">
        <v>22</v>
      </c>
      <c r="J584" s="10" t="s">
        <v>76</v>
      </c>
      <c r="K584" s="10" t="s">
        <v>85</v>
      </c>
      <c r="L584" s="12">
        <v>187</v>
      </c>
      <c r="M584" s="10">
        <v>1</v>
      </c>
      <c r="N584" s="13">
        <v>0.15</v>
      </c>
      <c r="O584" s="14">
        <v>32.450000000000003</v>
      </c>
      <c r="P584" s="10" t="s">
        <v>25</v>
      </c>
    </row>
    <row r="585" spans="1:16">
      <c r="A585" s="10" t="s">
        <v>1121</v>
      </c>
      <c r="B585" s="11">
        <v>46156</v>
      </c>
      <c r="C585" s="11">
        <v>46162</v>
      </c>
      <c r="D585" s="10" t="s">
        <v>282</v>
      </c>
      <c r="E585" s="10" t="s">
        <v>266</v>
      </c>
      <c r="F585" s="10" t="s">
        <v>19</v>
      </c>
      <c r="G585" s="10" t="s">
        <v>35</v>
      </c>
      <c r="H585" s="10" t="s">
        <v>36</v>
      </c>
      <c r="I585" s="10" t="s">
        <v>37</v>
      </c>
      <c r="J585" s="10" t="s">
        <v>38</v>
      </c>
      <c r="K585" s="10" t="s">
        <v>62</v>
      </c>
      <c r="L585" s="12">
        <v>34000</v>
      </c>
      <c r="M585" s="10">
        <v>4</v>
      </c>
      <c r="N585" s="13">
        <v>0</v>
      </c>
      <c r="O585" s="14">
        <v>9521.69</v>
      </c>
      <c r="P585" s="10" t="s">
        <v>63</v>
      </c>
    </row>
    <row r="586" spans="1:16">
      <c r="A586" s="10" t="s">
        <v>1122</v>
      </c>
      <c r="B586" s="11">
        <v>46249</v>
      </c>
      <c r="C586" s="11">
        <v>46252</v>
      </c>
      <c r="D586" s="10" t="s">
        <v>961</v>
      </c>
      <c r="E586" s="10" t="s">
        <v>541</v>
      </c>
      <c r="F586" s="10" t="s">
        <v>19</v>
      </c>
      <c r="G586" s="10" t="s">
        <v>67</v>
      </c>
      <c r="H586" s="10" t="s">
        <v>68</v>
      </c>
      <c r="I586" s="10" t="s">
        <v>22</v>
      </c>
      <c r="J586" s="10" t="s">
        <v>23</v>
      </c>
      <c r="K586" s="10" t="s">
        <v>293</v>
      </c>
      <c r="L586" s="12">
        <v>600</v>
      </c>
      <c r="M586" s="10">
        <v>1</v>
      </c>
      <c r="N586" s="13">
        <v>0.2</v>
      </c>
      <c r="O586" s="14">
        <v>54.47</v>
      </c>
      <c r="P586" s="10" t="s">
        <v>69</v>
      </c>
    </row>
    <row r="587" spans="1:16">
      <c r="A587" s="10" t="s">
        <v>1123</v>
      </c>
      <c r="B587" s="11">
        <v>45374</v>
      </c>
      <c r="C587" s="11">
        <v>45381</v>
      </c>
      <c r="D587" s="10" t="s">
        <v>744</v>
      </c>
      <c r="E587" s="10" t="s">
        <v>1124</v>
      </c>
      <c r="F587" s="10" t="s">
        <v>19</v>
      </c>
      <c r="G587" s="10" t="s">
        <v>73</v>
      </c>
      <c r="H587" s="10" t="s">
        <v>74</v>
      </c>
      <c r="I587" s="10" t="s">
        <v>75</v>
      </c>
      <c r="J587" s="10" t="s">
        <v>23</v>
      </c>
      <c r="K587" s="10" t="s">
        <v>24</v>
      </c>
      <c r="L587" s="12">
        <v>16575</v>
      </c>
      <c r="M587" s="10">
        <v>3</v>
      </c>
      <c r="N587" s="13">
        <v>0.15</v>
      </c>
      <c r="O587" s="14">
        <v>5756.06</v>
      </c>
      <c r="P587" s="10" t="s">
        <v>25</v>
      </c>
    </row>
    <row r="588" spans="1:16">
      <c r="A588" s="10" t="s">
        <v>1125</v>
      </c>
      <c r="B588" s="11">
        <v>46209</v>
      </c>
      <c r="C588" s="11">
        <v>46210</v>
      </c>
      <c r="D588" s="10" t="s">
        <v>356</v>
      </c>
      <c r="E588" s="10" t="s">
        <v>418</v>
      </c>
      <c r="F588" s="10" t="s">
        <v>29</v>
      </c>
      <c r="G588" s="10" t="s">
        <v>167</v>
      </c>
      <c r="H588" s="10" t="s">
        <v>168</v>
      </c>
      <c r="I588" s="10" t="s">
        <v>37</v>
      </c>
      <c r="J588" s="10" t="s">
        <v>23</v>
      </c>
      <c r="K588" s="10" t="s">
        <v>293</v>
      </c>
      <c r="L588" s="12">
        <v>1200</v>
      </c>
      <c r="M588" s="10">
        <v>2</v>
      </c>
      <c r="N588" s="13">
        <v>0.2</v>
      </c>
      <c r="O588" s="14">
        <v>283.35000000000002</v>
      </c>
      <c r="P588" s="10" t="s">
        <v>48</v>
      </c>
    </row>
    <row r="589" spans="1:16">
      <c r="A589" s="10" t="s">
        <v>1126</v>
      </c>
      <c r="B589" s="11">
        <v>46029</v>
      </c>
      <c r="C589" s="11">
        <v>46034</v>
      </c>
      <c r="D589" s="10" t="s">
        <v>840</v>
      </c>
      <c r="E589" s="10" t="s">
        <v>673</v>
      </c>
      <c r="F589" s="10" t="s">
        <v>43</v>
      </c>
      <c r="G589" s="10" t="s">
        <v>111</v>
      </c>
      <c r="H589" s="10" t="s">
        <v>21</v>
      </c>
      <c r="I589" s="10" t="s">
        <v>22</v>
      </c>
      <c r="J589" s="10" t="s">
        <v>76</v>
      </c>
      <c r="K589" s="10" t="s">
        <v>77</v>
      </c>
      <c r="L589" s="12">
        <v>2720</v>
      </c>
      <c r="M589" s="10">
        <v>2</v>
      </c>
      <c r="N589" s="13">
        <v>0.15</v>
      </c>
      <c r="O589" s="14">
        <v>517.38</v>
      </c>
      <c r="P589" s="10" t="s">
        <v>48</v>
      </c>
    </row>
    <row r="590" spans="1:16">
      <c r="A590" s="10" t="s">
        <v>1127</v>
      </c>
      <c r="B590" s="11">
        <v>45329</v>
      </c>
      <c r="C590" s="11">
        <v>45332</v>
      </c>
      <c r="D590" s="10" t="s">
        <v>201</v>
      </c>
      <c r="E590" s="10" t="s">
        <v>520</v>
      </c>
      <c r="F590" s="10" t="s">
        <v>19</v>
      </c>
      <c r="G590" s="10" t="s">
        <v>135</v>
      </c>
      <c r="H590" s="10" t="s">
        <v>21</v>
      </c>
      <c r="I590" s="10" t="s">
        <v>22</v>
      </c>
      <c r="J590" s="10" t="s">
        <v>23</v>
      </c>
      <c r="K590" s="10" t="s">
        <v>120</v>
      </c>
      <c r="L590" s="12">
        <v>29400</v>
      </c>
      <c r="M590" s="10">
        <v>7</v>
      </c>
      <c r="N590" s="13">
        <v>0</v>
      </c>
      <c r="O590" s="14">
        <v>9553.93</v>
      </c>
      <c r="P590" s="10" t="s">
        <v>63</v>
      </c>
    </row>
    <row r="591" spans="1:16">
      <c r="A591" s="10" t="s">
        <v>1128</v>
      </c>
      <c r="B591" s="11">
        <v>45444</v>
      </c>
      <c r="C591" s="11">
        <v>45450</v>
      </c>
      <c r="D591" s="10" t="s">
        <v>201</v>
      </c>
      <c r="E591" s="10" t="s">
        <v>796</v>
      </c>
      <c r="F591" s="10" t="s">
        <v>19</v>
      </c>
      <c r="G591" s="10" t="s">
        <v>224</v>
      </c>
      <c r="H591" s="10" t="s">
        <v>225</v>
      </c>
      <c r="I591" s="10" t="s">
        <v>75</v>
      </c>
      <c r="J591" s="10" t="s">
        <v>30</v>
      </c>
      <c r="K591" s="10" t="s">
        <v>261</v>
      </c>
      <c r="L591" s="12">
        <v>144</v>
      </c>
      <c r="M591" s="10">
        <v>1</v>
      </c>
      <c r="N591" s="13">
        <v>0.2</v>
      </c>
      <c r="O591" s="14">
        <v>45.1</v>
      </c>
      <c r="P591" s="10" t="s">
        <v>48</v>
      </c>
    </row>
    <row r="592" spans="1:16">
      <c r="A592" s="10" t="s">
        <v>1129</v>
      </c>
      <c r="B592" s="11">
        <v>45540</v>
      </c>
      <c r="C592" s="11">
        <v>45546</v>
      </c>
      <c r="D592" s="10" t="s">
        <v>1017</v>
      </c>
      <c r="E592" s="10" t="s">
        <v>344</v>
      </c>
      <c r="F592" s="10" t="s">
        <v>19</v>
      </c>
      <c r="G592" s="10" t="s">
        <v>167</v>
      </c>
      <c r="H592" s="10" t="s">
        <v>168</v>
      </c>
      <c r="I592" s="10" t="s">
        <v>37</v>
      </c>
      <c r="J592" s="10" t="s">
        <v>30</v>
      </c>
      <c r="K592" s="10" t="s">
        <v>261</v>
      </c>
      <c r="L592" s="12">
        <v>432</v>
      </c>
      <c r="M592" s="10">
        <v>3</v>
      </c>
      <c r="N592" s="13">
        <v>0.2</v>
      </c>
      <c r="O592" s="14">
        <v>145.59</v>
      </c>
      <c r="P592" s="10" t="s">
        <v>56</v>
      </c>
    </row>
    <row r="593" spans="1:16">
      <c r="A593" s="10" t="s">
        <v>1130</v>
      </c>
      <c r="B593" s="11">
        <v>46147</v>
      </c>
      <c r="C593" s="11">
        <v>46152</v>
      </c>
      <c r="D593" s="10" t="s">
        <v>255</v>
      </c>
      <c r="E593" s="10" t="s">
        <v>1131</v>
      </c>
      <c r="F593" s="10" t="s">
        <v>29</v>
      </c>
      <c r="G593" s="10" t="s">
        <v>20</v>
      </c>
      <c r="H593" s="10" t="s">
        <v>21</v>
      </c>
      <c r="I593" s="10" t="s">
        <v>22</v>
      </c>
      <c r="J593" s="10" t="s">
        <v>38</v>
      </c>
      <c r="K593" s="10" t="s">
        <v>104</v>
      </c>
      <c r="L593" s="12">
        <v>4420</v>
      </c>
      <c r="M593" s="10">
        <v>8</v>
      </c>
      <c r="N593" s="13">
        <v>0.15</v>
      </c>
      <c r="O593" s="14">
        <v>661.74</v>
      </c>
      <c r="P593" s="10" t="s">
        <v>25</v>
      </c>
    </row>
    <row r="594" spans="1:16">
      <c r="A594" s="10" t="s">
        <v>1132</v>
      </c>
      <c r="B594" s="11">
        <v>45637</v>
      </c>
      <c r="C594" s="11">
        <v>45644</v>
      </c>
      <c r="D594" s="10" t="s">
        <v>543</v>
      </c>
      <c r="E594" s="10" t="s">
        <v>426</v>
      </c>
      <c r="F594" s="10" t="s">
        <v>29</v>
      </c>
      <c r="G594" s="10" t="s">
        <v>44</v>
      </c>
      <c r="H594" s="10" t="s">
        <v>45</v>
      </c>
      <c r="I594" s="10" t="s">
        <v>46</v>
      </c>
      <c r="J594" s="10" t="s">
        <v>76</v>
      </c>
      <c r="K594" s="10" t="s">
        <v>229</v>
      </c>
      <c r="L594" s="12">
        <v>3040</v>
      </c>
      <c r="M594" s="10">
        <v>2</v>
      </c>
      <c r="N594" s="13">
        <v>0.2</v>
      </c>
      <c r="O594" s="14">
        <v>608.76</v>
      </c>
      <c r="P594" s="10" t="s">
        <v>48</v>
      </c>
    </row>
    <row r="595" spans="1:16">
      <c r="A595" s="10" t="s">
        <v>1133</v>
      </c>
      <c r="B595" s="11">
        <v>45899</v>
      </c>
      <c r="C595" s="11">
        <v>45901</v>
      </c>
      <c r="D595" s="10" t="s">
        <v>811</v>
      </c>
      <c r="E595" s="10" t="s">
        <v>364</v>
      </c>
      <c r="F595" s="10" t="s">
        <v>29</v>
      </c>
      <c r="G595" s="10" t="s">
        <v>67</v>
      </c>
      <c r="H595" s="10" t="s">
        <v>68</v>
      </c>
      <c r="I595" s="10" t="s">
        <v>22</v>
      </c>
      <c r="J595" s="10" t="s">
        <v>38</v>
      </c>
      <c r="K595" s="10" t="s">
        <v>104</v>
      </c>
      <c r="L595" s="12">
        <v>3250</v>
      </c>
      <c r="M595" s="10">
        <v>5</v>
      </c>
      <c r="N595" s="13">
        <v>0</v>
      </c>
      <c r="O595" s="14">
        <v>594.87</v>
      </c>
      <c r="P595" s="10" t="s">
        <v>25</v>
      </c>
    </row>
    <row r="596" spans="1:16">
      <c r="A596" s="10" t="s">
        <v>1134</v>
      </c>
      <c r="B596" s="11">
        <v>45541</v>
      </c>
      <c r="C596" s="11">
        <v>45546</v>
      </c>
      <c r="D596" s="10" t="s">
        <v>388</v>
      </c>
      <c r="E596" s="10" t="s">
        <v>996</v>
      </c>
      <c r="F596" s="10" t="s">
        <v>29</v>
      </c>
      <c r="G596" s="10" t="s">
        <v>135</v>
      </c>
      <c r="H596" s="10" t="s">
        <v>21</v>
      </c>
      <c r="I596" s="10" t="s">
        <v>22</v>
      </c>
      <c r="J596" s="10" t="s">
        <v>30</v>
      </c>
      <c r="K596" s="10" t="s">
        <v>261</v>
      </c>
      <c r="L596" s="12">
        <v>1260</v>
      </c>
      <c r="M596" s="10">
        <v>7</v>
      </c>
      <c r="N596" s="13">
        <v>0</v>
      </c>
      <c r="O596" s="14">
        <v>473.68</v>
      </c>
      <c r="P596" s="10" t="s">
        <v>56</v>
      </c>
    </row>
    <row r="597" spans="1:16">
      <c r="A597" s="10" t="s">
        <v>1135</v>
      </c>
      <c r="B597" s="11">
        <v>46240</v>
      </c>
      <c r="C597" s="11">
        <v>46241</v>
      </c>
      <c r="D597" s="10" t="s">
        <v>588</v>
      </c>
      <c r="E597" s="10" t="s">
        <v>154</v>
      </c>
      <c r="F597" s="10" t="s">
        <v>43</v>
      </c>
      <c r="G597" s="10" t="s">
        <v>60</v>
      </c>
      <c r="H597" s="10" t="s">
        <v>61</v>
      </c>
      <c r="I597" s="10" t="s">
        <v>37</v>
      </c>
      <c r="J597" s="10" t="s">
        <v>23</v>
      </c>
      <c r="K597" s="10" t="s">
        <v>293</v>
      </c>
      <c r="L597" s="12">
        <v>4800</v>
      </c>
      <c r="M597" s="10">
        <v>8</v>
      </c>
      <c r="N597" s="13">
        <v>0.2</v>
      </c>
      <c r="O597" s="14">
        <v>1521.64</v>
      </c>
      <c r="P597" s="10" t="s">
        <v>25</v>
      </c>
    </row>
    <row r="598" spans="1:16">
      <c r="A598" s="10" t="s">
        <v>1136</v>
      </c>
      <c r="B598" s="11">
        <v>45536</v>
      </c>
      <c r="C598" s="11">
        <v>45538</v>
      </c>
      <c r="D598" s="10" t="s">
        <v>227</v>
      </c>
      <c r="E598" s="10" t="s">
        <v>1114</v>
      </c>
      <c r="F598" s="10" t="s">
        <v>43</v>
      </c>
      <c r="G598" s="10" t="s">
        <v>224</v>
      </c>
      <c r="H598" s="10" t="s">
        <v>225</v>
      </c>
      <c r="I598" s="10" t="s">
        <v>75</v>
      </c>
      <c r="J598" s="10" t="s">
        <v>38</v>
      </c>
      <c r="K598" s="10" t="s">
        <v>62</v>
      </c>
      <c r="L598" s="12">
        <v>20400</v>
      </c>
      <c r="M598" s="10">
        <v>3</v>
      </c>
      <c r="N598" s="13">
        <v>0.2</v>
      </c>
      <c r="O598" s="14">
        <v>4488.6000000000004</v>
      </c>
      <c r="P598" s="10" t="s">
        <v>69</v>
      </c>
    </row>
    <row r="599" spans="1:16">
      <c r="A599" s="10" t="s">
        <v>1137</v>
      </c>
      <c r="B599" s="11">
        <v>45720</v>
      </c>
      <c r="C599" s="11">
        <v>45721</v>
      </c>
      <c r="D599" s="10" t="s">
        <v>667</v>
      </c>
      <c r="E599" s="10" t="s">
        <v>856</v>
      </c>
      <c r="F599" s="10" t="s">
        <v>19</v>
      </c>
      <c r="G599" s="10" t="s">
        <v>151</v>
      </c>
      <c r="H599" s="10" t="s">
        <v>151</v>
      </c>
      <c r="I599" s="10" t="s">
        <v>75</v>
      </c>
      <c r="J599" s="10" t="s">
        <v>30</v>
      </c>
      <c r="K599" s="10" t="s">
        <v>31</v>
      </c>
      <c r="L599" s="12">
        <v>204</v>
      </c>
      <c r="M599" s="10">
        <v>2</v>
      </c>
      <c r="N599" s="13">
        <v>0.15</v>
      </c>
      <c r="O599" s="14">
        <v>21.12</v>
      </c>
      <c r="P599" s="10" t="s">
        <v>63</v>
      </c>
    </row>
    <row r="600" spans="1:16">
      <c r="A600" s="10" t="s">
        <v>1138</v>
      </c>
      <c r="B600" s="11">
        <v>45516</v>
      </c>
      <c r="C600" s="11">
        <v>45520</v>
      </c>
      <c r="D600" s="10" t="s">
        <v>1139</v>
      </c>
      <c r="E600" s="10" t="s">
        <v>209</v>
      </c>
      <c r="F600" s="10" t="s">
        <v>29</v>
      </c>
      <c r="G600" s="10" t="s">
        <v>35</v>
      </c>
      <c r="H600" s="10" t="s">
        <v>36</v>
      </c>
      <c r="I600" s="10" t="s">
        <v>37</v>
      </c>
      <c r="J600" s="10" t="s">
        <v>30</v>
      </c>
      <c r="K600" s="10" t="s">
        <v>173</v>
      </c>
      <c r="L600" s="12">
        <v>320</v>
      </c>
      <c r="M600" s="10">
        <v>1</v>
      </c>
      <c r="N600" s="13">
        <v>0</v>
      </c>
      <c r="O600" s="14">
        <v>112.23</v>
      </c>
      <c r="P600" s="10" t="s">
        <v>56</v>
      </c>
    </row>
    <row r="601" spans="1:16">
      <c r="A601" s="10" t="s">
        <v>1140</v>
      </c>
      <c r="B601" s="11">
        <v>45978</v>
      </c>
      <c r="C601" s="11">
        <v>45979</v>
      </c>
      <c r="D601" s="10" t="s">
        <v>522</v>
      </c>
      <c r="E601" s="10" t="s">
        <v>338</v>
      </c>
      <c r="F601" s="10" t="s">
        <v>29</v>
      </c>
      <c r="G601" s="10" t="s">
        <v>135</v>
      </c>
      <c r="H601" s="10" t="s">
        <v>21</v>
      </c>
      <c r="I601" s="10" t="s">
        <v>22</v>
      </c>
      <c r="J601" s="10" t="s">
        <v>23</v>
      </c>
      <c r="K601" s="10" t="s">
        <v>89</v>
      </c>
      <c r="L601" s="12">
        <v>10080</v>
      </c>
      <c r="M601" s="10">
        <v>4</v>
      </c>
      <c r="N601" s="13">
        <v>0.1</v>
      </c>
      <c r="O601" s="14">
        <v>3020.38</v>
      </c>
      <c r="P601" s="10" t="s">
        <v>48</v>
      </c>
    </row>
    <row r="602" spans="1:16">
      <c r="A602" s="10" t="s">
        <v>1141</v>
      </c>
      <c r="B602" s="11">
        <v>46239</v>
      </c>
      <c r="C602" s="11">
        <v>46244</v>
      </c>
      <c r="D602" s="10" t="s">
        <v>747</v>
      </c>
      <c r="E602" s="10" t="s">
        <v>253</v>
      </c>
      <c r="F602" s="10" t="s">
        <v>43</v>
      </c>
      <c r="G602" s="10" t="s">
        <v>97</v>
      </c>
      <c r="H602" s="10" t="s">
        <v>21</v>
      </c>
      <c r="I602" s="10" t="s">
        <v>22</v>
      </c>
      <c r="J602" s="10" t="s">
        <v>30</v>
      </c>
      <c r="K602" s="10" t="s">
        <v>261</v>
      </c>
      <c r="L602" s="12">
        <v>1224</v>
      </c>
      <c r="M602" s="10">
        <v>8</v>
      </c>
      <c r="N602" s="13">
        <v>0.15</v>
      </c>
      <c r="O602" s="14">
        <v>400.64</v>
      </c>
      <c r="P602" s="10" t="s">
        <v>63</v>
      </c>
    </row>
    <row r="603" spans="1:16">
      <c r="A603" s="10" t="s">
        <v>1142</v>
      </c>
      <c r="B603" s="11">
        <v>45885</v>
      </c>
      <c r="C603" s="11">
        <v>45888</v>
      </c>
      <c r="D603" s="10" t="s">
        <v>143</v>
      </c>
      <c r="E603" s="10" t="s">
        <v>253</v>
      </c>
      <c r="F603" s="10" t="s">
        <v>43</v>
      </c>
      <c r="G603" s="10" t="s">
        <v>81</v>
      </c>
      <c r="H603" s="10" t="s">
        <v>68</v>
      </c>
      <c r="I603" s="10" t="s">
        <v>22</v>
      </c>
      <c r="J603" s="10" t="s">
        <v>30</v>
      </c>
      <c r="K603" s="10" t="s">
        <v>173</v>
      </c>
      <c r="L603" s="12">
        <v>1280</v>
      </c>
      <c r="M603" s="10">
        <v>4</v>
      </c>
      <c r="N603" s="13">
        <v>0</v>
      </c>
      <c r="O603" s="14">
        <v>377.86</v>
      </c>
      <c r="P603" s="10" t="s">
        <v>56</v>
      </c>
    </row>
    <row r="604" spans="1:16">
      <c r="A604" s="10" t="s">
        <v>1143</v>
      </c>
      <c r="B604" s="11">
        <v>45676</v>
      </c>
      <c r="C604" s="11">
        <v>45678</v>
      </c>
      <c r="D604" s="10" t="s">
        <v>303</v>
      </c>
      <c r="E604" s="10" t="s">
        <v>66</v>
      </c>
      <c r="F604" s="10" t="s">
        <v>19</v>
      </c>
      <c r="G604" s="10" t="s">
        <v>20</v>
      </c>
      <c r="H604" s="10" t="s">
        <v>21</v>
      </c>
      <c r="I604" s="10" t="s">
        <v>22</v>
      </c>
      <c r="J604" s="10" t="s">
        <v>76</v>
      </c>
      <c r="K604" s="10" t="s">
        <v>85</v>
      </c>
      <c r="L604" s="12">
        <v>1760</v>
      </c>
      <c r="M604" s="10">
        <v>8</v>
      </c>
      <c r="N604" s="13">
        <v>0</v>
      </c>
      <c r="O604" s="14">
        <v>261.31</v>
      </c>
      <c r="P604" s="10" t="s">
        <v>25</v>
      </c>
    </row>
    <row r="605" spans="1:16">
      <c r="A605" s="10" t="s">
        <v>1144</v>
      </c>
      <c r="B605" s="11">
        <v>45474</v>
      </c>
      <c r="C605" s="11">
        <v>45478</v>
      </c>
      <c r="D605" s="10" t="s">
        <v>1145</v>
      </c>
      <c r="E605" s="10" t="s">
        <v>429</v>
      </c>
      <c r="F605" s="10" t="s">
        <v>29</v>
      </c>
      <c r="G605" s="10" t="s">
        <v>67</v>
      </c>
      <c r="H605" s="10" t="s">
        <v>68</v>
      </c>
      <c r="I605" s="10" t="s">
        <v>22</v>
      </c>
      <c r="J605" s="10" t="s">
        <v>30</v>
      </c>
      <c r="K605" s="10" t="s">
        <v>127</v>
      </c>
      <c r="L605" s="12">
        <v>480</v>
      </c>
      <c r="M605" s="10">
        <v>4</v>
      </c>
      <c r="N605" s="13">
        <v>0.2</v>
      </c>
      <c r="O605" s="14">
        <v>123.25</v>
      </c>
      <c r="P605" s="10" t="s">
        <v>48</v>
      </c>
    </row>
    <row r="606" spans="1:16">
      <c r="A606" s="10" t="s">
        <v>1146</v>
      </c>
      <c r="B606" s="11">
        <v>46000</v>
      </c>
      <c r="C606" s="11">
        <v>46005</v>
      </c>
      <c r="D606" s="10" t="s">
        <v>811</v>
      </c>
      <c r="E606" s="10" t="s">
        <v>1147</v>
      </c>
      <c r="F606" s="10" t="s">
        <v>43</v>
      </c>
      <c r="G606" s="10" t="s">
        <v>135</v>
      </c>
      <c r="H606" s="10" t="s">
        <v>21</v>
      </c>
      <c r="I606" s="10" t="s">
        <v>22</v>
      </c>
      <c r="J606" s="10" t="s">
        <v>23</v>
      </c>
      <c r="K606" s="10" t="s">
        <v>24</v>
      </c>
      <c r="L606" s="12">
        <v>11700</v>
      </c>
      <c r="M606" s="10">
        <v>2</v>
      </c>
      <c r="N606" s="13">
        <v>0.1</v>
      </c>
      <c r="O606" s="14">
        <v>2875.5</v>
      </c>
      <c r="P606" s="10" t="s">
        <v>63</v>
      </c>
    </row>
    <row r="607" spans="1:16">
      <c r="A607" s="10" t="s">
        <v>1148</v>
      </c>
      <c r="B607" s="11">
        <v>45452</v>
      </c>
      <c r="C607" s="11">
        <v>45459</v>
      </c>
      <c r="D607" s="10" t="s">
        <v>184</v>
      </c>
      <c r="E607" s="10" t="s">
        <v>530</v>
      </c>
      <c r="F607" s="10" t="s">
        <v>29</v>
      </c>
      <c r="G607" s="10" t="s">
        <v>35</v>
      </c>
      <c r="H607" s="10" t="s">
        <v>36</v>
      </c>
      <c r="I607" s="10" t="s">
        <v>37</v>
      </c>
      <c r="J607" s="10" t="s">
        <v>30</v>
      </c>
      <c r="K607" s="10" t="s">
        <v>93</v>
      </c>
      <c r="L607" s="12">
        <v>360</v>
      </c>
      <c r="M607" s="10">
        <v>4</v>
      </c>
      <c r="N607" s="13">
        <v>0</v>
      </c>
      <c r="O607" s="14">
        <v>98.27</v>
      </c>
      <c r="P607" s="10" t="s">
        <v>63</v>
      </c>
    </row>
    <row r="608" spans="1:16">
      <c r="A608" s="10" t="s">
        <v>1149</v>
      </c>
      <c r="B608" s="11">
        <v>45776</v>
      </c>
      <c r="C608" s="11">
        <v>45783</v>
      </c>
      <c r="D608" s="10" t="s">
        <v>736</v>
      </c>
      <c r="E608" s="10" t="s">
        <v>182</v>
      </c>
      <c r="F608" s="10" t="s">
        <v>19</v>
      </c>
      <c r="G608" s="10" t="s">
        <v>73</v>
      </c>
      <c r="H608" s="10" t="s">
        <v>74</v>
      </c>
      <c r="I608" s="10" t="s">
        <v>75</v>
      </c>
      <c r="J608" s="10" t="s">
        <v>23</v>
      </c>
      <c r="K608" s="10" t="s">
        <v>120</v>
      </c>
      <c r="L608" s="12">
        <v>23520</v>
      </c>
      <c r="M608" s="10">
        <v>7</v>
      </c>
      <c r="N608" s="13">
        <v>0.2</v>
      </c>
      <c r="O608" s="14">
        <v>2895.89</v>
      </c>
      <c r="P608" s="10" t="s">
        <v>56</v>
      </c>
    </row>
    <row r="609" spans="1:16">
      <c r="A609" s="10" t="s">
        <v>1150</v>
      </c>
      <c r="B609" s="11">
        <v>46205</v>
      </c>
      <c r="C609" s="11">
        <v>46210</v>
      </c>
      <c r="D609" s="10" t="s">
        <v>1095</v>
      </c>
      <c r="E609" s="10" t="s">
        <v>432</v>
      </c>
      <c r="F609" s="10" t="s">
        <v>43</v>
      </c>
      <c r="G609" s="10" t="s">
        <v>97</v>
      </c>
      <c r="H609" s="10" t="s">
        <v>21</v>
      </c>
      <c r="I609" s="10" t="s">
        <v>22</v>
      </c>
      <c r="J609" s="10" t="s">
        <v>38</v>
      </c>
      <c r="K609" s="10" t="s">
        <v>55</v>
      </c>
      <c r="L609" s="12">
        <v>550</v>
      </c>
      <c r="M609" s="10">
        <v>1</v>
      </c>
      <c r="N609" s="13">
        <v>0</v>
      </c>
      <c r="O609" s="14">
        <v>67.25</v>
      </c>
      <c r="P609" s="10" t="s">
        <v>63</v>
      </c>
    </row>
    <row r="610" spans="1:16">
      <c r="A610" s="10" t="s">
        <v>1151</v>
      </c>
      <c r="B610" s="11">
        <v>45695</v>
      </c>
      <c r="C610" s="11">
        <v>45699</v>
      </c>
      <c r="D610" s="10" t="s">
        <v>980</v>
      </c>
      <c r="E610" s="10" t="s">
        <v>88</v>
      </c>
      <c r="F610" s="10" t="s">
        <v>19</v>
      </c>
      <c r="G610" s="10" t="s">
        <v>35</v>
      </c>
      <c r="H610" s="10" t="s">
        <v>36</v>
      </c>
      <c r="I610" s="10" t="s">
        <v>37</v>
      </c>
      <c r="J610" s="10" t="s">
        <v>38</v>
      </c>
      <c r="K610" s="10" t="s">
        <v>55</v>
      </c>
      <c r="L610" s="12">
        <v>4400</v>
      </c>
      <c r="M610" s="10">
        <v>8</v>
      </c>
      <c r="N610" s="13">
        <v>0</v>
      </c>
      <c r="O610" s="14">
        <v>1576.94</v>
      </c>
      <c r="P610" s="10" t="s">
        <v>25</v>
      </c>
    </row>
    <row r="611" spans="1:16">
      <c r="A611" s="10" t="s">
        <v>1152</v>
      </c>
      <c r="B611" s="11">
        <v>46264</v>
      </c>
      <c r="C611" s="11">
        <v>46266</v>
      </c>
      <c r="D611" s="10" t="s">
        <v>460</v>
      </c>
      <c r="E611" s="10" t="s">
        <v>296</v>
      </c>
      <c r="F611" s="10" t="s">
        <v>43</v>
      </c>
      <c r="G611" s="10" t="s">
        <v>97</v>
      </c>
      <c r="H611" s="10" t="s">
        <v>21</v>
      </c>
      <c r="I611" s="10" t="s">
        <v>22</v>
      </c>
      <c r="J611" s="10" t="s">
        <v>23</v>
      </c>
      <c r="K611" s="10" t="s">
        <v>89</v>
      </c>
      <c r="L611" s="12">
        <v>8960</v>
      </c>
      <c r="M611" s="10">
        <v>4</v>
      </c>
      <c r="N611" s="13">
        <v>0.2</v>
      </c>
      <c r="O611" s="14">
        <v>808.84</v>
      </c>
      <c r="P611" s="10" t="s">
        <v>56</v>
      </c>
    </row>
    <row r="612" spans="1:16">
      <c r="A612" s="10" t="s">
        <v>1153</v>
      </c>
      <c r="B612" s="11">
        <v>46012</v>
      </c>
      <c r="C612" s="11">
        <v>46016</v>
      </c>
      <c r="D612" s="10" t="s">
        <v>1154</v>
      </c>
      <c r="E612" s="10" t="s">
        <v>399</v>
      </c>
      <c r="F612" s="10" t="s">
        <v>43</v>
      </c>
      <c r="G612" s="10" t="s">
        <v>44</v>
      </c>
      <c r="H612" s="10" t="s">
        <v>45</v>
      </c>
      <c r="I612" s="10" t="s">
        <v>46</v>
      </c>
      <c r="J612" s="10" t="s">
        <v>38</v>
      </c>
      <c r="K612" s="10" t="s">
        <v>55</v>
      </c>
      <c r="L612" s="12">
        <v>4400</v>
      </c>
      <c r="M612" s="10">
        <v>8</v>
      </c>
      <c r="N612" s="13">
        <v>0</v>
      </c>
      <c r="O612" s="14">
        <v>671.92</v>
      </c>
      <c r="P612" s="10" t="s">
        <v>25</v>
      </c>
    </row>
    <row r="613" spans="1:16">
      <c r="A613" s="10" t="s">
        <v>1155</v>
      </c>
      <c r="B613" s="11">
        <v>46012</v>
      </c>
      <c r="C613" s="11">
        <v>46018</v>
      </c>
      <c r="D613" s="10" t="s">
        <v>454</v>
      </c>
      <c r="E613" s="10" t="s">
        <v>711</v>
      </c>
      <c r="F613" s="10" t="s">
        <v>19</v>
      </c>
      <c r="G613" s="10" t="s">
        <v>135</v>
      </c>
      <c r="H613" s="10" t="s">
        <v>21</v>
      </c>
      <c r="I613" s="10" t="s">
        <v>22</v>
      </c>
      <c r="J613" s="10" t="s">
        <v>38</v>
      </c>
      <c r="K613" s="10" t="s">
        <v>55</v>
      </c>
      <c r="L613" s="12">
        <v>2805</v>
      </c>
      <c r="M613" s="10">
        <v>6</v>
      </c>
      <c r="N613" s="13">
        <v>0.15</v>
      </c>
      <c r="O613" s="14">
        <v>978.93</v>
      </c>
      <c r="P613" s="10" t="s">
        <v>63</v>
      </c>
    </row>
    <row r="614" spans="1:16">
      <c r="A614" s="10" t="s">
        <v>1156</v>
      </c>
      <c r="B614" s="11">
        <v>45881</v>
      </c>
      <c r="C614" s="11">
        <v>45888</v>
      </c>
      <c r="D614" s="10" t="s">
        <v>569</v>
      </c>
      <c r="E614" s="10" t="s">
        <v>96</v>
      </c>
      <c r="F614" s="10" t="s">
        <v>29</v>
      </c>
      <c r="G614" s="10" t="s">
        <v>111</v>
      </c>
      <c r="H614" s="10" t="s">
        <v>21</v>
      </c>
      <c r="I614" s="10" t="s">
        <v>22</v>
      </c>
      <c r="J614" s="10" t="s">
        <v>38</v>
      </c>
      <c r="K614" s="10" t="s">
        <v>62</v>
      </c>
      <c r="L614" s="12">
        <v>40800</v>
      </c>
      <c r="M614" s="10">
        <v>6</v>
      </c>
      <c r="N614" s="13">
        <v>0.2</v>
      </c>
      <c r="O614" s="14">
        <v>4390.76</v>
      </c>
      <c r="P614" s="10" t="s">
        <v>48</v>
      </c>
    </row>
    <row r="615" spans="1:16">
      <c r="A615" s="10" t="s">
        <v>1157</v>
      </c>
      <c r="B615" s="11">
        <v>45684</v>
      </c>
      <c r="C615" s="11">
        <v>45687</v>
      </c>
      <c r="D615" s="10" t="s">
        <v>213</v>
      </c>
      <c r="E615" s="10" t="s">
        <v>144</v>
      </c>
      <c r="F615" s="10" t="s">
        <v>19</v>
      </c>
      <c r="G615" s="10" t="s">
        <v>73</v>
      </c>
      <c r="H615" s="10" t="s">
        <v>74</v>
      </c>
      <c r="I615" s="10" t="s">
        <v>75</v>
      </c>
      <c r="J615" s="10" t="s">
        <v>38</v>
      </c>
      <c r="K615" s="10" t="s">
        <v>169</v>
      </c>
      <c r="L615" s="12">
        <v>8700</v>
      </c>
      <c r="M615" s="10">
        <v>6</v>
      </c>
      <c r="N615" s="13">
        <v>0</v>
      </c>
      <c r="O615" s="14">
        <v>1839.83</v>
      </c>
      <c r="P615" s="10" t="s">
        <v>56</v>
      </c>
    </row>
    <row r="616" spans="1:16">
      <c r="A616" s="10" t="s">
        <v>1158</v>
      </c>
      <c r="B616" s="11">
        <v>45433</v>
      </c>
      <c r="C616" s="11">
        <v>45436</v>
      </c>
      <c r="D616" s="10" t="s">
        <v>289</v>
      </c>
      <c r="E616" s="10" t="s">
        <v>96</v>
      </c>
      <c r="F616" s="10" t="s">
        <v>43</v>
      </c>
      <c r="G616" s="10" t="s">
        <v>111</v>
      </c>
      <c r="H616" s="10" t="s">
        <v>21</v>
      </c>
      <c r="I616" s="10" t="s">
        <v>22</v>
      </c>
      <c r="J616" s="10" t="s">
        <v>38</v>
      </c>
      <c r="K616" s="10" t="s">
        <v>55</v>
      </c>
      <c r="L616" s="12">
        <v>1760</v>
      </c>
      <c r="M616" s="10">
        <v>4</v>
      </c>
      <c r="N616" s="13">
        <v>0.2</v>
      </c>
      <c r="O616" s="14">
        <v>267.82</v>
      </c>
      <c r="P616" s="10" t="s">
        <v>63</v>
      </c>
    </row>
    <row r="617" spans="1:16">
      <c r="A617" s="10" t="s">
        <v>1159</v>
      </c>
      <c r="B617" s="11">
        <v>45988</v>
      </c>
      <c r="C617" s="11">
        <v>45992</v>
      </c>
      <c r="D617" s="10" t="s">
        <v>417</v>
      </c>
      <c r="E617" s="10" t="s">
        <v>1160</v>
      </c>
      <c r="F617" s="10" t="s">
        <v>29</v>
      </c>
      <c r="G617" s="10" t="s">
        <v>179</v>
      </c>
      <c r="H617" s="10" t="s">
        <v>21</v>
      </c>
      <c r="I617" s="10" t="s">
        <v>22</v>
      </c>
      <c r="J617" s="10" t="s">
        <v>38</v>
      </c>
      <c r="K617" s="10" t="s">
        <v>104</v>
      </c>
      <c r="L617" s="12">
        <v>3705</v>
      </c>
      <c r="M617" s="10">
        <v>6</v>
      </c>
      <c r="N617" s="13">
        <v>0.05</v>
      </c>
      <c r="O617" s="14">
        <v>944.31</v>
      </c>
      <c r="P617" s="10" t="s">
        <v>25</v>
      </c>
    </row>
    <row r="618" spans="1:16">
      <c r="A618" s="10" t="s">
        <v>1161</v>
      </c>
      <c r="B618" s="11">
        <v>46018</v>
      </c>
      <c r="C618" s="11">
        <v>46023</v>
      </c>
      <c r="D618" s="10" t="s">
        <v>171</v>
      </c>
      <c r="E618" s="10" t="s">
        <v>1162</v>
      </c>
      <c r="F618" s="10" t="s">
        <v>43</v>
      </c>
      <c r="G618" s="10" t="s">
        <v>167</v>
      </c>
      <c r="H618" s="10" t="s">
        <v>168</v>
      </c>
      <c r="I618" s="10" t="s">
        <v>37</v>
      </c>
      <c r="J618" s="10" t="s">
        <v>23</v>
      </c>
      <c r="K618" s="10" t="s">
        <v>293</v>
      </c>
      <c r="L618" s="12">
        <v>3600</v>
      </c>
      <c r="M618" s="10">
        <v>6</v>
      </c>
      <c r="N618" s="13">
        <v>0.2</v>
      </c>
      <c r="O618" s="14">
        <v>375.14</v>
      </c>
      <c r="P618" s="10" t="s">
        <v>48</v>
      </c>
    </row>
    <row r="619" spans="1:16">
      <c r="A619" s="10" t="s">
        <v>1163</v>
      </c>
      <c r="B619" s="11">
        <v>45374</v>
      </c>
      <c r="C619" s="11">
        <v>45378</v>
      </c>
      <c r="D619" s="10" t="s">
        <v>555</v>
      </c>
      <c r="E619" s="10" t="s">
        <v>301</v>
      </c>
      <c r="F619" s="10" t="s">
        <v>29</v>
      </c>
      <c r="G619" s="10" t="s">
        <v>101</v>
      </c>
      <c r="H619" s="10" t="s">
        <v>102</v>
      </c>
      <c r="I619" s="10" t="s">
        <v>103</v>
      </c>
      <c r="J619" s="10" t="s">
        <v>30</v>
      </c>
      <c r="K619" s="10" t="s">
        <v>173</v>
      </c>
      <c r="L619" s="12">
        <v>640</v>
      </c>
      <c r="M619" s="10">
        <v>2</v>
      </c>
      <c r="N619" s="13">
        <v>0</v>
      </c>
      <c r="O619" s="14">
        <v>215.78</v>
      </c>
      <c r="P619" s="10" t="s">
        <v>56</v>
      </c>
    </row>
    <row r="620" spans="1:16">
      <c r="A620" s="10" t="s">
        <v>1164</v>
      </c>
      <c r="B620" s="11">
        <v>45825</v>
      </c>
      <c r="C620" s="11">
        <v>45831</v>
      </c>
      <c r="D620" s="10" t="s">
        <v>625</v>
      </c>
      <c r="E620" s="10" t="s">
        <v>561</v>
      </c>
      <c r="F620" s="10" t="s">
        <v>29</v>
      </c>
      <c r="G620" s="10" t="s">
        <v>135</v>
      </c>
      <c r="H620" s="10" t="s">
        <v>21</v>
      </c>
      <c r="I620" s="10" t="s">
        <v>22</v>
      </c>
      <c r="J620" s="10" t="s">
        <v>23</v>
      </c>
      <c r="K620" s="10" t="s">
        <v>293</v>
      </c>
      <c r="L620" s="12">
        <v>2025</v>
      </c>
      <c r="M620" s="10">
        <v>3</v>
      </c>
      <c r="N620" s="13">
        <v>0.1</v>
      </c>
      <c r="O620" s="14">
        <v>556.59</v>
      </c>
      <c r="P620" s="10" t="s">
        <v>48</v>
      </c>
    </row>
    <row r="621" spans="1:16">
      <c r="A621" s="10" t="s">
        <v>1165</v>
      </c>
      <c r="B621" s="11">
        <v>45314</v>
      </c>
      <c r="C621" s="11">
        <v>45321</v>
      </c>
      <c r="D621" s="10" t="s">
        <v>201</v>
      </c>
      <c r="E621" s="10" t="s">
        <v>633</v>
      </c>
      <c r="F621" s="10" t="s">
        <v>19</v>
      </c>
      <c r="G621" s="10" t="s">
        <v>35</v>
      </c>
      <c r="H621" s="10" t="s">
        <v>36</v>
      </c>
      <c r="I621" s="10" t="s">
        <v>37</v>
      </c>
      <c r="J621" s="10" t="s">
        <v>30</v>
      </c>
      <c r="K621" s="10" t="s">
        <v>93</v>
      </c>
      <c r="L621" s="12">
        <v>486</v>
      </c>
      <c r="M621" s="10">
        <v>6</v>
      </c>
      <c r="N621" s="13">
        <v>0.1</v>
      </c>
      <c r="O621" s="14">
        <v>104.26</v>
      </c>
      <c r="P621" s="10" t="s">
        <v>63</v>
      </c>
    </row>
    <row r="622" spans="1:16">
      <c r="A622" s="10" t="s">
        <v>1166</v>
      </c>
      <c r="B622" s="11">
        <v>46154</v>
      </c>
      <c r="C622" s="11">
        <v>46159</v>
      </c>
      <c r="D622" s="10" t="s">
        <v>955</v>
      </c>
      <c r="E622" s="10" t="s">
        <v>199</v>
      </c>
      <c r="F622" s="10" t="s">
        <v>43</v>
      </c>
      <c r="G622" s="10" t="s">
        <v>73</v>
      </c>
      <c r="H622" s="10" t="s">
        <v>74</v>
      </c>
      <c r="I622" s="10" t="s">
        <v>75</v>
      </c>
      <c r="J622" s="10" t="s">
        <v>76</v>
      </c>
      <c r="K622" s="10" t="s">
        <v>229</v>
      </c>
      <c r="L622" s="12">
        <v>5415</v>
      </c>
      <c r="M622" s="10">
        <v>3</v>
      </c>
      <c r="N622" s="13">
        <v>0.05</v>
      </c>
      <c r="O622" s="14">
        <v>1775.3</v>
      </c>
      <c r="P622" s="10" t="s">
        <v>69</v>
      </c>
    </row>
    <row r="623" spans="1:16">
      <c r="A623" s="10" t="s">
        <v>1167</v>
      </c>
      <c r="B623" s="11">
        <v>46080</v>
      </c>
      <c r="C623" s="11">
        <v>46087</v>
      </c>
      <c r="D623" s="10" t="s">
        <v>667</v>
      </c>
      <c r="E623" s="10" t="s">
        <v>756</v>
      </c>
      <c r="F623" s="10" t="s">
        <v>19</v>
      </c>
      <c r="G623" s="10" t="s">
        <v>135</v>
      </c>
      <c r="H623" s="10" t="s">
        <v>21</v>
      </c>
      <c r="I623" s="10" t="s">
        <v>22</v>
      </c>
      <c r="J623" s="10" t="s">
        <v>30</v>
      </c>
      <c r="K623" s="10" t="s">
        <v>173</v>
      </c>
      <c r="L623" s="12">
        <v>1440</v>
      </c>
      <c r="M623" s="10">
        <v>5</v>
      </c>
      <c r="N623" s="13">
        <v>0.1</v>
      </c>
      <c r="O623" s="14">
        <v>167.59</v>
      </c>
      <c r="P623" s="10" t="s">
        <v>69</v>
      </c>
    </row>
    <row r="624" spans="1:16">
      <c r="A624" s="10" t="s">
        <v>1168</v>
      </c>
      <c r="B624" s="11">
        <v>45478</v>
      </c>
      <c r="C624" s="11">
        <v>45480</v>
      </c>
      <c r="D624" s="10" t="s">
        <v>505</v>
      </c>
      <c r="E624" s="10" t="s">
        <v>887</v>
      </c>
      <c r="F624" s="10" t="s">
        <v>43</v>
      </c>
      <c r="G624" s="10" t="s">
        <v>44</v>
      </c>
      <c r="H624" s="10" t="s">
        <v>45</v>
      </c>
      <c r="I624" s="10" t="s">
        <v>46</v>
      </c>
      <c r="J624" s="10" t="s">
        <v>30</v>
      </c>
      <c r="K624" s="10" t="s">
        <v>31</v>
      </c>
      <c r="L624" s="12">
        <v>480</v>
      </c>
      <c r="M624" s="10">
        <v>4</v>
      </c>
      <c r="N624" s="13">
        <v>0</v>
      </c>
      <c r="O624" s="14">
        <v>177.26</v>
      </c>
      <c r="P624" s="10" t="s">
        <v>69</v>
      </c>
    </row>
    <row r="625" spans="1:16">
      <c r="A625" s="10" t="s">
        <v>1169</v>
      </c>
      <c r="B625" s="11">
        <v>45670</v>
      </c>
      <c r="C625" s="11">
        <v>45672</v>
      </c>
      <c r="D625" s="10" t="s">
        <v>122</v>
      </c>
      <c r="E625" s="10" t="s">
        <v>909</v>
      </c>
      <c r="F625" s="10" t="s">
        <v>43</v>
      </c>
      <c r="G625" s="10" t="s">
        <v>111</v>
      </c>
      <c r="H625" s="10" t="s">
        <v>21</v>
      </c>
      <c r="I625" s="10" t="s">
        <v>22</v>
      </c>
      <c r="J625" s="10" t="s">
        <v>38</v>
      </c>
      <c r="K625" s="10" t="s">
        <v>169</v>
      </c>
      <c r="L625" s="12">
        <v>8700</v>
      </c>
      <c r="M625" s="10">
        <v>6</v>
      </c>
      <c r="N625" s="13">
        <v>0</v>
      </c>
      <c r="O625" s="14">
        <v>2462.4699999999998</v>
      </c>
      <c r="P625" s="10" t="s">
        <v>48</v>
      </c>
    </row>
    <row r="626" spans="1:16">
      <c r="A626" s="10" t="s">
        <v>1170</v>
      </c>
      <c r="B626" s="11">
        <v>46234</v>
      </c>
      <c r="C626" s="11">
        <v>46235</v>
      </c>
      <c r="D626" s="10" t="s">
        <v>316</v>
      </c>
      <c r="E626" s="10" t="s">
        <v>72</v>
      </c>
      <c r="F626" s="10" t="s">
        <v>43</v>
      </c>
      <c r="G626" s="10" t="s">
        <v>81</v>
      </c>
      <c r="H626" s="10" t="s">
        <v>68</v>
      </c>
      <c r="I626" s="10" t="s">
        <v>22</v>
      </c>
      <c r="J626" s="10" t="s">
        <v>76</v>
      </c>
      <c r="K626" s="10" t="s">
        <v>131</v>
      </c>
      <c r="L626" s="12">
        <v>2660</v>
      </c>
      <c r="M626" s="10">
        <v>8</v>
      </c>
      <c r="N626" s="13">
        <v>0.05</v>
      </c>
      <c r="O626" s="14">
        <v>882.92</v>
      </c>
      <c r="P626" s="10" t="s">
        <v>69</v>
      </c>
    </row>
    <row r="627" spans="1:16">
      <c r="A627" s="10" t="s">
        <v>1171</v>
      </c>
      <c r="B627" s="11">
        <v>45777</v>
      </c>
      <c r="C627" s="11">
        <v>45780</v>
      </c>
      <c r="D627" s="10" t="s">
        <v>1095</v>
      </c>
      <c r="E627" s="10" t="s">
        <v>509</v>
      </c>
      <c r="F627" s="10" t="s">
        <v>29</v>
      </c>
      <c r="G627" s="10" t="s">
        <v>35</v>
      </c>
      <c r="H627" s="10" t="s">
        <v>36</v>
      </c>
      <c r="I627" s="10" t="s">
        <v>37</v>
      </c>
      <c r="J627" s="10" t="s">
        <v>30</v>
      </c>
      <c r="K627" s="10" t="s">
        <v>93</v>
      </c>
      <c r="L627" s="12">
        <v>684</v>
      </c>
      <c r="M627" s="10">
        <v>8</v>
      </c>
      <c r="N627" s="13">
        <v>0.05</v>
      </c>
      <c r="O627" s="14">
        <v>132.22999999999999</v>
      </c>
      <c r="P627" s="10" t="s">
        <v>56</v>
      </c>
    </row>
    <row r="628" spans="1:16">
      <c r="A628" s="10" t="s">
        <v>1172</v>
      </c>
      <c r="B628" s="11">
        <v>45986</v>
      </c>
      <c r="C628" s="11">
        <v>45991</v>
      </c>
      <c r="D628" s="10" t="s">
        <v>118</v>
      </c>
      <c r="E628" s="10" t="s">
        <v>565</v>
      </c>
      <c r="F628" s="10" t="s">
        <v>43</v>
      </c>
      <c r="G628" s="10" t="s">
        <v>20</v>
      </c>
      <c r="H628" s="10" t="s">
        <v>21</v>
      </c>
      <c r="I628" s="10" t="s">
        <v>22</v>
      </c>
      <c r="J628" s="10" t="s">
        <v>23</v>
      </c>
      <c r="K628" s="10" t="s">
        <v>120</v>
      </c>
      <c r="L628" s="12">
        <v>24990</v>
      </c>
      <c r="M628" s="10">
        <v>7</v>
      </c>
      <c r="N628" s="13">
        <v>0.15</v>
      </c>
      <c r="O628" s="14">
        <v>3470.41</v>
      </c>
      <c r="P628" s="10" t="s">
        <v>48</v>
      </c>
    </row>
    <row r="629" spans="1:16">
      <c r="A629" s="10" t="s">
        <v>1173</v>
      </c>
      <c r="B629" s="11">
        <v>45914</v>
      </c>
      <c r="C629" s="11">
        <v>45920</v>
      </c>
      <c r="D629" s="10" t="s">
        <v>1174</v>
      </c>
      <c r="E629" s="10" t="s">
        <v>205</v>
      </c>
      <c r="F629" s="10" t="s">
        <v>19</v>
      </c>
      <c r="G629" s="10" t="s">
        <v>111</v>
      </c>
      <c r="H629" s="10" t="s">
        <v>21</v>
      </c>
      <c r="I629" s="10" t="s">
        <v>22</v>
      </c>
      <c r="J629" s="10" t="s">
        <v>30</v>
      </c>
      <c r="K629" s="10" t="s">
        <v>173</v>
      </c>
      <c r="L629" s="12">
        <v>1280</v>
      </c>
      <c r="M629" s="10">
        <v>4</v>
      </c>
      <c r="N629" s="13">
        <v>0</v>
      </c>
      <c r="O629" s="14">
        <v>458.58</v>
      </c>
      <c r="P629" s="10" t="s">
        <v>48</v>
      </c>
    </row>
    <row r="630" spans="1:16">
      <c r="A630" s="10" t="s">
        <v>1175</v>
      </c>
      <c r="B630" s="11">
        <v>46291</v>
      </c>
      <c r="C630" s="11">
        <v>46296</v>
      </c>
      <c r="D630" s="10" t="s">
        <v>591</v>
      </c>
      <c r="E630" s="10" t="s">
        <v>163</v>
      </c>
      <c r="F630" s="10" t="s">
        <v>19</v>
      </c>
      <c r="G630" s="10" t="s">
        <v>81</v>
      </c>
      <c r="H630" s="10" t="s">
        <v>68</v>
      </c>
      <c r="I630" s="10" t="s">
        <v>22</v>
      </c>
      <c r="J630" s="10" t="s">
        <v>30</v>
      </c>
      <c r="K630" s="10" t="s">
        <v>127</v>
      </c>
      <c r="L630" s="12">
        <v>765</v>
      </c>
      <c r="M630" s="10">
        <v>6</v>
      </c>
      <c r="N630" s="13">
        <v>0.15</v>
      </c>
      <c r="O630" s="14">
        <v>153.13999999999999</v>
      </c>
      <c r="P630" s="10" t="s">
        <v>69</v>
      </c>
    </row>
    <row r="631" spans="1:16">
      <c r="A631" s="10" t="s">
        <v>1176</v>
      </c>
      <c r="B631" s="11">
        <v>45699</v>
      </c>
      <c r="C631" s="11">
        <v>45701</v>
      </c>
      <c r="D631" s="10" t="s">
        <v>582</v>
      </c>
      <c r="E631" s="10" t="s">
        <v>1177</v>
      </c>
      <c r="F631" s="10" t="s">
        <v>43</v>
      </c>
      <c r="G631" s="10" t="s">
        <v>60</v>
      </c>
      <c r="H631" s="10" t="s">
        <v>61</v>
      </c>
      <c r="I631" s="10" t="s">
        <v>37</v>
      </c>
      <c r="J631" s="10" t="s">
        <v>76</v>
      </c>
      <c r="K631" s="10" t="s">
        <v>229</v>
      </c>
      <c r="L631" s="12">
        <v>12635</v>
      </c>
      <c r="M631" s="10">
        <v>7</v>
      </c>
      <c r="N631" s="13">
        <v>0.05</v>
      </c>
      <c r="O631" s="14">
        <v>4666.49</v>
      </c>
      <c r="P631" s="10" t="s">
        <v>63</v>
      </c>
    </row>
    <row r="632" spans="1:16">
      <c r="A632" s="10" t="s">
        <v>1178</v>
      </c>
      <c r="B632" s="11">
        <v>45381</v>
      </c>
      <c r="C632" s="11">
        <v>45383</v>
      </c>
      <c r="D632" s="10" t="s">
        <v>181</v>
      </c>
      <c r="E632" s="10" t="s">
        <v>1179</v>
      </c>
      <c r="F632" s="10" t="s">
        <v>43</v>
      </c>
      <c r="G632" s="10" t="s">
        <v>60</v>
      </c>
      <c r="H632" s="10" t="s">
        <v>61</v>
      </c>
      <c r="I632" s="10" t="s">
        <v>37</v>
      </c>
      <c r="J632" s="10" t="s">
        <v>76</v>
      </c>
      <c r="K632" s="10" t="s">
        <v>77</v>
      </c>
      <c r="L632" s="12">
        <v>12160</v>
      </c>
      <c r="M632" s="10">
        <v>8</v>
      </c>
      <c r="N632" s="13">
        <v>0.05</v>
      </c>
      <c r="O632" s="14">
        <v>4011.76</v>
      </c>
      <c r="P632" s="10" t="s">
        <v>56</v>
      </c>
    </row>
    <row r="633" spans="1:16">
      <c r="A633" s="10" t="s">
        <v>1180</v>
      </c>
      <c r="B633" s="11">
        <v>46147</v>
      </c>
      <c r="C633" s="11">
        <v>46152</v>
      </c>
      <c r="D633" s="10" t="s">
        <v>1022</v>
      </c>
      <c r="E633" s="10" t="s">
        <v>1181</v>
      </c>
      <c r="F633" s="10" t="s">
        <v>29</v>
      </c>
      <c r="G633" s="10" t="s">
        <v>224</v>
      </c>
      <c r="H633" s="10" t="s">
        <v>225</v>
      </c>
      <c r="I633" s="10" t="s">
        <v>75</v>
      </c>
      <c r="J633" s="10" t="s">
        <v>38</v>
      </c>
      <c r="K633" s="10" t="s">
        <v>39</v>
      </c>
      <c r="L633" s="12">
        <v>3610</v>
      </c>
      <c r="M633" s="10">
        <v>4</v>
      </c>
      <c r="N633" s="13">
        <v>0.05</v>
      </c>
      <c r="O633" s="14">
        <v>899.25</v>
      </c>
      <c r="P633" s="10" t="s">
        <v>63</v>
      </c>
    </row>
    <row r="634" spans="1:16">
      <c r="A634" s="10" t="s">
        <v>1182</v>
      </c>
      <c r="B634" s="11">
        <v>46066</v>
      </c>
      <c r="C634" s="11">
        <v>46070</v>
      </c>
      <c r="D634" s="10" t="s">
        <v>1183</v>
      </c>
      <c r="E634" s="10" t="s">
        <v>722</v>
      </c>
      <c r="F634" s="10" t="s">
        <v>29</v>
      </c>
      <c r="G634" s="10" t="s">
        <v>20</v>
      </c>
      <c r="H634" s="10" t="s">
        <v>21</v>
      </c>
      <c r="I634" s="10" t="s">
        <v>22</v>
      </c>
      <c r="J634" s="10" t="s">
        <v>38</v>
      </c>
      <c r="K634" s="10" t="s">
        <v>55</v>
      </c>
      <c r="L634" s="12">
        <v>2475</v>
      </c>
      <c r="M634" s="10">
        <v>5</v>
      </c>
      <c r="N634" s="13">
        <v>0.1</v>
      </c>
      <c r="O634" s="14">
        <v>790.83</v>
      </c>
      <c r="P634" s="10" t="s">
        <v>56</v>
      </c>
    </row>
    <row r="635" spans="1:16">
      <c r="A635" s="10" t="s">
        <v>1184</v>
      </c>
      <c r="B635" s="11">
        <v>45482</v>
      </c>
      <c r="C635" s="11">
        <v>45489</v>
      </c>
      <c r="D635" s="10" t="s">
        <v>239</v>
      </c>
      <c r="E635" s="10" t="s">
        <v>923</v>
      </c>
      <c r="F635" s="10" t="s">
        <v>43</v>
      </c>
      <c r="G635" s="10" t="s">
        <v>81</v>
      </c>
      <c r="H635" s="10" t="s">
        <v>68</v>
      </c>
      <c r="I635" s="10" t="s">
        <v>22</v>
      </c>
      <c r="J635" s="10" t="s">
        <v>23</v>
      </c>
      <c r="K635" s="10" t="s">
        <v>47</v>
      </c>
      <c r="L635" s="12">
        <v>24800</v>
      </c>
      <c r="M635" s="10">
        <v>8</v>
      </c>
      <c r="N635" s="13">
        <v>0</v>
      </c>
      <c r="O635" s="14">
        <v>4118.59</v>
      </c>
      <c r="P635" s="10" t="s">
        <v>63</v>
      </c>
    </row>
    <row r="636" spans="1:16">
      <c r="A636" s="10" t="s">
        <v>1185</v>
      </c>
      <c r="B636" s="11">
        <v>46049</v>
      </c>
      <c r="C636" s="11">
        <v>46053</v>
      </c>
      <c r="D636" s="10" t="s">
        <v>91</v>
      </c>
      <c r="E636" s="10" t="s">
        <v>266</v>
      </c>
      <c r="F636" s="10" t="s">
        <v>19</v>
      </c>
      <c r="G636" s="10" t="s">
        <v>111</v>
      </c>
      <c r="H636" s="10" t="s">
        <v>21</v>
      </c>
      <c r="I636" s="10" t="s">
        <v>22</v>
      </c>
      <c r="J636" s="10" t="s">
        <v>38</v>
      </c>
      <c r="K636" s="10" t="s">
        <v>104</v>
      </c>
      <c r="L636" s="12">
        <v>1852.5</v>
      </c>
      <c r="M636" s="10">
        <v>3</v>
      </c>
      <c r="N636" s="13">
        <v>0.05</v>
      </c>
      <c r="O636" s="14">
        <v>545.48</v>
      </c>
      <c r="P636" s="10" t="s">
        <v>69</v>
      </c>
    </row>
    <row r="637" spans="1:16">
      <c r="A637" s="10" t="s">
        <v>1186</v>
      </c>
      <c r="B637" s="11">
        <v>45719</v>
      </c>
      <c r="C637" s="11">
        <v>45721</v>
      </c>
      <c r="D637" s="10" t="s">
        <v>316</v>
      </c>
      <c r="E637" s="10" t="s">
        <v>415</v>
      </c>
      <c r="F637" s="10" t="s">
        <v>19</v>
      </c>
      <c r="G637" s="10" t="s">
        <v>73</v>
      </c>
      <c r="H637" s="10" t="s">
        <v>74</v>
      </c>
      <c r="I637" s="10" t="s">
        <v>75</v>
      </c>
      <c r="J637" s="10" t="s">
        <v>30</v>
      </c>
      <c r="K637" s="10" t="s">
        <v>261</v>
      </c>
      <c r="L637" s="12">
        <v>342</v>
      </c>
      <c r="M637" s="10">
        <v>2</v>
      </c>
      <c r="N637" s="13">
        <v>0.05</v>
      </c>
      <c r="O637" s="14">
        <v>83.55</v>
      </c>
      <c r="P637" s="10" t="s">
        <v>69</v>
      </c>
    </row>
    <row r="638" spans="1:16">
      <c r="A638" s="10" t="s">
        <v>1187</v>
      </c>
      <c r="B638" s="11">
        <v>45887</v>
      </c>
      <c r="C638" s="11">
        <v>45891</v>
      </c>
      <c r="D638" s="10" t="s">
        <v>1188</v>
      </c>
      <c r="E638" s="10" t="s">
        <v>1189</v>
      </c>
      <c r="F638" s="10" t="s">
        <v>19</v>
      </c>
      <c r="G638" s="10" t="s">
        <v>224</v>
      </c>
      <c r="H638" s="10" t="s">
        <v>225</v>
      </c>
      <c r="I638" s="10" t="s">
        <v>75</v>
      </c>
      <c r="J638" s="10" t="s">
        <v>76</v>
      </c>
      <c r="K638" s="10" t="s">
        <v>229</v>
      </c>
      <c r="L638" s="12">
        <v>12160</v>
      </c>
      <c r="M638" s="10">
        <v>8</v>
      </c>
      <c r="N638" s="13">
        <v>0.2</v>
      </c>
      <c r="O638" s="14">
        <v>1668.92</v>
      </c>
      <c r="P638" s="10" t="s">
        <v>48</v>
      </c>
    </row>
    <row r="639" spans="1:16">
      <c r="A639" s="10" t="s">
        <v>1190</v>
      </c>
      <c r="B639" s="11">
        <v>46157</v>
      </c>
      <c r="C639" s="11">
        <v>46160</v>
      </c>
      <c r="D639" s="10" t="s">
        <v>222</v>
      </c>
      <c r="E639" s="10" t="s">
        <v>1191</v>
      </c>
      <c r="F639" s="10" t="s">
        <v>29</v>
      </c>
      <c r="G639" s="10" t="s">
        <v>97</v>
      </c>
      <c r="H639" s="10" t="s">
        <v>21</v>
      </c>
      <c r="I639" s="10" t="s">
        <v>22</v>
      </c>
      <c r="J639" s="10" t="s">
        <v>38</v>
      </c>
      <c r="K639" s="10" t="s">
        <v>39</v>
      </c>
      <c r="L639" s="12">
        <v>5130</v>
      </c>
      <c r="M639" s="10">
        <v>6</v>
      </c>
      <c r="N639" s="13">
        <v>0.1</v>
      </c>
      <c r="O639" s="14">
        <v>700.95</v>
      </c>
      <c r="P639" s="10" t="s">
        <v>69</v>
      </c>
    </row>
    <row r="640" spans="1:16">
      <c r="A640" s="10" t="s">
        <v>1192</v>
      </c>
      <c r="B640" s="11">
        <v>45661</v>
      </c>
      <c r="C640" s="11">
        <v>45665</v>
      </c>
      <c r="D640" s="10" t="s">
        <v>537</v>
      </c>
      <c r="E640" s="10" t="s">
        <v>144</v>
      </c>
      <c r="F640" s="10" t="s">
        <v>29</v>
      </c>
      <c r="G640" s="10" t="s">
        <v>167</v>
      </c>
      <c r="H640" s="10" t="s">
        <v>168</v>
      </c>
      <c r="I640" s="10" t="s">
        <v>37</v>
      </c>
      <c r="J640" s="10" t="s">
        <v>23</v>
      </c>
      <c r="K640" s="10" t="s">
        <v>120</v>
      </c>
      <c r="L640" s="12">
        <v>19950</v>
      </c>
      <c r="M640" s="10">
        <v>5</v>
      </c>
      <c r="N640" s="13">
        <v>0.05</v>
      </c>
      <c r="O640" s="14">
        <v>4684.28</v>
      </c>
      <c r="P640" s="10" t="s">
        <v>56</v>
      </c>
    </row>
    <row r="641" spans="1:16">
      <c r="A641" s="10" t="s">
        <v>1193</v>
      </c>
      <c r="B641" s="11">
        <v>46075</v>
      </c>
      <c r="C641" s="11">
        <v>46076</v>
      </c>
      <c r="D641" s="10" t="s">
        <v>153</v>
      </c>
      <c r="E641" s="10" t="s">
        <v>474</v>
      </c>
      <c r="F641" s="10" t="s">
        <v>19</v>
      </c>
      <c r="G641" s="10" t="s">
        <v>224</v>
      </c>
      <c r="H641" s="10" t="s">
        <v>225</v>
      </c>
      <c r="I641" s="10" t="s">
        <v>75</v>
      </c>
      <c r="J641" s="10" t="s">
        <v>30</v>
      </c>
      <c r="K641" s="10" t="s">
        <v>93</v>
      </c>
      <c r="L641" s="12">
        <v>513</v>
      </c>
      <c r="M641" s="10">
        <v>6</v>
      </c>
      <c r="N641" s="13">
        <v>0.05</v>
      </c>
      <c r="O641" s="14">
        <v>80.81</v>
      </c>
      <c r="P641" s="10" t="s">
        <v>69</v>
      </c>
    </row>
    <row r="642" spans="1:16">
      <c r="A642" s="10" t="s">
        <v>1194</v>
      </c>
      <c r="B642" s="11">
        <v>45390</v>
      </c>
      <c r="C642" s="11">
        <v>45395</v>
      </c>
      <c r="D642" s="10" t="s">
        <v>1188</v>
      </c>
      <c r="E642" s="10" t="s">
        <v>813</v>
      </c>
      <c r="F642" s="10" t="s">
        <v>43</v>
      </c>
      <c r="G642" s="10" t="s">
        <v>224</v>
      </c>
      <c r="H642" s="10" t="s">
        <v>225</v>
      </c>
      <c r="I642" s="10" t="s">
        <v>75</v>
      </c>
      <c r="J642" s="10" t="s">
        <v>23</v>
      </c>
      <c r="K642" s="10" t="s">
        <v>24</v>
      </c>
      <c r="L642" s="12">
        <v>6500</v>
      </c>
      <c r="M642" s="10">
        <v>1</v>
      </c>
      <c r="N642" s="13">
        <v>0</v>
      </c>
      <c r="O642" s="14">
        <v>1594.29</v>
      </c>
      <c r="P642" s="10" t="s">
        <v>56</v>
      </c>
    </row>
    <row r="643" spans="1:16">
      <c r="A643" s="10" t="s">
        <v>1195</v>
      </c>
      <c r="B643" s="11">
        <v>45396</v>
      </c>
      <c r="C643" s="11">
        <v>45398</v>
      </c>
      <c r="D643" s="10" t="s">
        <v>729</v>
      </c>
      <c r="E643" s="10" t="s">
        <v>290</v>
      </c>
      <c r="F643" s="10" t="s">
        <v>29</v>
      </c>
      <c r="G643" s="10" t="s">
        <v>97</v>
      </c>
      <c r="H643" s="10" t="s">
        <v>21</v>
      </c>
      <c r="I643" s="10" t="s">
        <v>22</v>
      </c>
      <c r="J643" s="10" t="s">
        <v>30</v>
      </c>
      <c r="K643" s="10" t="s">
        <v>31</v>
      </c>
      <c r="L643" s="12">
        <v>216</v>
      </c>
      <c r="M643" s="10">
        <v>2</v>
      </c>
      <c r="N643" s="13">
        <v>0.1</v>
      </c>
      <c r="O643" s="14">
        <v>52.98</v>
      </c>
      <c r="P643" s="10" t="s">
        <v>48</v>
      </c>
    </row>
    <row r="644" spans="1:16">
      <c r="A644" s="10" t="s">
        <v>1196</v>
      </c>
      <c r="B644" s="11">
        <v>45783</v>
      </c>
      <c r="C644" s="11">
        <v>45786</v>
      </c>
      <c r="D644" s="10" t="s">
        <v>316</v>
      </c>
      <c r="E644" s="10" t="s">
        <v>533</v>
      </c>
      <c r="F644" s="10" t="s">
        <v>19</v>
      </c>
      <c r="G644" s="10" t="s">
        <v>179</v>
      </c>
      <c r="H644" s="10" t="s">
        <v>21</v>
      </c>
      <c r="I644" s="10" t="s">
        <v>22</v>
      </c>
      <c r="J644" s="10" t="s">
        <v>23</v>
      </c>
      <c r="K644" s="10" t="s">
        <v>24</v>
      </c>
      <c r="L644" s="12">
        <v>44200</v>
      </c>
      <c r="M644" s="10">
        <v>8</v>
      </c>
      <c r="N644" s="13">
        <v>0.15</v>
      </c>
      <c r="O644" s="14">
        <v>9789.7900000000009</v>
      </c>
      <c r="P644" s="10" t="s">
        <v>69</v>
      </c>
    </row>
    <row r="645" spans="1:16">
      <c r="A645" s="10" t="s">
        <v>1197</v>
      </c>
      <c r="B645" s="11">
        <v>45321</v>
      </c>
      <c r="C645" s="11">
        <v>45327</v>
      </c>
      <c r="D645" s="10" t="s">
        <v>335</v>
      </c>
      <c r="E645" s="10" t="s">
        <v>758</v>
      </c>
      <c r="F645" s="10" t="s">
        <v>29</v>
      </c>
      <c r="G645" s="10" t="s">
        <v>44</v>
      </c>
      <c r="H645" s="10" t="s">
        <v>45</v>
      </c>
      <c r="I645" s="10" t="s">
        <v>46</v>
      </c>
      <c r="J645" s="10" t="s">
        <v>38</v>
      </c>
      <c r="K645" s="10" t="s">
        <v>39</v>
      </c>
      <c r="L645" s="12">
        <v>2280</v>
      </c>
      <c r="M645" s="10">
        <v>3</v>
      </c>
      <c r="N645" s="13">
        <v>0.2</v>
      </c>
      <c r="O645" s="14">
        <v>713.61</v>
      </c>
      <c r="P645" s="10" t="s">
        <v>56</v>
      </c>
    </row>
    <row r="646" spans="1:16">
      <c r="A646" s="10" t="s">
        <v>1198</v>
      </c>
      <c r="B646" s="11">
        <v>45372</v>
      </c>
      <c r="C646" s="11">
        <v>45376</v>
      </c>
      <c r="D646" s="10" t="s">
        <v>1038</v>
      </c>
      <c r="E646" s="10" t="s">
        <v>214</v>
      </c>
      <c r="F646" s="10" t="s">
        <v>29</v>
      </c>
      <c r="G646" s="10" t="s">
        <v>60</v>
      </c>
      <c r="H646" s="10" t="s">
        <v>61</v>
      </c>
      <c r="I646" s="10" t="s">
        <v>37</v>
      </c>
      <c r="J646" s="10" t="s">
        <v>38</v>
      </c>
      <c r="K646" s="10" t="s">
        <v>104</v>
      </c>
      <c r="L646" s="12">
        <v>585</v>
      </c>
      <c r="M646" s="10">
        <v>1</v>
      </c>
      <c r="N646" s="13">
        <v>0.1</v>
      </c>
      <c r="O646" s="14">
        <v>98.33</v>
      </c>
      <c r="P646" s="10" t="s">
        <v>63</v>
      </c>
    </row>
    <row r="647" spans="1:16">
      <c r="A647" s="10" t="s">
        <v>1199</v>
      </c>
      <c r="B647" s="11">
        <v>45899</v>
      </c>
      <c r="C647" s="11">
        <v>45900</v>
      </c>
      <c r="D647" s="10" t="s">
        <v>330</v>
      </c>
      <c r="E647" s="10" t="s">
        <v>323</v>
      </c>
      <c r="F647" s="10" t="s">
        <v>29</v>
      </c>
      <c r="G647" s="10" t="s">
        <v>73</v>
      </c>
      <c r="H647" s="10" t="s">
        <v>74</v>
      </c>
      <c r="I647" s="10" t="s">
        <v>75</v>
      </c>
      <c r="J647" s="10" t="s">
        <v>38</v>
      </c>
      <c r="K647" s="10" t="s">
        <v>169</v>
      </c>
      <c r="L647" s="12">
        <v>1450</v>
      </c>
      <c r="M647" s="10">
        <v>1</v>
      </c>
      <c r="N647" s="13">
        <v>0</v>
      </c>
      <c r="O647" s="14">
        <v>437.28</v>
      </c>
      <c r="P647" s="10" t="s">
        <v>63</v>
      </c>
    </row>
    <row r="648" spans="1:16">
      <c r="A648" s="10" t="s">
        <v>1200</v>
      </c>
      <c r="B648" s="11">
        <v>45502</v>
      </c>
      <c r="C648" s="11">
        <v>45507</v>
      </c>
      <c r="D648" s="10" t="s">
        <v>606</v>
      </c>
      <c r="E648" s="10" t="s">
        <v>246</v>
      </c>
      <c r="F648" s="10" t="s">
        <v>43</v>
      </c>
      <c r="G648" s="10" t="s">
        <v>101</v>
      </c>
      <c r="H648" s="10" t="s">
        <v>102</v>
      </c>
      <c r="I648" s="10" t="s">
        <v>103</v>
      </c>
      <c r="J648" s="10" t="s">
        <v>30</v>
      </c>
      <c r="K648" s="10" t="s">
        <v>31</v>
      </c>
      <c r="L648" s="12">
        <v>720</v>
      </c>
      <c r="M648" s="10">
        <v>6</v>
      </c>
      <c r="N648" s="13">
        <v>0</v>
      </c>
      <c r="O648" s="14">
        <v>256.61</v>
      </c>
      <c r="P648" s="10" t="s">
        <v>69</v>
      </c>
    </row>
    <row r="649" spans="1:16">
      <c r="A649" s="10" t="s">
        <v>1201</v>
      </c>
      <c r="B649" s="11">
        <v>45456</v>
      </c>
      <c r="C649" s="11">
        <v>45463</v>
      </c>
      <c r="D649" s="10" t="s">
        <v>514</v>
      </c>
      <c r="E649" s="10" t="s">
        <v>1027</v>
      </c>
      <c r="F649" s="10" t="s">
        <v>29</v>
      </c>
      <c r="G649" s="10" t="s">
        <v>151</v>
      </c>
      <c r="H649" s="10" t="s">
        <v>151</v>
      </c>
      <c r="I649" s="10" t="s">
        <v>75</v>
      </c>
      <c r="J649" s="10" t="s">
        <v>30</v>
      </c>
      <c r="K649" s="10" t="s">
        <v>93</v>
      </c>
      <c r="L649" s="12">
        <v>180</v>
      </c>
      <c r="M649" s="10">
        <v>2</v>
      </c>
      <c r="N649" s="13">
        <v>0</v>
      </c>
      <c r="O649" s="14">
        <v>30.04</v>
      </c>
      <c r="P649" s="10" t="s">
        <v>56</v>
      </c>
    </row>
    <row r="650" spans="1:16">
      <c r="A650" s="10" t="s">
        <v>1202</v>
      </c>
      <c r="B650" s="11">
        <v>46279</v>
      </c>
      <c r="C650" s="11">
        <v>46282</v>
      </c>
      <c r="D650" s="10" t="s">
        <v>519</v>
      </c>
      <c r="E650" s="10" t="s">
        <v>790</v>
      </c>
      <c r="F650" s="10" t="s">
        <v>19</v>
      </c>
      <c r="G650" s="10" t="s">
        <v>97</v>
      </c>
      <c r="H650" s="10" t="s">
        <v>21</v>
      </c>
      <c r="I650" s="10" t="s">
        <v>22</v>
      </c>
      <c r="J650" s="10" t="s">
        <v>38</v>
      </c>
      <c r="K650" s="10" t="s">
        <v>104</v>
      </c>
      <c r="L650" s="12">
        <v>2210</v>
      </c>
      <c r="M650" s="10">
        <v>4</v>
      </c>
      <c r="N650" s="13">
        <v>0.15</v>
      </c>
      <c r="O650" s="14">
        <v>300.92</v>
      </c>
      <c r="P650" s="10" t="s">
        <v>56</v>
      </c>
    </row>
    <row r="651" spans="1:16">
      <c r="A651" s="10" t="s">
        <v>1203</v>
      </c>
      <c r="B651" s="11">
        <v>45742</v>
      </c>
      <c r="C651" s="11">
        <v>45748</v>
      </c>
      <c r="D651" s="10" t="s">
        <v>335</v>
      </c>
      <c r="E651" s="10" t="s">
        <v>443</v>
      </c>
      <c r="F651" s="10" t="s">
        <v>43</v>
      </c>
      <c r="G651" s="10" t="s">
        <v>20</v>
      </c>
      <c r="H651" s="10" t="s">
        <v>21</v>
      </c>
      <c r="I651" s="10" t="s">
        <v>22</v>
      </c>
      <c r="J651" s="10" t="s">
        <v>30</v>
      </c>
      <c r="K651" s="10" t="s">
        <v>173</v>
      </c>
      <c r="L651" s="12">
        <v>2016</v>
      </c>
      <c r="M651" s="10">
        <v>7</v>
      </c>
      <c r="N651" s="13">
        <v>0.1</v>
      </c>
      <c r="O651" s="14">
        <v>623.53</v>
      </c>
      <c r="P651" s="10" t="s">
        <v>48</v>
      </c>
    </row>
    <row r="652" spans="1:16">
      <c r="A652" s="10" t="s">
        <v>1204</v>
      </c>
      <c r="B652" s="11">
        <v>45769</v>
      </c>
      <c r="C652" s="11">
        <v>45770</v>
      </c>
      <c r="D652" s="10" t="s">
        <v>187</v>
      </c>
      <c r="E652" s="10" t="s">
        <v>835</v>
      </c>
      <c r="F652" s="10" t="s">
        <v>43</v>
      </c>
      <c r="G652" s="10" t="s">
        <v>151</v>
      </c>
      <c r="H652" s="10" t="s">
        <v>151</v>
      </c>
      <c r="I652" s="10" t="s">
        <v>75</v>
      </c>
      <c r="J652" s="10" t="s">
        <v>30</v>
      </c>
      <c r="K652" s="10" t="s">
        <v>127</v>
      </c>
      <c r="L652" s="12">
        <v>720</v>
      </c>
      <c r="M652" s="10">
        <v>6</v>
      </c>
      <c r="N652" s="13">
        <v>0.2</v>
      </c>
      <c r="O652" s="14">
        <v>198.04</v>
      </c>
      <c r="P652" s="10" t="s">
        <v>25</v>
      </c>
    </row>
    <row r="653" spans="1:16">
      <c r="A653" s="10" t="s">
        <v>1205</v>
      </c>
      <c r="B653" s="11">
        <v>45410</v>
      </c>
      <c r="C653" s="11">
        <v>45414</v>
      </c>
      <c r="D653" s="10" t="s">
        <v>625</v>
      </c>
      <c r="E653" s="10" t="s">
        <v>395</v>
      </c>
      <c r="F653" s="10" t="s">
        <v>43</v>
      </c>
      <c r="G653" s="10" t="s">
        <v>179</v>
      </c>
      <c r="H653" s="10" t="s">
        <v>21</v>
      </c>
      <c r="I653" s="10" t="s">
        <v>22</v>
      </c>
      <c r="J653" s="10" t="s">
        <v>76</v>
      </c>
      <c r="K653" s="10" t="s">
        <v>85</v>
      </c>
      <c r="L653" s="12">
        <v>880</v>
      </c>
      <c r="M653" s="10">
        <v>5</v>
      </c>
      <c r="N653" s="13">
        <v>0.2</v>
      </c>
      <c r="O653" s="14">
        <v>84.65</v>
      </c>
      <c r="P653" s="10" t="s">
        <v>69</v>
      </c>
    </row>
    <row r="654" spans="1:16">
      <c r="A654" s="10" t="s">
        <v>1206</v>
      </c>
      <c r="B654" s="11">
        <v>46167</v>
      </c>
      <c r="C654" s="11">
        <v>46171</v>
      </c>
      <c r="D654" s="10" t="s">
        <v>1207</v>
      </c>
      <c r="E654" s="10" t="s">
        <v>296</v>
      </c>
      <c r="F654" s="10" t="s">
        <v>29</v>
      </c>
      <c r="G654" s="10" t="s">
        <v>111</v>
      </c>
      <c r="H654" s="10" t="s">
        <v>21</v>
      </c>
      <c r="I654" s="10" t="s">
        <v>22</v>
      </c>
      <c r="J654" s="10" t="s">
        <v>38</v>
      </c>
      <c r="K654" s="10" t="s">
        <v>55</v>
      </c>
      <c r="L654" s="12">
        <v>3300</v>
      </c>
      <c r="M654" s="10">
        <v>6</v>
      </c>
      <c r="N654" s="13">
        <v>0</v>
      </c>
      <c r="O654" s="14">
        <v>1243.03</v>
      </c>
      <c r="P654" s="10" t="s">
        <v>25</v>
      </c>
    </row>
    <row r="655" spans="1:16">
      <c r="A655" s="10" t="s">
        <v>1208</v>
      </c>
      <c r="B655" s="11">
        <v>45740</v>
      </c>
      <c r="C655" s="11">
        <v>45745</v>
      </c>
      <c r="D655" s="10" t="s">
        <v>1209</v>
      </c>
      <c r="E655" s="10" t="s">
        <v>927</v>
      </c>
      <c r="F655" s="10" t="s">
        <v>29</v>
      </c>
      <c r="G655" s="10" t="s">
        <v>167</v>
      </c>
      <c r="H655" s="10" t="s">
        <v>168</v>
      </c>
      <c r="I655" s="10" t="s">
        <v>37</v>
      </c>
      <c r="J655" s="10" t="s">
        <v>38</v>
      </c>
      <c r="K655" s="10" t="s">
        <v>104</v>
      </c>
      <c r="L655" s="12">
        <v>1755</v>
      </c>
      <c r="M655" s="10">
        <v>3</v>
      </c>
      <c r="N655" s="13">
        <v>0.1</v>
      </c>
      <c r="O655" s="14">
        <v>457.77</v>
      </c>
      <c r="P655" s="10" t="s">
        <v>48</v>
      </c>
    </row>
    <row r="656" spans="1:16">
      <c r="A656" s="10" t="s">
        <v>1210</v>
      </c>
      <c r="B656" s="11">
        <v>45664</v>
      </c>
      <c r="C656" s="11">
        <v>45666</v>
      </c>
      <c r="D656" s="10" t="s">
        <v>948</v>
      </c>
      <c r="E656" s="10" t="s">
        <v>1106</v>
      </c>
      <c r="F656" s="10" t="s">
        <v>19</v>
      </c>
      <c r="G656" s="10" t="s">
        <v>67</v>
      </c>
      <c r="H656" s="10" t="s">
        <v>68</v>
      </c>
      <c r="I656" s="10" t="s">
        <v>22</v>
      </c>
      <c r="J656" s="10" t="s">
        <v>30</v>
      </c>
      <c r="K656" s="10" t="s">
        <v>93</v>
      </c>
      <c r="L656" s="12">
        <v>630</v>
      </c>
      <c r="M656" s="10">
        <v>7</v>
      </c>
      <c r="N656" s="13">
        <v>0</v>
      </c>
      <c r="O656" s="14">
        <v>201.26</v>
      </c>
      <c r="P656" s="10" t="s">
        <v>63</v>
      </c>
    </row>
    <row r="657" spans="1:16">
      <c r="A657" s="10" t="s">
        <v>1211</v>
      </c>
      <c r="B657" s="11">
        <v>45899</v>
      </c>
      <c r="C657" s="11">
        <v>45902</v>
      </c>
      <c r="D657" s="10" t="s">
        <v>1154</v>
      </c>
      <c r="E657" s="10" t="s">
        <v>1212</v>
      </c>
      <c r="F657" s="10" t="s">
        <v>43</v>
      </c>
      <c r="G657" s="10" t="s">
        <v>35</v>
      </c>
      <c r="H657" s="10" t="s">
        <v>36</v>
      </c>
      <c r="I657" s="10" t="s">
        <v>37</v>
      </c>
      <c r="J657" s="10" t="s">
        <v>76</v>
      </c>
      <c r="K657" s="10" t="s">
        <v>229</v>
      </c>
      <c r="L657" s="12">
        <v>12160</v>
      </c>
      <c r="M657" s="10">
        <v>8</v>
      </c>
      <c r="N657" s="13">
        <v>0.2</v>
      </c>
      <c r="O657" s="14">
        <v>2349.0300000000002</v>
      </c>
      <c r="P657" s="10" t="s">
        <v>56</v>
      </c>
    </row>
    <row r="658" spans="1:16">
      <c r="A658" s="10" t="s">
        <v>1213</v>
      </c>
      <c r="B658" s="11">
        <v>46078</v>
      </c>
      <c r="C658" s="11">
        <v>46082</v>
      </c>
      <c r="D658" s="10" t="s">
        <v>591</v>
      </c>
      <c r="E658" s="10" t="s">
        <v>418</v>
      </c>
      <c r="F658" s="10" t="s">
        <v>29</v>
      </c>
      <c r="G658" s="10" t="s">
        <v>20</v>
      </c>
      <c r="H658" s="10" t="s">
        <v>21</v>
      </c>
      <c r="I658" s="10" t="s">
        <v>22</v>
      </c>
      <c r="J658" s="10" t="s">
        <v>38</v>
      </c>
      <c r="K658" s="10" t="s">
        <v>169</v>
      </c>
      <c r="L658" s="12">
        <v>10440</v>
      </c>
      <c r="M658" s="10">
        <v>8</v>
      </c>
      <c r="N658" s="13">
        <v>0.1</v>
      </c>
      <c r="O658" s="14">
        <v>3184.06</v>
      </c>
      <c r="P658" s="10" t="s">
        <v>48</v>
      </c>
    </row>
    <row r="659" spans="1:16">
      <c r="A659" s="10" t="s">
        <v>1214</v>
      </c>
      <c r="B659" s="11">
        <v>46142</v>
      </c>
      <c r="C659" s="11">
        <v>46143</v>
      </c>
      <c r="D659" s="10" t="s">
        <v>1215</v>
      </c>
      <c r="E659" s="10" t="s">
        <v>237</v>
      </c>
      <c r="F659" s="10" t="s">
        <v>19</v>
      </c>
      <c r="G659" s="10" t="s">
        <v>73</v>
      </c>
      <c r="H659" s="10" t="s">
        <v>74</v>
      </c>
      <c r="I659" s="10" t="s">
        <v>75</v>
      </c>
      <c r="J659" s="10" t="s">
        <v>38</v>
      </c>
      <c r="K659" s="10" t="s">
        <v>39</v>
      </c>
      <c r="L659" s="12">
        <v>5652.5</v>
      </c>
      <c r="M659" s="10">
        <v>7</v>
      </c>
      <c r="N659" s="13">
        <v>0.15</v>
      </c>
      <c r="O659" s="14">
        <v>1022.58</v>
      </c>
      <c r="P659" s="10" t="s">
        <v>48</v>
      </c>
    </row>
    <row r="660" spans="1:16">
      <c r="A660" s="10" t="s">
        <v>1216</v>
      </c>
      <c r="B660" s="11">
        <v>46070</v>
      </c>
      <c r="C660" s="11">
        <v>46071</v>
      </c>
      <c r="D660" s="10" t="s">
        <v>484</v>
      </c>
      <c r="E660" s="10" t="s">
        <v>84</v>
      </c>
      <c r="F660" s="10" t="s">
        <v>19</v>
      </c>
      <c r="G660" s="10" t="s">
        <v>167</v>
      </c>
      <c r="H660" s="10" t="s">
        <v>168</v>
      </c>
      <c r="I660" s="10" t="s">
        <v>37</v>
      </c>
      <c r="J660" s="10" t="s">
        <v>76</v>
      </c>
      <c r="K660" s="10" t="s">
        <v>77</v>
      </c>
      <c r="L660" s="12">
        <v>6080</v>
      </c>
      <c r="M660" s="10">
        <v>4</v>
      </c>
      <c r="N660" s="13">
        <v>0.05</v>
      </c>
      <c r="O660" s="14">
        <v>1218.1600000000001</v>
      </c>
      <c r="P660" s="10" t="s">
        <v>69</v>
      </c>
    </row>
    <row r="661" spans="1:16">
      <c r="A661" s="10" t="s">
        <v>1217</v>
      </c>
      <c r="B661" s="11">
        <v>46120</v>
      </c>
      <c r="C661" s="11">
        <v>46127</v>
      </c>
      <c r="D661" s="10" t="s">
        <v>616</v>
      </c>
      <c r="E661" s="10" t="s">
        <v>1218</v>
      </c>
      <c r="F661" s="10" t="s">
        <v>43</v>
      </c>
      <c r="G661" s="10" t="s">
        <v>151</v>
      </c>
      <c r="H661" s="10" t="s">
        <v>151</v>
      </c>
      <c r="I661" s="10" t="s">
        <v>75</v>
      </c>
      <c r="J661" s="10" t="s">
        <v>38</v>
      </c>
      <c r="K661" s="10" t="s">
        <v>104</v>
      </c>
      <c r="L661" s="12">
        <v>4550</v>
      </c>
      <c r="M661" s="10">
        <v>7</v>
      </c>
      <c r="N661" s="13">
        <v>0</v>
      </c>
      <c r="O661" s="14">
        <v>1275.17</v>
      </c>
      <c r="P661" s="10" t="s">
        <v>48</v>
      </c>
    </row>
    <row r="662" spans="1:16">
      <c r="A662" s="10" t="s">
        <v>1219</v>
      </c>
      <c r="B662" s="11">
        <v>45325</v>
      </c>
      <c r="C662" s="11">
        <v>45327</v>
      </c>
      <c r="D662" s="10" t="s">
        <v>546</v>
      </c>
      <c r="E662" s="10" t="s">
        <v>1218</v>
      </c>
      <c r="F662" s="10" t="s">
        <v>29</v>
      </c>
      <c r="G662" s="10" t="s">
        <v>151</v>
      </c>
      <c r="H662" s="10" t="s">
        <v>151</v>
      </c>
      <c r="I662" s="10" t="s">
        <v>75</v>
      </c>
      <c r="J662" s="10" t="s">
        <v>23</v>
      </c>
      <c r="K662" s="10" t="s">
        <v>24</v>
      </c>
      <c r="L662" s="12">
        <v>46800</v>
      </c>
      <c r="M662" s="10">
        <v>8</v>
      </c>
      <c r="N662" s="13">
        <v>0.1</v>
      </c>
      <c r="O662" s="14">
        <v>15445.55</v>
      </c>
      <c r="P662" s="10" t="s">
        <v>63</v>
      </c>
    </row>
    <row r="663" spans="1:16">
      <c r="A663" s="10" t="s">
        <v>1220</v>
      </c>
      <c r="B663" s="11">
        <v>45983</v>
      </c>
      <c r="C663" s="11">
        <v>45987</v>
      </c>
      <c r="D663" s="10" t="s">
        <v>862</v>
      </c>
      <c r="E663" s="10" t="s">
        <v>631</v>
      </c>
      <c r="F663" s="10" t="s">
        <v>43</v>
      </c>
      <c r="G663" s="10" t="s">
        <v>167</v>
      </c>
      <c r="H663" s="10" t="s">
        <v>168</v>
      </c>
      <c r="I663" s="10" t="s">
        <v>37</v>
      </c>
      <c r="J663" s="10" t="s">
        <v>76</v>
      </c>
      <c r="K663" s="10" t="s">
        <v>77</v>
      </c>
      <c r="L663" s="12">
        <v>4080</v>
      </c>
      <c r="M663" s="10">
        <v>3</v>
      </c>
      <c r="N663" s="13">
        <v>0.15</v>
      </c>
      <c r="O663" s="14">
        <v>1399.47</v>
      </c>
      <c r="P663" s="10" t="s">
        <v>63</v>
      </c>
    </row>
    <row r="664" spans="1:16">
      <c r="A664" s="10" t="s">
        <v>1221</v>
      </c>
      <c r="B664" s="11">
        <v>45984</v>
      </c>
      <c r="C664" s="11">
        <v>45987</v>
      </c>
      <c r="D664" s="10" t="s">
        <v>580</v>
      </c>
      <c r="E664" s="10" t="s">
        <v>326</v>
      </c>
      <c r="F664" s="10" t="s">
        <v>19</v>
      </c>
      <c r="G664" s="10" t="s">
        <v>35</v>
      </c>
      <c r="H664" s="10" t="s">
        <v>36</v>
      </c>
      <c r="I664" s="10" t="s">
        <v>37</v>
      </c>
      <c r="J664" s="10" t="s">
        <v>23</v>
      </c>
      <c r="K664" s="10" t="s">
        <v>89</v>
      </c>
      <c r="L664" s="12">
        <v>2800</v>
      </c>
      <c r="M664" s="10">
        <v>1</v>
      </c>
      <c r="N664" s="13">
        <v>0</v>
      </c>
      <c r="O664" s="14">
        <v>634.14</v>
      </c>
      <c r="P664" s="10" t="s">
        <v>63</v>
      </c>
    </row>
    <row r="665" spans="1:16">
      <c r="A665" s="10" t="s">
        <v>1222</v>
      </c>
      <c r="B665" s="11">
        <v>45319</v>
      </c>
      <c r="C665" s="11">
        <v>45326</v>
      </c>
      <c r="D665" s="10" t="s">
        <v>621</v>
      </c>
      <c r="E665" s="10" t="s">
        <v>1223</v>
      </c>
      <c r="F665" s="10" t="s">
        <v>29</v>
      </c>
      <c r="G665" s="10" t="s">
        <v>101</v>
      </c>
      <c r="H665" s="10" t="s">
        <v>102</v>
      </c>
      <c r="I665" s="10" t="s">
        <v>103</v>
      </c>
      <c r="J665" s="10" t="s">
        <v>23</v>
      </c>
      <c r="K665" s="10" t="s">
        <v>293</v>
      </c>
      <c r="L665" s="12">
        <v>1350</v>
      </c>
      <c r="M665" s="10">
        <v>2</v>
      </c>
      <c r="N665" s="13">
        <v>0.1</v>
      </c>
      <c r="O665" s="14">
        <v>371.6</v>
      </c>
      <c r="P665" s="10" t="s">
        <v>56</v>
      </c>
    </row>
    <row r="666" spans="1:16">
      <c r="A666" s="10" t="s">
        <v>1224</v>
      </c>
      <c r="B666" s="11">
        <v>45545</v>
      </c>
      <c r="C666" s="11">
        <v>45547</v>
      </c>
      <c r="D666" s="10" t="s">
        <v>1017</v>
      </c>
      <c r="E666" s="10" t="s">
        <v>1080</v>
      </c>
      <c r="F666" s="10" t="s">
        <v>29</v>
      </c>
      <c r="G666" s="10" t="s">
        <v>167</v>
      </c>
      <c r="H666" s="10" t="s">
        <v>168</v>
      </c>
      <c r="I666" s="10" t="s">
        <v>37</v>
      </c>
      <c r="J666" s="10" t="s">
        <v>23</v>
      </c>
      <c r="K666" s="10" t="s">
        <v>47</v>
      </c>
      <c r="L666" s="12">
        <v>4960</v>
      </c>
      <c r="M666" s="10">
        <v>2</v>
      </c>
      <c r="N666" s="13">
        <v>0.2</v>
      </c>
      <c r="O666" s="14">
        <v>1651.53</v>
      </c>
      <c r="P666" s="10" t="s">
        <v>48</v>
      </c>
    </row>
    <row r="667" spans="1:16">
      <c r="A667" s="10" t="s">
        <v>1225</v>
      </c>
      <c r="B667" s="11">
        <v>45843</v>
      </c>
      <c r="C667" s="11">
        <v>45846</v>
      </c>
      <c r="D667" s="10" t="s">
        <v>574</v>
      </c>
      <c r="E667" s="10" t="s">
        <v>772</v>
      </c>
      <c r="F667" s="10" t="s">
        <v>43</v>
      </c>
      <c r="G667" s="10" t="s">
        <v>135</v>
      </c>
      <c r="H667" s="10" t="s">
        <v>21</v>
      </c>
      <c r="I667" s="10" t="s">
        <v>22</v>
      </c>
      <c r="J667" s="10" t="s">
        <v>76</v>
      </c>
      <c r="K667" s="10" t="s">
        <v>77</v>
      </c>
      <c r="L667" s="12">
        <v>10640</v>
      </c>
      <c r="M667" s="10">
        <v>7</v>
      </c>
      <c r="N667" s="13">
        <v>0.05</v>
      </c>
      <c r="O667" s="14">
        <v>3906.96</v>
      </c>
      <c r="P667" s="10" t="s">
        <v>25</v>
      </c>
    </row>
    <row r="668" spans="1:16">
      <c r="A668" s="10" t="s">
        <v>1226</v>
      </c>
      <c r="B668" s="11">
        <v>45876</v>
      </c>
      <c r="C668" s="11">
        <v>45880</v>
      </c>
      <c r="D668" s="10" t="s">
        <v>343</v>
      </c>
      <c r="E668" s="10" t="s">
        <v>1212</v>
      </c>
      <c r="F668" s="10" t="s">
        <v>19</v>
      </c>
      <c r="G668" s="10" t="s">
        <v>67</v>
      </c>
      <c r="H668" s="10" t="s">
        <v>68</v>
      </c>
      <c r="I668" s="10" t="s">
        <v>22</v>
      </c>
      <c r="J668" s="10" t="s">
        <v>38</v>
      </c>
      <c r="K668" s="10" t="s">
        <v>55</v>
      </c>
      <c r="L668" s="12">
        <v>880</v>
      </c>
      <c r="M668" s="10">
        <v>2</v>
      </c>
      <c r="N668" s="13">
        <v>0.2</v>
      </c>
      <c r="O668" s="14">
        <v>153.53</v>
      </c>
      <c r="P668" s="10" t="s">
        <v>69</v>
      </c>
    </row>
    <row r="669" spans="1:16">
      <c r="A669" s="10" t="s">
        <v>1227</v>
      </c>
      <c r="B669" s="11">
        <v>45462</v>
      </c>
      <c r="C669" s="11">
        <v>45467</v>
      </c>
      <c r="D669" s="10" t="s">
        <v>1228</v>
      </c>
      <c r="E669" s="10" t="s">
        <v>373</v>
      </c>
      <c r="F669" s="10" t="s">
        <v>19</v>
      </c>
      <c r="G669" s="10" t="s">
        <v>179</v>
      </c>
      <c r="H669" s="10" t="s">
        <v>21</v>
      </c>
      <c r="I669" s="10" t="s">
        <v>22</v>
      </c>
      <c r="J669" s="10" t="s">
        <v>23</v>
      </c>
      <c r="K669" s="10" t="s">
        <v>293</v>
      </c>
      <c r="L669" s="12">
        <v>2700</v>
      </c>
      <c r="M669" s="10">
        <v>4</v>
      </c>
      <c r="N669" s="13">
        <v>0.1</v>
      </c>
      <c r="O669" s="14">
        <v>539.41999999999996</v>
      </c>
      <c r="P669" s="10" t="s">
        <v>56</v>
      </c>
    </row>
    <row r="670" spans="1:16">
      <c r="A670" s="10" t="s">
        <v>1229</v>
      </c>
      <c r="B670" s="11">
        <v>45586</v>
      </c>
      <c r="C670" s="11">
        <v>45589</v>
      </c>
      <c r="D670" s="10" t="s">
        <v>231</v>
      </c>
      <c r="E670" s="10" t="s">
        <v>892</v>
      </c>
      <c r="F670" s="10" t="s">
        <v>19</v>
      </c>
      <c r="G670" s="10" t="s">
        <v>135</v>
      </c>
      <c r="H670" s="10" t="s">
        <v>21</v>
      </c>
      <c r="I670" s="10" t="s">
        <v>22</v>
      </c>
      <c r="J670" s="10" t="s">
        <v>23</v>
      </c>
      <c r="K670" s="10" t="s">
        <v>47</v>
      </c>
      <c r="L670" s="12">
        <v>21700</v>
      </c>
      <c r="M670" s="10">
        <v>7</v>
      </c>
      <c r="N670" s="13">
        <v>0</v>
      </c>
      <c r="O670" s="14">
        <v>4722.16</v>
      </c>
      <c r="P670" s="10" t="s">
        <v>48</v>
      </c>
    </row>
    <row r="671" spans="1:16">
      <c r="A671" s="10" t="s">
        <v>1230</v>
      </c>
      <c r="B671" s="11">
        <v>45898</v>
      </c>
      <c r="C671" s="11">
        <v>45901</v>
      </c>
      <c r="D671" s="10" t="s">
        <v>452</v>
      </c>
      <c r="E671" s="10" t="s">
        <v>1114</v>
      </c>
      <c r="F671" s="10" t="s">
        <v>43</v>
      </c>
      <c r="G671" s="10" t="s">
        <v>179</v>
      </c>
      <c r="H671" s="10" t="s">
        <v>21</v>
      </c>
      <c r="I671" s="10" t="s">
        <v>22</v>
      </c>
      <c r="J671" s="10" t="s">
        <v>38</v>
      </c>
      <c r="K671" s="10" t="s">
        <v>62</v>
      </c>
      <c r="L671" s="12">
        <v>61200</v>
      </c>
      <c r="M671" s="10">
        <v>8</v>
      </c>
      <c r="N671" s="13">
        <v>0.1</v>
      </c>
      <c r="O671" s="14">
        <v>19000.63</v>
      </c>
      <c r="P671" s="10" t="s">
        <v>63</v>
      </c>
    </row>
    <row r="672" spans="1:16">
      <c r="A672" s="10" t="s">
        <v>1231</v>
      </c>
      <c r="B672" s="11">
        <v>46115</v>
      </c>
      <c r="C672" s="11">
        <v>46118</v>
      </c>
      <c r="D672" s="10" t="s">
        <v>569</v>
      </c>
      <c r="E672" s="10" t="s">
        <v>205</v>
      </c>
      <c r="F672" s="10" t="s">
        <v>19</v>
      </c>
      <c r="G672" s="10" t="s">
        <v>81</v>
      </c>
      <c r="H672" s="10" t="s">
        <v>68</v>
      </c>
      <c r="I672" s="10" t="s">
        <v>22</v>
      </c>
      <c r="J672" s="10" t="s">
        <v>23</v>
      </c>
      <c r="K672" s="10" t="s">
        <v>24</v>
      </c>
      <c r="L672" s="12">
        <v>40950</v>
      </c>
      <c r="M672" s="10">
        <v>7</v>
      </c>
      <c r="N672" s="13">
        <v>0.1</v>
      </c>
      <c r="O672" s="14">
        <v>12271.53</v>
      </c>
      <c r="P672" s="10" t="s">
        <v>56</v>
      </c>
    </row>
    <row r="673" spans="1:16">
      <c r="A673" s="10" t="s">
        <v>1232</v>
      </c>
      <c r="B673" s="11">
        <v>46194</v>
      </c>
      <c r="C673" s="11">
        <v>46195</v>
      </c>
      <c r="D673" s="10" t="s">
        <v>175</v>
      </c>
      <c r="E673" s="10" t="s">
        <v>1233</v>
      </c>
      <c r="F673" s="10" t="s">
        <v>19</v>
      </c>
      <c r="G673" s="10" t="s">
        <v>167</v>
      </c>
      <c r="H673" s="10" t="s">
        <v>168</v>
      </c>
      <c r="I673" s="10" t="s">
        <v>37</v>
      </c>
      <c r="J673" s="10" t="s">
        <v>30</v>
      </c>
      <c r="K673" s="10" t="s">
        <v>93</v>
      </c>
      <c r="L673" s="12">
        <v>720</v>
      </c>
      <c r="M673" s="10">
        <v>8</v>
      </c>
      <c r="N673" s="13">
        <v>0</v>
      </c>
      <c r="O673" s="14">
        <v>149.9</v>
      </c>
      <c r="P673" s="10" t="s">
        <v>63</v>
      </c>
    </row>
    <row r="674" spans="1:16">
      <c r="A674" s="10" t="s">
        <v>1234</v>
      </c>
      <c r="B674" s="11">
        <v>46120</v>
      </c>
      <c r="C674" s="11">
        <v>46125</v>
      </c>
      <c r="D674" s="10" t="s">
        <v>1183</v>
      </c>
      <c r="E674" s="10" t="s">
        <v>488</v>
      </c>
      <c r="F674" s="10" t="s">
        <v>29</v>
      </c>
      <c r="G674" s="10" t="s">
        <v>44</v>
      </c>
      <c r="H674" s="10" t="s">
        <v>45</v>
      </c>
      <c r="I674" s="10" t="s">
        <v>46</v>
      </c>
      <c r="J674" s="10" t="s">
        <v>76</v>
      </c>
      <c r="K674" s="10" t="s">
        <v>85</v>
      </c>
      <c r="L674" s="12">
        <v>187</v>
      </c>
      <c r="M674" s="10">
        <v>1</v>
      </c>
      <c r="N674" s="13">
        <v>0.15</v>
      </c>
      <c r="O674" s="14">
        <v>57.1</v>
      </c>
      <c r="P674" s="10" t="s">
        <v>69</v>
      </c>
    </row>
    <row r="675" spans="1:16">
      <c r="A675" s="10" t="s">
        <v>1235</v>
      </c>
      <c r="B675" s="11">
        <v>46156</v>
      </c>
      <c r="C675" s="11">
        <v>46160</v>
      </c>
      <c r="D675" s="10" t="s">
        <v>211</v>
      </c>
      <c r="E675" s="10" t="s">
        <v>1236</v>
      </c>
      <c r="F675" s="10" t="s">
        <v>19</v>
      </c>
      <c r="G675" s="10" t="s">
        <v>81</v>
      </c>
      <c r="H675" s="10" t="s">
        <v>68</v>
      </c>
      <c r="I675" s="10" t="s">
        <v>22</v>
      </c>
      <c r="J675" s="10" t="s">
        <v>23</v>
      </c>
      <c r="K675" s="10" t="s">
        <v>120</v>
      </c>
      <c r="L675" s="12">
        <v>15120</v>
      </c>
      <c r="M675" s="10">
        <v>4</v>
      </c>
      <c r="N675" s="13">
        <v>0.1</v>
      </c>
      <c r="O675" s="14">
        <v>4469.43</v>
      </c>
      <c r="P675" s="10" t="s">
        <v>63</v>
      </c>
    </row>
    <row r="676" spans="1:16">
      <c r="A676" s="10" t="s">
        <v>1237</v>
      </c>
      <c r="B676" s="11">
        <v>45533</v>
      </c>
      <c r="C676" s="11">
        <v>45537</v>
      </c>
      <c r="D676" s="10" t="s">
        <v>370</v>
      </c>
      <c r="E676" s="10" t="s">
        <v>512</v>
      </c>
      <c r="F676" s="10" t="s">
        <v>43</v>
      </c>
      <c r="G676" s="10" t="s">
        <v>111</v>
      </c>
      <c r="H676" s="10" t="s">
        <v>21</v>
      </c>
      <c r="I676" s="10" t="s">
        <v>22</v>
      </c>
      <c r="J676" s="10" t="s">
        <v>38</v>
      </c>
      <c r="K676" s="10" t="s">
        <v>39</v>
      </c>
      <c r="L676" s="12">
        <v>3800</v>
      </c>
      <c r="M676" s="10">
        <v>4</v>
      </c>
      <c r="N676" s="13">
        <v>0</v>
      </c>
      <c r="O676" s="14">
        <v>1201.3599999999999</v>
      </c>
      <c r="P676" s="10" t="s">
        <v>63</v>
      </c>
    </row>
    <row r="677" spans="1:16">
      <c r="A677" s="10" t="s">
        <v>1238</v>
      </c>
      <c r="B677" s="11">
        <v>45738</v>
      </c>
      <c r="C677" s="11">
        <v>45742</v>
      </c>
      <c r="D677" s="10" t="s">
        <v>955</v>
      </c>
      <c r="E677" s="10" t="s">
        <v>1239</v>
      </c>
      <c r="F677" s="10" t="s">
        <v>19</v>
      </c>
      <c r="G677" s="10" t="s">
        <v>167</v>
      </c>
      <c r="H677" s="10" t="s">
        <v>168</v>
      </c>
      <c r="I677" s="10" t="s">
        <v>37</v>
      </c>
      <c r="J677" s="10" t="s">
        <v>38</v>
      </c>
      <c r="K677" s="10" t="s">
        <v>39</v>
      </c>
      <c r="L677" s="12">
        <v>2707.5</v>
      </c>
      <c r="M677" s="10">
        <v>3</v>
      </c>
      <c r="N677" s="13">
        <v>0.05</v>
      </c>
      <c r="O677" s="14">
        <v>912.5</v>
      </c>
      <c r="P677" s="10" t="s">
        <v>56</v>
      </c>
    </row>
    <row r="678" spans="1:16">
      <c r="A678" s="10" t="s">
        <v>1240</v>
      </c>
      <c r="B678" s="11">
        <v>45951</v>
      </c>
      <c r="C678" s="11">
        <v>45958</v>
      </c>
      <c r="D678" s="10" t="s">
        <v>272</v>
      </c>
      <c r="E678" s="10" t="s">
        <v>1241</v>
      </c>
      <c r="F678" s="10" t="s">
        <v>43</v>
      </c>
      <c r="G678" s="10" t="s">
        <v>135</v>
      </c>
      <c r="H678" s="10" t="s">
        <v>21</v>
      </c>
      <c r="I678" s="10" t="s">
        <v>22</v>
      </c>
      <c r="J678" s="10" t="s">
        <v>76</v>
      </c>
      <c r="K678" s="10" t="s">
        <v>206</v>
      </c>
      <c r="L678" s="12">
        <v>1100</v>
      </c>
      <c r="M678" s="10">
        <v>1</v>
      </c>
      <c r="N678" s="13">
        <v>0</v>
      </c>
      <c r="O678" s="14">
        <v>328.22</v>
      </c>
      <c r="P678" s="10" t="s">
        <v>69</v>
      </c>
    </row>
    <row r="679" spans="1:16">
      <c r="A679" s="10" t="s">
        <v>1242</v>
      </c>
      <c r="B679" s="11">
        <v>45979</v>
      </c>
      <c r="C679" s="11">
        <v>45985</v>
      </c>
      <c r="D679" s="10" t="s">
        <v>217</v>
      </c>
      <c r="E679" s="10" t="s">
        <v>705</v>
      </c>
      <c r="F679" s="10" t="s">
        <v>29</v>
      </c>
      <c r="G679" s="10" t="s">
        <v>101</v>
      </c>
      <c r="H679" s="10" t="s">
        <v>102</v>
      </c>
      <c r="I679" s="10" t="s">
        <v>103</v>
      </c>
      <c r="J679" s="10" t="s">
        <v>38</v>
      </c>
      <c r="K679" s="10" t="s">
        <v>55</v>
      </c>
      <c r="L679" s="12">
        <v>1650</v>
      </c>
      <c r="M679" s="10">
        <v>3</v>
      </c>
      <c r="N679" s="13">
        <v>0</v>
      </c>
      <c r="O679" s="14">
        <v>578.98</v>
      </c>
      <c r="P679" s="10" t="s">
        <v>63</v>
      </c>
    </row>
    <row r="680" spans="1:16">
      <c r="A680" s="10" t="s">
        <v>1243</v>
      </c>
      <c r="B680" s="11">
        <v>45972</v>
      </c>
      <c r="C680" s="11">
        <v>45979</v>
      </c>
      <c r="D680" s="10" t="s">
        <v>156</v>
      </c>
      <c r="E680" s="10" t="s">
        <v>258</v>
      </c>
      <c r="F680" s="10" t="s">
        <v>19</v>
      </c>
      <c r="G680" s="10" t="s">
        <v>224</v>
      </c>
      <c r="H680" s="10" t="s">
        <v>225</v>
      </c>
      <c r="I680" s="10" t="s">
        <v>75</v>
      </c>
      <c r="J680" s="10" t="s">
        <v>23</v>
      </c>
      <c r="K680" s="10" t="s">
        <v>293</v>
      </c>
      <c r="L680" s="12">
        <v>1500</v>
      </c>
      <c r="M680" s="10">
        <v>2</v>
      </c>
      <c r="N680" s="13">
        <v>0</v>
      </c>
      <c r="O680" s="14">
        <v>336.07</v>
      </c>
      <c r="P680" s="10" t="s">
        <v>25</v>
      </c>
    </row>
    <row r="681" spans="1:16">
      <c r="A681" s="10" t="s">
        <v>1244</v>
      </c>
      <c r="B681" s="11">
        <v>46117</v>
      </c>
      <c r="C681" s="11">
        <v>46123</v>
      </c>
      <c r="D681" s="10" t="s">
        <v>250</v>
      </c>
      <c r="E681" s="10" t="s">
        <v>332</v>
      </c>
      <c r="F681" s="10" t="s">
        <v>43</v>
      </c>
      <c r="G681" s="10" t="s">
        <v>60</v>
      </c>
      <c r="H681" s="10" t="s">
        <v>61</v>
      </c>
      <c r="I681" s="10" t="s">
        <v>37</v>
      </c>
      <c r="J681" s="10" t="s">
        <v>30</v>
      </c>
      <c r="K681" s="10" t="s">
        <v>127</v>
      </c>
      <c r="L681" s="12">
        <v>600</v>
      </c>
      <c r="M681" s="10">
        <v>4</v>
      </c>
      <c r="N681" s="13">
        <v>0</v>
      </c>
      <c r="O681" s="14">
        <v>211.34</v>
      </c>
      <c r="P681" s="10" t="s">
        <v>69</v>
      </c>
    </row>
    <row r="682" spans="1:16">
      <c r="A682" s="10" t="s">
        <v>1245</v>
      </c>
      <c r="B682" s="11">
        <v>46175</v>
      </c>
      <c r="C682" s="11">
        <v>46180</v>
      </c>
      <c r="D682" s="10" t="s">
        <v>505</v>
      </c>
      <c r="E682" s="10" t="s">
        <v>28</v>
      </c>
      <c r="F682" s="10" t="s">
        <v>43</v>
      </c>
      <c r="G682" s="10" t="s">
        <v>135</v>
      </c>
      <c r="H682" s="10" t="s">
        <v>21</v>
      </c>
      <c r="I682" s="10" t="s">
        <v>22</v>
      </c>
      <c r="J682" s="10" t="s">
        <v>76</v>
      </c>
      <c r="K682" s="10" t="s">
        <v>85</v>
      </c>
      <c r="L682" s="12">
        <v>1056</v>
      </c>
      <c r="M682" s="10">
        <v>6</v>
      </c>
      <c r="N682" s="13">
        <v>0.2</v>
      </c>
      <c r="O682" s="14">
        <v>109.12</v>
      </c>
      <c r="P682" s="10" t="s">
        <v>56</v>
      </c>
    </row>
    <row r="683" spans="1:16">
      <c r="A683" s="10" t="s">
        <v>1246</v>
      </c>
      <c r="B683" s="11">
        <v>46278</v>
      </c>
      <c r="C683" s="11">
        <v>46281</v>
      </c>
      <c r="D683" s="10" t="s">
        <v>1017</v>
      </c>
      <c r="E683" s="10" t="s">
        <v>815</v>
      </c>
      <c r="F683" s="10" t="s">
        <v>19</v>
      </c>
      <c r="G683" s="10" t="s">
        <v>101</v>
      </c>
      <c r="H683" s="10" t="s">
        <v>102</v>
      </c>
      <c r="I683" s="10" t="s">
        <v>103</v>
      </c>
      <c r="J683" s="10" t="s">
        <v>30</v>
      </c>
      <c r="K683" s="10" t="s">
        <v>173</v>
      </c>
      <c r="L683" s="12">
        <v>2048</v>
      </c>
      <c r="M683" s="10">
        <v>8</v>
      </c>
      <c r="N683" s="13">
        <v>0.2</v>
      </c>
      <c r="O683" s="14">
        <v>520.99</v>
      </c>
      <c r="P683" s="10" t="s">
        <v>48</v>
      </c>
    </row>
    <row r="684" spans="1:16">
      <c r="A684" s="10" t="s">
        <v>1247</v>
      </c>
      <c r="B684" s="11">
        <v>46153</v>
      </c>
      <c r="C684" s="11">
        <v>46159</v>
      </c>
      <c r="D684" s="10" t="s">
        <v>91</v>
      </c>
      <c r="E684" s="10" t="s">
        <v>96</v>
      </c>
      <c r="F684" s="10" t="s">
        <v>19</v>
      </c>
      <c r="G684" s="10" t="s">
        <v>167</v>
      </c>
      <c r="H684" s="10" t="s">
        <v>168</v>
      </c>
      <c r="I684" s="10" t="s">
        <v>37</v>
      </c>
      <c r="J684" s="10" t="s">
        <v>38</v>
      </c>
      <c r="K684" s="10" t="s">
        <v>39</v>
      </c>
      <c r="L684" s="12">
        <v>4037.5</v>
      </c>
      <c r="M684" s="10">
        <v>5</v>
      </c>
      <c r="N684" s="13">
        <v>0.15</v>
      </c>
      <c r="O684" s="14">
        <v>1039.58</v>
      </c>
      <c r="P684" s="10" t="s">
        <v>48</v>
      </c>
    </row>
    <row r="685" spans="1:16">
      <c r="A685" s="10" t="s">
        <v>1248</v>
      </c>
      <c r="B685" s="11">
        <v>45839</v>
      </c>
      <c r="C685" s="11">
        <v>45846</v>
      </c>
      <c r="D685" s="10" t="s">
        <v>447</v>
      </c>
      <c r="E685" s="10" t="s">
        <v>538</v>
      </c>
      <c r="F685" s="10" t="s">
        <v>29</v>
      </c>
      <c r="G685" s="10" t="s">
        <v>111</v>
      </c>
      <c r="H685" s="10" t="s">
        <v>21</v>
      </c>
      <c r="I685" s="10" t="s">
        <v>22</v>
      </c>
      <c r="J685" s="10" t="s">
        <v>76</v>
      </c>
      <c r="K685" s="10" t="s">
        <v>77</v>
      </c>
      <c r="L685" s="12">
        <v>1440</v>
      </c>
      <c r="M685" s="10">
        <v>1</v>
      </c>
      <c r="N685" s="13">
        <v>0.1</v>
      </c>
      <c r="O685" s="14">
        <v>178.34</v>
      </c>
      <c r="P685" s="10" t="s">
        <v>56</v>
      </c>
    </row>
    <row r="686" spans="1:16">
      <c r="A686" s="10" t="s">
        <v>1249</v>
      </c>
      <c r="B686" s="11">
        <v>45596</v>
      </c>
      <c r="C686" s="11">
        <v>45598</v>
      </c>
      <c r="D686" s="10" t="s">
        <v>110</v>
      </c>
      <c r="E686" s="10" t="s">
        <v>307</v>
      </c>
      <c r="F686" s="10" t="s">
        <v>29</v>
      </c>
      <c r="G686" s="10" t="s">
        <v>44</v>
      </c>
      <c r="H686" s="10" t="s">
        <v>45</v>
      </c>
      <c r="I686" s="10" t="s">
        <v>46</v>
      </c>
      <c r="J686" s="10" t="s">
        <v>30</v>
      </c>
      <c r="K686" s="10" t="s">
        <v>127</v>
      </c>
      <c r="L686" s="12">
        <v>720</v>
      </c>
      <c r="M686" s="10">
        <v>6</v>
      </c>
      <c r="N686" s="13">
        <v>0.2</v>
      </c>
      <c r="O686" s="14">
        <v>175.94</v>
      </c>
      <c r="P686" s="10" t="s">
        <v>25</v>
      </c>
    </row>
    <row r="687" spans="1:16">
      <c r="A687" s="10" t="s">
        <v>1250</v>
      </c>
      <c r="B687" s="11">
        <v>45774</v>
      </c>
      <c r="C687" s="11">
        <v>45780</v>
      </c>
      <c r="D687" s="10" t="s">
        <v>306</v>
      </c>
      <c r="E687" s="10" t="s">
        <v>541</v>
      </c>
      <c r="F687" s="10" t="s">
        <v>43</v>
      </c>
      <c r="G687" s="10" t="s">
        <v>81</v>
      </c>
      <c r="H687" s="10" t="s">
        <v>68</v>
      </c>
      <c r="I687" s="10" t="s">
        <v>22</v>
      </c>
      <c r="J687" s="10" t="s">
        <v>23</v>
      </c>
      <c r="K687" s="10" t="s">
        <v>293</v>
      </c>
      <c r="L687" s="12">
        <v>1500</v>
      </c>
      <c r="M687" s="10">
        <v>2</v>
      </c>
      <c r="N687" s="13">
        <v>0</v>
      </c>
      <c r="O687" s="14">
        <v>297.58999999999997</v>
      </c>
      <c r="P687" s="10" t="s">
        <v>63</v>
      </c>
    </row>
    <row r="688" spans="1:16">
      <c r="A688" s="10" t="s">
        <v>1251</v>
      </c>
      <c r="B688" s="11">
        <v>46038</v>
      </c>
      <c r="C688" s="11">
        <v>46045</v>
      </c>
      <c r="D688" s="10" t="s">
        <v>665</v>
      </c>
      <c r="E688" s="10" t="s">
        <v>786</v>
      </c>
      <c r="F688" s="10" t="s">
        <v>19</v>
      </c>
      <c r="G688" s="10" t="s">
        <v>151</v>
      </c>
      <c r="H688" s="10" t="s">
        <v>151</v>
      </c>
      <c r="I688" s="10" t="s">
        <v>75</v>
      </c>
      <c r="J688" s="10" t="s">
        <v>23</v>
      </c>
      <c r="K688" s="10" t="s">
        <v>293</v>
      </c>
      <c r="L688" s="12">
        <v>750</v>
      </c>
      <c r="M688" s="10">
        <v>1</v>
      </c>
      <c r="N688" s="13">
        <v>0</v>
      </c>
      <c r="O688" s="14">
        <v>159.93</v>
      </c>
      <c r="P688" s="10" t="s">
        <v>56</v>
      </c>
    </row>
    <row r="689" spans="1:16">
      <c r="A689" s="10" t="s">
        <v>1252</v>
      </c>
      <c r="B689" s="11">
        <v>45295</v>
      </c>
      <c r="C689" s="11">
        <v>45299</v>
      </c>
      <c r="D689" s="10" t="s">
        <v>471</v>
      </c>
      <c r="E689" s="10" t="s">
        <v>1253</v>
      </c>
      <c r="F689" s="10" t="s">
        <v>19</v>
      </c>
      <c r="G689" s="10" t="s">
        <v>111</v>
      </c>
      <c r="H689" s="10" t="s">
        <v>21</v>
      </c>
      <c r="I689" s="10" t="s">
        <v>22</v>
      </c>
      <c r="J689" s="10" t="s">
        <v>23</v>
      </c>
      <c r="K689" s="10" t="s">
        <v>89</v>
      </c>
      <c r="L689" s="12">
        <v>5600</v>
      </c>
      <c r="M689" s="10">
        <v>2</v>
      </c>
      <c r="N689" s="13">
        <v>0</v>
      </c>
      <c r="O689" s="14">
        <v>1898.21</v>
      </c>
      <c r="P689" s="10" t="s">
        <v>25</v>
      </c>
    </row>
    <row r="690" spans="1:16">
      <c r="A690" s="10" t="s">
        <v>1254</v>
      </c>
      <c r="B690" s="11">
        <v>46103</v>
      </c>
      <c r="C690" s="11">
        <v>46106</v>
      </c>
      <c r="D690" s="10" t="s">
        <v>370</v>
      </c>
      <c r="E690" s="10" t="s">
        <v>1255</v>
      </c>
      <c r="F690" s="10" t="s">
        <v>43</v>
      </c>
      <c r="G690" s="10" t="s">
        <v>73</v>
      </c>
      <c r="H690" s="10" t="s">
        <v>74</v>
      </c>
      <c r="I690" s="10" t="s">
        <v>75</v>
      </c>
      <c r="J690" s="10" t="s">
        <v>76</v>
      </c>
      <c r="K690" s="10" t="s">
        <v>131</v>
      </c>
      <c r="L690" s="12">
        <v>1750</v>
      </c>
      <c r="M690" s="10">
        <v>5</v>
      </c>
      <c r="N690" s="13">
        <v>0</v>
      </c>
      <c r="O690" s="14">
        <v>352.2</v>
      </c>
      <c r="P690" s="10" t="s">
        <v>56</v>
      </c>
    </row>
    <row r="691" spans="1:16">
      <c r="A691" s="10" t="s">
        <v>1256</v>
      </c>
      <c r="B691" s="11">
        <v>45378</v>
      </c>
      <c r="C691" s="11">
        <v>45382</v>
      </c>
      <c r="D691" s="10" t="s">
        <v>1257</v>
      </c>
      <c r="E691" s="10" t="s">
        <v>202</v>
      </c>
      <c r="F691" s="10" t="s">
        <v>19</v>
      </c>
      <c r="G691" s="10" t="s">
        <v>67</v>
      </c>
      <c r="H691" s="10" t="s">
        <v>68</v>
      </c>
      <c r="I691" s="10" t="s">
        <v>22</v>
      </c>
      <c r="J691" s="10" t="s">
        <v>30</v>
      </c>
      <c r="K691" s="10" t="s">
        <v>127</v>
      </c>
      <c r="L691" s="12">
        <v>892.5</v>
      </c>
      <c r="M691" s="10">
        <v>7</v>
      </c>
      <c r="N691" s="13">
        <v>0.15</v>
      </c>
      <c r="O691" s="14">
        <v>266.98</v>
      </c>
      <c r="P691" s="10" t="s">
        <v>63</v>
      </c>
    </row>
    <row r="692" spans="1:16">
      <c r="A692" s="10" t="s">
        <v>1258</v>
      </c>
      <c r="B692" s="11">
        <v>45933</v>
      </c>
      <c r="C692" s="11">
        <v>45935</v>
      </c>
      <c r="D692" s="10" t="s">
        <v>811</v>
      </c>
      <c r="E692" s="10" t="s">
        <v>776</v>
      </c>
      <c r="F692" s="10" t="s">
        <v>19</v>
      </c>
      <c r="G692" s="10" t="s">
        <v>101</v>
      </c>
      <c r="H692" s="10" t="s">
        <v>102</v>
      </c>
      <c r="I692" s="10" t="s">
        <v>103</v>
      </c>
      <c r="J692" s="10" t="s">
        <v>38</v>
      </c>
      <c r="K692" s="10" t="s">
        <v>55</v>
      </c>
      <c r="L692" s="12">
        <v>2090</v>
      </c>
      <c r="M692" s="10">
        <v>4</v>
      </c>
      <c r="N692" s="13">
        <v>0.05</v>
      </c>
      <c r="O692" s="14">
        <v>397.46</v>
      </c>
      <c r="P692" s="10" t="s">
        <v>25</v>
      </c>
    </row>
    <row r="693" spans="1:16">
      <c r="A693" s="10" t="s">
        <v>1259</v>
      </c>
      <c r="B693" s="11">
        <v>45906</v>
      </c>
      <c r="C693" s="11">
        <v>45909</v>
      </c>
      <c r="D693" s="10" t="s">
        <v>546</v>
      </c>
      <c r="E693" s="10" t="s">
        <v>727</v>
      </c>
      <c r="F693" s="10" t="s">
        <v>43</v>
      </c>
      <c r="G693" s="10" t="s">
        <v>97</v>
      </c>
      <c r="H693" s="10" t="s">
        <v>21</v>
      </c>
      <c r="I693" s="10" t="s">
        <v>22</v>
      </c>
      <c r="J693" s="10" t="s">
        <v>38</v>
      </c>
      <c r="K693" s="10" t="s">
        <v>169</v>
      </c>
      <c r="L693" s="12">
        <v>3697.5</v>
      </c>
      <c r="M693" s="10">
        <v>3</v>
      </c>
      <c r="N693" s="13">
        <v>0.15</v>
      </c>
      <c r="O693" s="14">
        <v>1209.04</v>
      </c>
      <c r="P693" s="10" t="s">
        <v>25</v>
      </c>
    </row>
    <row r="694" spans="1:16">
      <c r="A694" s="10" t="s">
        <v>1260</v>
      </c>
      <c r="B694" s="11">
        <v>45413</v>
      </c>
      <c r="C694" s="11">
        <v>45415</v>
      </c>
      <c r="D694" s="10" t="s">
        <v>319</v>
      </c>
      <c r="E694" s="10" t="s">
        <v>119</v>
      </c>
      <c r="F694" s="10" t="s">
        <v>29</v>
      </c>
      <c r="G694" s="10" t="s">
        <v>60</v>
      </c>
      <c r="H694" s="10" t="s">
        <v>61</v>
      </c>
      <c r="I694" s="10" t="s">
        <v>37</v>
      </c>
      <c r="J694" s="10" t="s">
        <v>30</v>
      </c>
      <c r="K694" s="10" t="s">
        <v>31</v>
      </c>
      <c r="L694" s="12">
        <v>570</v>
      </c>
      <c r="M694" s="10">
        <v>5</v>
      </c>
      <c r="N694" s="13">
        <v>0.05</v>
      </c>
      <c r="O694" s="14">
        <v>101.7</v>
      </c>
      <c r="P694" s="10" t="s">
        <v>63</v>
      </c>
    </row>
    <row r="695" spans="1:16">
      <c r="A695" s="10" t="s">
        <v>1261</v>
      </c>
      <c r="B695" s="11">
        <v>45512</v>
      </c>
      <c r="C695" s="11">
        <v>45519</v>
      </c>
      <c r="D695" s="10" t="s">
        <v>298</v>
      </c>
      <c r="E695" s="10" t="s">
        <v>474</v>
      </c>
      <c r="F695" s="10" t="s">
        <v>29</v>
      </c>
      <c r="G695" s="10" t="s">
        <v>179</v>
      </c>
      <c r="H695" s="10" t="s">
        <v>21</v>
      </c>
      <c r="I695" s="10" t="s">
        <v>22</v>
      </c>
      <c r="J695" s="10" t="s">
        <v>30</v>
      </c>
      <c r="K695" s="10" t="s">
        <v>127</v>
      </c>
      <c r="L695" s="12">
        <v>405</v>
      </c>
      <c r="M695" s="10">
        <v>3</v>
      </c>
      <c r="N695" s="13">
        <v>0.1</v>
      </c>
      <c r="O695" s="14">
        <v>64.38</v>
      </c>
      <c r="P695" s="10" t="s">
        <v>63</v>
      </c>
    </row>
    <row r="696" spans="1:16">
      <c r="A696" s="10" t="s">
        <v>1262</v>
      </c>
      <c r="B696" s="11">
        <v>45753</v>
      </c>
      <c r="C696" s="11">
        <v>45755</v>
      </c>
      <c r="D696" s="10" t="s">
        <v>289</v>
      </c>
      <c r="E696" s="10" t="s">
        <v>191</v>
      </c>
      <c r="F696" s="10" t="s">
        <v>29</v>
      </c>
      <c r="G696" s="10" t="s">
        <v>67</v>
      </c>
      <c r="H696" s="10" t="s">
        <v>68</v>
      </c>
      <c r="I696" s="10" t="s">
        <v>22</v>
      </c>
      <c r="J696" s="10" t="s">
        <v>76</v>
      </c>
      <c r="K696" s="10" t="s">
        <v>206</v>
      </c>
      <c r="L696" s="12">
        <v>990</v>
      </c>
      <c r="M696" s="10">
        <v>1</v>
      </c>
      <c r="N696" s="13">
        <v>0.1</v>
      </c>
      <c r="O696" s="14">
        <v>327.06</v>
      </c>
      <c r="P696" s="10" t="s">
        <v>25</v>
      </c>
    </row>
    <row r="697" spans="1:16">
      <c r="A697" s="10" t="s">
        <v>1263</v>
      </c>
      <c r="B697" s="11">
        <v>46017</v>
      </c>
      <c r="C697" s="11">
        <v>46021</v>
      </c>
      <c r="D697" s="10" t="s">
        <v>309</v>
      </c>
      <c r="E697" s="10" t="s">
        <v>199</v>
      </c>
      <c r="F697" s="10" t="s">
        <v>43</v>
      </c>
      <c r="G697" s="10" t="s">
        <v>60</v>
      </c>
      <c r="H697" s="10" t="s">
        <v>61</v>
      </c>
      <c r="I697" s="10" t="s">
        <v>37</v>
      </c>
      <c r="J697" s="10" t="s">
        <v>23</v>
      </c>
      <c r="K697" s="10" t="s">
        <v>120</v>
      </c>
      <c r="L697" s="12">
        <v>7140</v>
      </c>
      <c r="M697" s="10">
        <v>2</v>
      </c>
      <c r="N697" s="13">
        <v>0.15</v>
      </c>
      <c r="O697" s="14">
        <v>2443.48</v>
      </c>
      <c r="P697" s="10" t="s">
        <v>63</v>
      </c>
    </row>
    <row r="698" spans="1:16">
      <c r="A698" s="10" t="s">
        <v>1264</v>
      </c>
      <c r="B698" s="11">
        <v>46253</v>
      </c>
      <c r="C698" s="11">
        <v>46259</v>
      </c>
      <c r="D698" s="10" t="s">
        <v>239</v>
      </c>
      <c r="E698" s="10" t="s">
        <v>191</v>
      </c>
      <c r="F698" s="10" t="s">
        <v>43</v>
      </c>
      <c r="G698" s="10" t="s">
        <v>35</v>
      </c>
      <c r="H698" s="10" t="s">
        <v>36</v>
      </c>
      <c r="I698" s="10" t="s">
        <v>37</v>
      </c>
      <c r="J698" s="10" t="s">
        <v>38</v>
      </c>
      <c r="K698" s="10" t="s">
        <v>104</v>
      </c>
      <c r="L698" s="12">
        <v>2762.5</v>
      </c>
      <c r="M698" s="10">
        <v>5</v>
      </c>
      <c r="N698" s="13">
        <v>0.15</v>
      </c>
      <c r="O698" s="14">
        <v>542.52</v>
      </c>
      <c r="P698" s="10" t="s">
        <v>56</v>
      </c>
    </row>
    <row r="699" spans="1:16">
      <c r="A699" s="10" t="s">
        <v>1265</v>
      </c>
      <c r="B699" s="11">
        <v>46283</v>
      </c>
      <c r="C699" s="11">
        <v>46288</v>
      </c>
      <c r="D699" s="10" t="s">
        <v>343</v>
      </c>
      <c r="E699" s="10" t="s">
        <v>223</v>
      </c>
      <c r="F699" s="10" t="s">
        <v>29</v>
      </c>
      <c r="G699" s="10" t="s">
        <v>135</v>
      </c>
      <c r="H699" s="10" t="s">
        <v>21</v>
      </c>
      <c r="I699" s="10" t="s">
        <v>22</v>
      </c>
      <c r="J699" s="10" t="s">
        <v>30</v>
      </c>
      <c r="K699" s="10" t="s">
        <v>173</v>
      </c>
      <c r="L699" s="12">
        <v>816</v>
      </c>
      <c r="M699" s="10">
        <v>3</v>
      </c>
      <c r="N699" s="13">
        <v>0.15</v>
      </c>
      <c r="O699" s="14">
        <v>187.16</v>
      </c>
      <c r="P699" s="10" t="s">
        <v>69</v>
      </c>
    </row>
    <row r="700" spans="1:16">
      <c r="A700" s="10" t="s">
        <v>1266</v>
      </c>
      <c r="B700" s="11">
        <v>46019</v>
      </c>
      <c r="C700" s="11">
        <v>46024</v>
      </c>
      <c r="D700" s="10" t="s">
        <v>580</v>
      </c>
      <c r="E700" s="10" t="s">
        <v>530</v>
      </c>
      <c r="F700" s="10" t="s">
        <v>43</v>
      </c>
      <c r="G700" s="10" t="s">
        <v>81</v>
      </c>
      <c r="H700" s="10" t="s">
        <v>68</v>
      </c>
      <c r="I700" s="10" t="s">
        <v>22</v>
      </c>
      <c r="J700" s="10" t="s">
        <v>30</v>
      </c>
      <c r="K700" s="10" t="s">
        <v>173</v>
      </c>
      <c r="L700" s="12">
        <v>608</v>
      </c>
      <c r="M700" s="10">
        <v>2</v>
      </c>
      <c r="N700" s="13">
        <v>0.05</v>
      </c>
      <c r="O700" s="14">
        <v>219.5</v>
      </c>
      <c r="P700" s="10" t="s">
        <v>69</v>
      </c>
    </row>
    <row r="701" spans="1:16">
      <c r="A701" s="10" t="s">
        <v>1267</v>
      </c>
      <c r="B701" s="11">
        <v>46240</v>
      </c>
      <c r="C701" s="11">
        <v>46244</v>
      </c>
      <c r="D701" s="10" t="s">
        <v>715</v>
      </c>
      <c r="E701" s="10" t="s">
        <v>54</v>
      </c>
      <c r="F701" s="10" t="s">
        <v>19</v>
      </c>
      <c r="G701" s="10" t="s">
        <v>179</v>
      </c>
      <c r="H701" s="10" t="s">
        <v>21</v>
      </c>
      <c r="I701" s="10" t="s">
        <v>22</v>
      </c>
      <c r="J701" s="10" t="s">
        <v>23</v>
      </c>
      <c r="K701" s="10" t="s">
        <v>47</v>
      </c>
      <c r="L701" s="12">
        <v>13175</v>
      </c>
      <c r="M701" s="10">
        <v>5</v>
      </c>
      <c r="N701" s="13">
        <v>0.15</v>
      </c>
      <c r="O701" s="14">
        <v>3637.85</v>
      </c>
      <c r="P701" s="10" t="s">
        <v>25</v>
      </c>
    </row>
    <row r="702" spans="1:16">
      <c r="A702" s="10" t="s">
        <v>1268</v>
      </c>
      <c r="B702" s="11">
        <v>46074</v>
      </c>
      <c r="C702" s="11">
        <v>46076</v>
      </c>
      <c r="D702" s="10" t="s">
        <v>428</v>
      </c>
      <c r="E702" s="10" t="s">
        <v>366</v>
      </c>
      <c r="F702" s="10" t="s">
        <v>43</v>
      </c>
      <c r="G702" s="10" t="s">
        <v>151</v>
      </c>
      <c r="H702" s="10" t="s">
        <v>151</v>
      </c>
      <c r="I702" s="10" t="s">
        <v>75</v>
      </c>
      <c r="J702" s="10" t="s">
        <v>76</v>
      </c>
      <c r="K702" s="10" t="s">
        <v>206</v>
      </c>
      <c r="L702" s="12">
        <v>4400</v>
      </c>
      <c r="M702" s="10">
        <v>4</v>
      </c>
      <c r="N702" s="13">
        <v>0</v>
      </c>
      <c r="O702" s="14">
        <v>1609.58</v>
      </c>
      <c r="P702" s="10" t="s">
        <v>56</v>
      </c>
    </row>
    <row r="703" spans="1:16">
      <c r="A703" s="10" t="s">
        <v>1269</v>
      </c>
      <c r="B703" s="11">
        <v>46014</v>
      </c>
      <c r="C703" s="11">
        <v>46018</v>
      </c>
      <c r="D703" s="10" t="s">
        <v>639</v>
      </c>
      <c r="E703" s="10" t="s">
        <v>466</v>
      </c>
      <c r="F703" s="10" t="s">
        <v>43</v>
      </c>
      <c r="G703" s="10" t="s">
        <v>81</v>
      </c>
      <c r="H703" s="10" t="s">
        <v>68</v>
      </c>
      <c r="I703" s="10" t="s">
        <v>22</v>
      </c>
      <c r="J703" s="10" t="s">
        <v>38</v>
      </c>
      <c r="K703" s="10" t="s">
        <v>55</v>
      </c>
      <c r="L703" s="12">
        <v>495</v>
      </c>
      <c r="M703" s="10">
        <v>1</v>
      </c>
      <c r="N703" s="13">
        <v>0.1</v>
      </c>
      <c r="O703" s="14">
        <v>134.79</v>
      </c>
      <c r="P703" s="10" t="s">
        <v>25</v>
      </c>
    </row>
    <row r="704" spans="1:16">
      <c r="A704" s="10" t="s">
        <v>1270</v>
      </c>
      <c r="B704" s="11">
        <v>45407</v>
      </c>
      <c r="C704" s="11">
        <v>45414</v>
      </c>
      <c r="D704" s="10" t="s">
        <v>967</v>
      </c>
      <c r="E704" s="10" t="s">
        <v>793</v>
      </c>
      <c r="F704" s="10" t="s">
        <v>29</v>
      </c>
      <c r="G704" s="10" t="s">
        <v>60</v>
      </c>
      <c r="H704" s="10" t="s">
        <v>61</v>
      </c>
      <c r="I704" s="10" t="s">
        <v>37</v>
      </c>
      <c r="J704" s="10" t="s">
        <v>30</v>
      </c>
      <c r="K704" s="10" t="s">
        <v>261</v>
      </c>
      <c r="L704" s="12">
        <v>1080</v>
      </c>
      <c r="M704" s="10">
        <v>6</v>
      </c>
      <c r="N704" s="13">
        <v>0</v>
      </c>
      <c r="O704" s="14">
        <v>353.19</v>
      </c>
      <c r="P704" s="10" t="s">
        <v>63</v>
      </c>
    </row>
    <row r="705" spans="1:16">
      <c r="A705" s="10" t="s">
        <v>1271</v>
      </c>
      <c r="B705" s="11">
        <v>46134</v>
      </c>
      <c r="C705" s="11">
        <v>46137</v>
      </c>
      <c r="D705" s="10" t="s">
        <v>428</v>
      </c>
      <c r="E705" s="10" t="s">
        <v>973</v>
      </c>
      <c r="F705" s="10" t="s">
        <v>29</v>
      </c>
      <c r="G705" s="10" t="s">
        <v>224</v>
      </c>
      <c r="H705" s="10" t="s">
        <v>225</v>
      </c>
      <c r="I705" s="10" t="s">
        <v>75</v>
      </c>
      <c r="J705" s="10" t="s">
        <v>30</v>
      </c>
      <c r="K705" s="10" t="s">
        <v>93</v>
      </c>
      <c r="L705" s="12">
        <v>76.5</v>
      </c>
      <c r="M705" s="10">
        <v>1</v>
      </c>
      <c r="N705" s="13">
        <v>0.15</v>
      </c>
      <c r="O705" s="14">
        <v>12.1</v>
      </c>
      <c r="P705" s="10" t="s">
        <v>56</v>
      </c>
    </row>
    <row r="706" spans="1:16">
      <c r="A706" s="10" t="s">
        <v>1272</v>
      </c>
      <c r="B706" s="11">
        <v>46078</v>
      </c>
      <c r="C706" s="11">
        <v>46082</v>
      </c>
      <c r="D706" s="10" t="s">
        <v>1273</v>
      </c>
      <c r="E706" s="10" t="s">
        <v>986</v>
      </c>
      <c r="F706" s="10" t="s">
        <v>43</v>
      </c>
      <c r="G706" s="10" t="s">
        <v>167</v>
      </c>
      <c r="H706" s="10" t="s">
        <v>168</v>
      </c>
      <c r="I706" s="10" t="s">
        <v>37</v>
      </c>
      <c r="J706" s="10" t="s">
        <v>38</v>
      </c>
      <c r="K706" s="10" t="s">
        <v>169</v>
      </c>
      <c r="L706" s="12">
        <v>1377.5</v>
      </c>
      <c r="M706" s="10">
        <v>1</v>
      </c>
      <c r="N706" s="13">
        <v>0.05</v>
      </c>
      <c r="O706" s="14">
        <v>269.11</v>
      </c>
      <c r="P706" s="10" t="s">
        <v>63</v>
      </c>
    </row>
    <row r="707" spans="1:16">
      <c r="A707" s="10" t="s">
        <v>1274</v>
      </c>
      <c r="B707" s="11">
        <v>46243</v>
      </c>
      <c r="C707" s="11">
        <v>46244</v>
      </c>
      <c r="D707" s="10" t="s">
        <v>639</v>
      </c>
      <c r="E707" s="10" t="s">
        <v>209</v>
      </c>
      <c r="F707" s="10" t="s">
        <v>19</v>
      </c>
      <c r="G707" s="10" t="s">
        <v>44</v>
      </c>
      <c r="H707" s="10" t="s">
        <v>45</v>
      </c>
      <c r="I707" s="10" t="s">
        <v>46</v>
      </c>
      <c r="J707" s="10" t="s">
        <v>23</v>
      </c>
      <c r="K707" s="10" t="s">
        <v>24</v>
      </c>
      <c r="L707" s="12">
        <v>6500</v>
      </c>
      <c r="M707" s="10">
        <v>1</v>
      </c>
      <c r="N707" s="13">
        <v>0</v>
      </c>
      <c r="O707" s="14">
        <v>1692.21</v>
      </c>
      <c r="P707" s="10" t="s">
        <v>69</v>
      </c>
    </row>
    <row r="708" spans="1:16">
      <c r="A708" s="10" t="s">
        <v>1275</v>
      </c>
      <c r="B708" s="11">
        <v>45900</v>
      </c>
      <c r="C708" s="11">
        <v>45906</v>
      </c>
      <c r="D708" s="10" t="s">
        <v>1095</v>
      </c>
      <c r="E708" s="10" t="s">
        <v>887</v>
      </c>
      <c r="F708" s="10" t="s">
        <v>29</v>
      </c>
      <c r="G708" s="10" t="s">
        <v>135</v>
      </c>
      <c r="H708" s="10" t="s">
        <v>21</v>
      </c>
      <c r="I708" s="10" t="s">
        <v>22</v>
      </c>
      <c r="J708" s="10" t="s">
        <v>23</v>
      </c>
      <c r="K708" s="10" t="s">
        <v>120</v>
      </c>
      <c r="L708" s="12">
        <v>31920</v>
      </c>
      <c r="M708" s="10">
        <v>8</v>
      </c>
      <c r="N708" s="13">
        <v>0.05</v>
      </c>
      <c r="O708" s="14">
        <v>4027.39</v>
      </c>
      <c r="P708" s="10" t="s">
        <v>48</v>
      </c>
    </row>
    <row r="709" spans="1:16">
      <c r="A709" s="10" t="s">
        <v>1276</v>
      </c>
      <c r="B709" s="11">
        <v>46112</v>
      </c>
      <c r="C709" s="11">
        <v>46118</v>
      </c>
      <c r="D709" s="10" t="s">
        <v>319</v>
      </c>
      <c r="E709" s="10" t="s">
        <v>680</v>
      </c>
      <c r="F709" s="10" t="s">
        <v>43</v>
      </c>
      <c r="G709" s="10" t="s">
        <v>179</v>
      </c>
      <c r="H709" s="10" t="s">
        <v>21</v>
      </c>
      <c r="I709" s="10" t="s">
        <v>22</v>
      </c>
      <c r="J709" s="10" t="s">
        <v>23</v>
      </c>
      <c r="K709" s="10" t="s">
        <v>120</v>
      </c>
      <c r="L709" s="12">
        <v>7140</v>
      </c>
      <c r="M709" s="10">
        <v>2</v>
      </c>
      <c r="N709" s="13">
        <v>0.15</v>
      </c>
      <c r="O709" s="14">
        <v>785.44</v>
      </c>
      <c r="P709" s="10" t="s">
        <v>56</v>
      </c>
    </row>
    <row r="710" spans="1:16">
      <c r="A710" s="10" t="s">
        <v>1277</v>
      </c>
      <c r="B710" s="11">
        <v>45537</v>
      </c>
      <c r="C710" s="11">
        <v>45544</v>
      </c>
      <c r="D710" s="10" t="s">
        <v>439</v>
      </c>
      <c r="E710" s="10" t="s">
        <v>500</v>
      </c>
      <c r="F710" s="10" t="s">
        <v>19</v>
      </c>
      <c r="G710" s="10" t="s">
        <v>44</v>
      </c>
      <c r="H710" s="10" t="s">
        <v>45</v>
      </c>
      <c r="I710" s="10" t="s">
        <v>46</v>
      </c>
      <c r="J710" s="10" t="s">
        <v>76</v>
      </c>
      <c r="K710" s="10" t="s">
        <v>206</v>
      </c>
      <c r="L710" s="12">
        <v>1100</v>
      </c>
      <c r="M710" s="10">
        <v>1</v>
      </c>
      <c r="N710" s="13">
        <v>0</v>
      </c>
      <c r="O710" s="14">
        <v>371.4</v>
      </c>
      <c r="P710" s="10" t="s">
        <v>56</v>
      </c>
    </row>
    <row r="711" spans="1:16">
      <c r="A711" s="10" t="s">
        <v>1278</v>
      </c>
      <c r="B711" s="11">
        <v>45415</v>
      </c>
      <c r="C711" s="11">
        <v>45418</v>
      </c>
      <c r="D711" s="10" t="s">
        <v>431</v>
      </c>
      <c r="E711" s="10" t="s">
        <v>364</v>
      </c>
      <c r="F711" s="10" t="s">
        <v>29</v>
      </c>
      <c r="G711" s="10" t="s">
        <v>73</v>
      </c>
      <c r="H711" s="10" t="s">
        <v>74</v>
      </c>
      <c r="I711" s="10" t="s">
        <v>75</v>
      </c>
      <c r="J711" s="10" t="s">
        <v>76</v>
      </c>
      <c r="K711" s="10" t="s">
        <v>229</v>
      </c>
      <c r="L711" s="12">
        <v>5415</v>
      </c>
      <c r="M711" s="10">
        <v>3</v>
      </c>
      <c r="N711" s="13">
        <v>0.05</v>
      </c>
      <c r="O711" s="14">
        <v>1080.0999999999999</v>
      </c>
      <c r="P711" s="10" t="s">
        <v>25</v>
      </c>
    </row>
    <row r="712" spans="1:16">
      <c r="A712" s="10" t="s">
        <v>1279</v>
      </c>
      <c r="B712" s="11">
        <v>45748</v>
      </c>
      <c r="C712" s="11">
        <v>45752</v>
      </c>
      <c r="D712" s="10" t="s">
        <v>171</v>
      </c>
      <c r="E712" s="10" t="s">
        <v>477</v>
      </c>
      <c r="F712" s="10" t="s">
        <v>29</v>
      </c>
      <c r="G712" s="10" t="s">
        <v>73</v>
      </c>
      <c r="H712" s="10" t="s">
        <v>74</v>
      </c>
      <c r="I712" s="10" t="s">
        <v>75</v>
      </c>
      <c r="J712" s="10" t="s">
        <v>23</v>
      </c>
      <c r="K712" s="10" t="s">
        <v>47</v>
      </c>
      <c r="L712" s="12">
        <v>21700</v>
      </c>
      <c r="M712" s="10">
        <v>7</v>
      </c>
      <c r="N712" s="13">
        <v>0</v>
      </c>
      <c r="O712" s="14">
        <v>3977.88</v>
      </c>
      <c r="P712" s="10" t="s">
        <v>25</v>
      </c>
    </row>
    <row r="713" spans="1:16">
      <c r="A713" s="10" t="s">
        <v>1280</v>
      </c>
      <c r="B713" s="11">
        <v>45937</v>
      </c>
      <c r="C713" s="11">
        <v>45941</v>
      </c>
      <c r="D713" s="10" t="s">
        <v>961</v>
      </c>
      <c r="E713" s="10" t="s">
        <v>280</v>
      </c>
      <c r="F713" s="10" t="s">
        <v>43</v>
      </c>
      <c r="G713" s="10" t="s">
        <v>20</v>
      </c>
      <c r="H713" s="10" t="s">
        <v>21</v>
      </c>
      <c r="I713" s="10" t="s">
        <v>22</v>
      </c>
      <c r="J713" s="10" t="s">
        <v>38</v>
      </c>
      <c r="K713" s="10" t="s">
        <v>62</v>
      </c>
      <c r="L713" s="12">
        <v>45900</v>
      </c>
      <c r="M713" s="10">
        <v>6</v>
      </c>
      <c r="N713" s="13">
        <v>0.1</v>
      </c>
      <c r="O713" s="14">
        <v>8680.86</v>
      </c>
      <c r="P713" s="10" t="s">
        <v>63</v>
      </c>
    </row>
    <row r="714" spans="1:16">
      <c r="A714" s="10" t="s">
        <v>1281</v>
      </c>
      <c r="B714" s="11">
        <v>45936</v>
      </c>
      <c r="C714" s="11">
        <v>45942</v>
      </c>
      <c r="D714" s="10" t="s">
        <v>204</v>
      </c>
      <c r="E714" s="10" t="s">
        <v>1106</v>
      </c>
      <c r="F714" s="10" t="s">
        <v>29</v>
      </c>
      <c r="G714" s="10" t="s">
        <v>151</v>
      </c>
      <c r="H714" s="10" t="s">
        <v>151</v>
      </c>
      <c r="I714" s="10" t="s">
        <v>75</v>
      </c>
      <c r="J714" s="10" t="s">
        <v>38</v>
      </c>
      <c r="K714" s="10" t="s">
        <v>169</v>
      </c>
      <c r="L714" s="12">
        <v>10440</v>
      </c>
      <c r="M714" s="10">
        <v>8</v>
      </c>
      <c r="N714" s="13">
        <v>0.1</v>
      </c>
      <c r="O714" s="14">
        <v>3595.67</v>
      </c>
      <c r="P714" s="10" t="s">
        <v>56</v>
      </c>
    </row>
    <row r="715" spans="1:16">
      <c r="A715" s="10" t="s">
        <v>1282</v>
      </c>
      <c r="B715" s="11">
        <v>45992</v>
      </c>
      <c r="C715" s="11">
        <v>45995</v>
      </c>
      <c r="D715" s="10" t="s">
        <v>1283</v>
      </c>
      <c r="E715" s="10" t="s">
        <v>1241</v>
      </c>
      <c r="F715" s="10" t="s">
        <v>29</v>
      </c>
      <c r="G715" s="10" t="s">
        <v>44</v>
      </c>
      <c r="H715" s="10" t="s">
        <v>45</v>
      </c>
      <c r="I715" s="10" t="s">
        <v>46</v>
      </c>
      <c r="J715" s="10" t="s">
        <v>30</v>
      </c>
      <c r="K715" s="10" t="s">
        <v>93</v>
      </c>
      <c r="L715" s="12">
        <v>598.5</v>
      </c>
      <c r="M715" s="10">
        <v>7</v>
      </c>
      <c r="N715" s="13">
        <v>0.05</v>
      </c>
      <c r="O715" s="14">
        <v>134.47</v>
      </c>
      <c r="P715" s="10" t="s">
        <v>63</v>
      </c>
    </row>
    <row r="716" spans="1:16">
      <c r="A716" s="10" t="s">
        <v>1284</v>
      </c>
      <c r="B716" s="11">
        <v>45402</v>
      </c>
      <c r="C716" s="11">
        <v>45407</v>
      </c>
      <c r="D716" s="10" t="s">
        <v>465</v>
      </c>
      <c r="E716" s="10" t="s">
        <v>1003</v>
      </c>
      <c r="F716" s="10" t="s">
        <v>43</v>
      </c>
      <c r="G716" s="10" t="s">
        <v>81</v>
      </c>
      <c r="H716" s="10" t="s">
        <v>68</v>
      </c>
      <c r="I716" s="10" t="s">
        <v>22</v>
      </c>
      <c r="J716" s="10" t="s">
        <v>76</v>
      </c>
      <c r="K716" s="10" t="s">
        <v>206</v>
      </c>
      <c r="L716" s="12">
        <v>7040</v>
      </c>
      <c r="M716" s="10">
        <v>8</v>
      </c>
      <c r="N716" s="13">
        <v>0.2</v>
      </c>
      <c r="O716" s="14">
        <v>1145.54</v>
      </c>
      <c r="P716" s="10" t="s">
        <v>63</v>
      </c>
    </row>
    <row r="717" spans="1:16">
      <c r="A717" s="10" t="s">
        <v>1285</v>
      </c>
      <c r="B717" s="11">
        <v>45375</v>
      </c>
      <c r="C717" s="11">
        <v>45382</v>
      </c>
      <c r="D717" s="10" t="s">
        <v>1286</v>
      </c>
      <c r="E717" s="10" t="s">
        <v>1287</v>
      </c>
      <c r="F717" s="10" t="s">
        <v>29</v>
      </c>
      <c r="G717" s="10" t="s">
        <v>151</v>
      </c>
      <c r="H717" s="10" t="s">
        <v>151</v>
      </c>
      <c r="I717" s="10" t="s">
        <v>75</v>
      </c>
      <c r="J717" s="10" t="s">
        <v>38</v>
      </c>
      <c r="K717" s="10" t="s">
        <v>104</v>
      </c>
      <c r="L717" s="12">
        <v>5200</v>
      </c>
      <c r="M717" s="10">
        <v>8</v>
      </c>
      <c r="N717" s="13">
        <v>0</v>
      </c>
      <c r="O717" s="14">
        <v>913.09</v>
      </c>
      <c r="P717" s="10" t="s">
        <v>25</v>
      </c>
    </row>
    <row r="718" spans="1:16">
      <c r="A718" s="10" t="s">
        <v>1288</v>
      </c>
      <c r="B718" s="11">
        <v>46189</v>
      </c>
      <c r="C718" s="11">
        <v>46195</v>
      </c>
      <c r="D718" s="10" t="s">
        <v>1289</v>
      </c>
      <c r="E718" s="10" t="s">
        <v>1003</v>
      </c>
      <c r="F718" s="10" t="s">
        <v>29</v>
      </c>
      <c r="G718" s="10" t="s">
        <v>179</v>
      </c>
      <c r="H718" s="10" t="s">
        <v>21</v>
      </c>
      <c r="I718" s="10" t="s">
        <v>22</v>
      </c>
      <c r="J718" s="10" t="s">
        <v>23</v>
      </c>
      <c r="K718" s="10" t="s">
        <v>47</v>
      </c>
      <c r="L718" s="12">
        <v>19840</v>
      </c>
      <c r="M718" s="10">
        <v>8</v>
      </c>
      <c r="N718" s="13">
        <v>0.2</v>
      </c>
      <c r="O718" s="14">
        <v>4622.99</v>
      </c>
      <c r="P718" s="10" t="s">
        <v>56</v>
      </c>
    </row>
    <row r="719" spans="1:16">
      <c r="A719" s="10" t="s">
        <v>1290</v>
      </c>
      <c r="B719" s="11">
        <v>45481</v>
      </c>
      <c r="C719" s="11">
        <v>45482</v>
      </c>
      <c r="D719" s="10" t="s">
        <v>702</v>
      </c>
      <c r="E719" s="10" t="s">
        <v>653</v>
      </c>
      <c r="F719" s="10" t="s">
        <v>29</v>
      </c>
      <c r="G719" s="10" t="s">
        <v>60</v>
      </c>
      <c r="H719" s="10" t="s">
        <v>61</v>
      </c>
      <c r="I719" s="10" t="s">
        <v>37</v>
      </c>
      <c r="J719" s="10" t="s">
        <v>23</v>
      </c>
      <c r="K719" s="10" t="s">
        <v>120</v>
      </c>
      <c r="L719" s="12">
        <v>24990</v>
      </c>
      <c r="M719" s="10">
        <v>7</v>
      </c>
      <c r="N719" s="13">
        <v>0.15</v>
      </c>
      <c r="O719" s="14">
        <v>8817.52</v>
      </c>
      <c r="P719" s="10" t="s">
        <v>25</v>
      </c>
    </row>
    <row r="720" spans="1:16">
      <c r="A720" s="10" t="s">
        <v>1291</v>
      </c>
      <c r="B720" s="11">
        <v>45763</v>
      </c>
      <c r="C720" s="11">
        <v>45769</v>
      </c>
      <c r="D720" s="10" t="s">
        <v>282</v>
      </c>
      <c r="E720" s="10" t="s">
        <v>592</v>
      </c>
      <c r="F720" s="10" t="s">
        <v>43</v>
      </c>
      <c r="G720" s="10" t="s">
        <v>81</v>
      </c>
      <c r="H720" s="10" t="s">
        <v>68</v>
      </c>
      <c r="I720" s="10" t="s">
        <v>22</v>
      </c>
      <c r="J720" s="10" t="s">
        <v>76</v>
      </c>
      <c r="K720" s="10" t="s">
        <v>229</v>
      </c>
      <c r="L720" s="12">
        <v>9120</v>
      </c>
      <c r="M720" s="10">
        <v>6</v>
      </c>
      <c r="N720" s="13">
        <v>0.2</v>
      </c>
      <c r="O720" s="14">
        <v>1594.28</v>
      </c>
      <c r="P720" s="10" t="s">
        <v>48</v>
      </c>
    </row>
    <row r="721" spans="1:16">
      <c r="A721" s="10" t="s">
        <v>1292</v>
      </c>
      <c r="B721" s="11">
        <v>45420</v>
      </c>
      <c r="C721" s="11">
        <v>45422</v>
      </c>
      <c r="D721" s="10" t="s">
        <v>360</v>
      </c>
      <c r="E721" s="10" t="s">
        <v>617</v>
      </c>
      <c r="F721" s="10" t="s">
        <v>43</v>
      </c>
      <c r="G721" s="10" t="s">
        <v>135</v>
      </c>
      <c r="H721" s="10" t="s">
        <v>21</v>
      </c>
      <c r="I721" s="10" t="s">
        <v>22</v>
      </c>
      <c r="J721" s="10" t="s">
        <v>30</v>
      </c>
      <c r="K721" s="10" t="s">
        <v>261</v>
      </c>
      <c r="L721" s="12">
        <v>144</v>
      </c>
      <c r="M721" s="10">
        <v>1</v>
      </c>
      <c r="N721" s="13">
        <v>0.2</v>
      </c>
      <c r="O721" s="14">
        <v>14.06</v>
      </c>
      <c r="P721" s="10" t="s">
        <v>56</v>
      </c>
    </row>
    <row r="722" spans="1:16">
      <c r="A722" s="10" t="s">
        <v>1293</v>
      </c>
      <c r="B722" s="11">
        <v>45957</v>
      </c>
      <c r="C722" s="11">
        <v>45959</v>
      </c>
      <c r="D722" s="10" t="s">
        <v>948</v>
      </c>
      <c r="E722" s="10" t="s">
        <v>123</v>
      </c>
      <c r="F722" s="10" t="s">
        <v>29</v>
      </c>
      <c r="G722" s="10" t="s">
        <v>81</v>
      </c>
      <c r="H722" s="10" t="s">
        <v>68</v>
      </c>
      <c r="I722" s="10" t="s">
        <v>22</v>
      </c>
      <c r="J722" s="10" t="s">
        <v>30</v>
      </c>
      <c r="K722" s="10" t="s">
        <v>261</v>
      </c>
      <c r="L722" s="12">
        <v>810</v>
      </c>
      <c r="M722" s="10">
        <v>5</v>
      </c>
      <c r="N722" s="13">
        <v>0.1</v>
      </c>
      <c r="O722" s="14">
        <v>264.45</v>
      </c>
      <c r="P722" s="10" t="s">
        <v>56</v>
      </c>
    </row>
    <row r="723" spans="1:16">
      <c r="A723" s="10" t="s">
        <v>1294</v>
      </c>
      <c r="B723" s="11">
        <v>46048</v>
      </c>
      <c r="C723" s="11">
        <v>46054</v>
      </c>
      <c r="D723" s="10" t="s">
        <v>635</v>
      </c>
      <c r="E723" s="10" t="s">
        <v>237</v>
      </c>
      <c r="F723" s="10" t="s">
        <v>43</v>
      </c>
      <c r="G723" s="10" t="s">
        <v>73</v>
      </c>
      <c r="H723" s="10" t="s">
        <v>74</v>
      </c>
      <c r="I723" s="10" t="s">
        <v>75</v>
      </c>
      <c r="J723" s="10" t="s">
        <v>76</v>
      </c>
      <c r="K723" s="10" t="s">
        <v>77</v>
      </c>
      <c r="L723" s="12">
        <v>1440</v>
      </c>
      <c r="M723" s="10">
        <v>1</v>
      </c>
      <c r="N723" s="13">
        <v>0.1</v>
      </c>
      <c r="O723" s="14">
        <v>306.49</v>
      </c>
      <c r="P723" s="10" t="s">
        <v>48</v>
      </c>
    </row>
    <row r="724" spans="1:16">
      <c r="A724" s="10" t="s">
        <v>1295</v>
      </c>
      <c r="B724" s="11">
        <v>45633</v>
      </c>
      <c r="C724" s="11">
        <v>45634</v>
      </c>
      <c r="D724" s="10" t="s">
        <v>1095</v>
      </c>
      <c r="E724" s="10" t="s">
        <v>495</v>
      </c>
      <c r="F724" s="10" t="s">
        <v>29</v>
      </c>
      <c r="G724" s="10" t="s">
        <v>20</v>
      </c>
      <c r="H724" s="10" t="s">
        <v>21</v>
      </c>
      <c r="I724" s="10" t="s">
        <v>22</v>
      </c>
      <c r="J724" s="10" t="s">
        <v>76</v>
      </c>
      <c r="K724" s="10" t="s">
        <v>77</v>
      </c>
      <c r="L724" s="12">
        <v>10240</v>
      </c>
      <c r="M724" s="10">
        <v>8</v>
      </c>
      <c r="N724" s="13">
        <v>0.2</v>
      </c>
      <c r="O724" s="14">
        <v>2043.37</v>
      </c>
      <c r="P724" s="10" t="s">
        <v>25</v>
      </c>
    </row>
    <row r="725" spans="1:16">
      <c r="A725" s="10" t="s">
        <v>1296</v>
      </c>
      <c r="B725" s="11">
        <v>45701</v>
      </c>
      <c r="C725" s="11">
        <v>45705</v>
      </c>
      <c r="D725" s="10" t="s">
        <v>713</v>
      </c>
      <c r="E725" s="10" t="s">
        <v>871</v>
      </c>
      <c r="F725" s="10" t="s">
        <v>29</v>
      </c>
      <c r="G725" s="10" t="s">
        <v>151</v>
      </c>
      <c r="H725" s="10" t="s">
        <v>151</v>
      </c>
      <c r="I725" s="10" t="s">
        <v>75</v>
      </c>
      <c r="J725" s="10" t="s">
        <v>76</v>
      </c>
      <c r="K725" s="10" t="s">
        <v>131</v>
      </c>
      <c r="L725" s="12">
        <v>297.5</v>
      </c>
      <c r="M725" s="10">
        <v>1</v>
      </c>
      <c r="N725" s="13">
        <v>0.15</v>
      </c>
      <c r="O725" s="14">
        <v>104.89</v>
      </c>
      <c r="P725" s="10" t="s">
        <v>69</v>
      </c>
    </row>
    <row r="726" spans="1:16">
      <c r="A726" s="10" t="s">
        <v>1297</v>
      </c>
      <c r="B726" s="11">
        <v>46206</v>
      </c>
      <c r="C726" s="11">
        <v>46212</v>
      </c>
      <c r="D726" s="10" t="s">
        <v>582</v>
      </c>
      <c r="E726" s="10" t="s">
        <v>1298</v>
      </c>
      <c r="F726" s="10" t="s">
        <v>43</v>
      </c>
      <c r="G726" s="10" t="s">
        <v>81</v>
      </c>
      <c r="H726" s="10" t="s">
        <v>68</v>
      </c>
      <c r="I726" s="10" t="s">
        <v>22</v>
      </c>
      <c r="J726" s="10" t="s">
        <v>76</v>
      </c>
      <c r="K726" s="10" t="s">
        <v>206</v>
      </c>
      <c r="L726" s="12">
        <v>7480</v>
      </c>
      <c r="M726" s="10">
        <v>8</v>
      </c>
      <c r="N726" s="13">
        <v>0.15</v>
      </c>
      <c r="O726" s="14">
        <v>848</v>
      </c>
      <c r="P726" s="10" t="s">
        <v>48</v>
      </c>
    </row>
    <row r="727" spans="1:16">
      <c r="A727" s="10" t="s">
        <v>1299</v>
      </c>
      <c r="B727" s="11">
        <v>45457</v>
      </c>
      <c r="C727" s="11">
        <v>45460</v>
      </c>
      <c r="D727" s="10" t="s">
        <v>255</v>
      </c>
      <c r="E727" s="10" t="s">
        <v>1300</v>
      </c>
      <c r="F727" s="10" t="s">
        <v>19</v>
      </c>
      <c r="G727" s="10" t="s">
        <v>60</v>
      </c>
      <c r="H727" s="10" t="s">
        <v>61</v>
      </c>
      <c r="I727" s="10" t="s">
        <v>37</v>
      </c>
      <c r="J727" s="10" t="s">
        <v>30</v>
      </c>
      <c r="K727" s="10" t="s">
        <v>127</v>
      </c>
      <c r="L727" s="12">
        <v>810</v>
      </c>
      <c r="M727" s="10">
        <v>6</v>
      </c>
      <c r="N727" s="13">
        <v>0.1</v>
      </c>
      <c r="O727" s="14">
        <v>246.77</v>
      </c>
      <c r="P727" s="10" t="s">
        <v>69</v>
      </c>
    </row>
    <row r="728" spans="1:16">
      <c r="A728" s="10" t="s">
        <v>1301</v>
      </c>
      <c r="B728" s="11">
        <v>46235</v>
      </c>
      <c r="C728" s="11">
        <v>46240</v>
      </c>
      <c r="D728" s="10" t="s">
        <v>231</v>
      </c>
      <c r="E728" s="10" t="s">
        <v>243</v>
      </c>
      <c r="F728" s="10" t="s">
        <v>19</v>
      </c>
      <c r="G728" s="10" t="s">
        <v>44</v>
      </c>
      <c r="H728" s="10" t="s">
        <v>45</v>
      </c>
      <c r="I728" s="10" t="s">
        <v>46</v>
      </c>
      <c r="J728" s="10" t="s">
        <v>76</v>
      </c>
      <c r="K728" s="10" t="s">
        <v>131</v>
      </c>
      <c r="L728" s="12">
        <v>1400</v>
      </c>
      <c r="M728" s="10">
        <v>5</v>
      </c>
      <c r="N728" s="13">
        <v>0.2</v>
      </c>
      <c r="O728" s="14">
        <v>231.06</v>
      </c>
      <c r="P728" s="10" t="s">
        <v>69</v>
      </c>
    </row>
    <row r="729" spans="1:16">
      <c r="A729" s="10" t="s">
        <v>1302</v>
      </c>
      <c r="B729" s="11">
        <v>46107</v>
      </c>
      <c r="C729" s="11">
        <v>46111</v>
      </c>
      <c r="D729" s="10" t="s">
        <v>690</v>
      </c>
      <c r="E729" s="10" t="s">
        <v>911</v>
      </c>
      <c r="F729" s="10" t="s">
        <v>29</v>
      </c>
      <c r="G729" s="10" t="s">
        <v>35</v>
      </c>
      <c r="H729" s="10" t="s">
        <v>36</v>
      </c>
      <c r="I729" s="10" t="s">
        <v>37</v>
      </c>
      <c r="J729" s="10" t="s">
        <v>30</v>
      </c>
      <c r="K729" s="10" t="s">
        <v>93</v>
      </c>
      <c r="L729" s="12">
        <v>342</v>
      </c>
      <c r="M729" s="10">
        <v>4</v>
      </c>
      <c r="N729" s="13">
        <v>0.05</v>
      </c>
      <c r="O729" s="14">
        <v>65.98</v>
      </c>
      <c r="P729" s="10" t="s">
        <v>56</v>
      </c>
    </row>
    <row r="730" spans="1:16">
      <c r="A730" s="10" t="s">
        <v>1303</v>
      </c>
      <c r="B730" s="11">
        <v>45452</v>
      </c>
      <c r="C730" s="11">
        <v>45457</v>
      </c>
      <c r="D730" s="10" t="s">
        <v>925</v>
      </c>
      <c r="E730" s="10" t="s">
        <v>829</v>
      </c>
      <c r="F730" s="10" t="s">
        <v>43</v>
      </c>
      <c r="G730" s="10" t="s">
        <v>73</v>
      </c>
      <c r="H730" s="10" t="s">
        <v>74</v>
      </c>
      <c r="I730" s="10" t="s">
        <v>75</v>
      </c>
      <c r="J730" s="10" t="s">
        <v>38</v>
      </c>
      <c r="K730" s="10" t="s">
        <v>55</v>
      </c>
      <c r="L730" s="12">
        <v>4180</v>
      </c>
      <c r="M730" s="10">
        <v>8</v>
      </c>
      <c r="N730" s="13">
        <v>0.05</v>
      </c>
      <c r="O730" s="14">
        <v>1301.96</v>
      </c>
      <c r="P730" s="10" t="s">
        <v>69</v>
      </c>
    </row>
    <row r="731" spans="1:16">
      <c r="A731" s="10" t="s">
        <v>1304</v>
      </c>
      <c r="B731" s="11">
        <v>45657</v>
      </c>
      <c r="C731" s="11">
        <v>45663</v>
      </c>
      <c r="D731" s="10" t="s">
        <v>1305</v>
      </c>
      <c r="E731" s="10" t="s">
        <v>760</v>
      </c>
      <c r="F731" s="10" t="s">
        <v>29</v>
      </c>
      <c r="G731" s="10" t="s">
        <v>97</v>
      </c>
      <c r="H731" s="10" t="s">
        <v>21</v>
      </c>
      <c r="I731" s="10" t="s">
        <v>22</v>
      </c>
      <c r="J731" s="10" t="s">
        <v>30</v>
      </c>
      <c r="K731" s="10" t="s">
        <v>93</v>
      </c>
      <c r="L731" s="12">
        <v>90</v>
      </c>
      <c r="M731" s="10">
        <v>1</v>
      </c>
      <c r="N731" s="13">
        <v>0</v>
      </c>
      <c r="O731" s="14">
        <v>26.3</v>
      </c>
      <c r="P731" s="10" t="s">
        <v>63</v>
      </c>
    </row>
    <row r="732" spans="1:16">
      <c r="A732" s="10" t="s">
        <v>1306</v>
      </c>
      <c r="B732" s="11">
        <v>45521</v>
      </c>
      <c r="C732" s="11">
        <v>45525</v>
      </c>
      <c r="D732" s="10" t="s">
        <v>1139</v>
      </c>
      <c r="E732" s="10" t="s">
        <v>92</v>
      </c>
      <c r="F732" s="10" t="s">
        <v>19</v>
      </c>
      <c r="G732" s="10" t="s">
        <v>179</v>
      </c>
      <c r="H732" s="10" t="s">
        <v>21</v>
      </c>
      <c r="I732" s="10" t="s">
        <v>22</v>
      </c>
      <c r="J732" s="10" t="s">
        <v>23</v>
      </c>
      <c r="K732" s="10" t="s">
        <v>89</v>
      </c>
      <c r="L732" s="12">
        <v>2380</v>
      </c>
      <c r="M732" s="10">
        <v>1</v>
      </c>
      <c r="N732" s="13">
        <v>0.15</v>
      </c>
      <c r="O732" s="14">
        <v>685.33</v>
      </c>
      <c r="P732" s="10" t="s">
        <v>48</v>
      </c>
    </row>
    <row r="733" spans="1:16">
      <c r="A733" s="10" t="s">
        <v>1307</v>
      </c>
      <c r="B733" s="11">
        <v>46015</v>
      </c>
      <c r="C733" s="11">
        <v>46016</v>
      </c>
      <c r="D733" s="10" t="s">
        <v>1054</v>
      </c>
      <c r="E733" s="10" t="s">
        <v>290</v>
      </c>
      <c r="F733" s="10" t="s">
        <v>19</v>
      </c>
      <c r="G733" s="10" t="s">
        <v>101</v>
      </c>
      <c r="H733" s="10" t="s">
        <v>102</v>
      </c>
      <c r="I733" s="10" t="s">
        <v>103</v>
      </c>
      <c r="J733" s="10" t="s">
        <v>76</v>
      </c>
      <c r="K733" s="10" t="s">
        <v>77</v>
      </c>
      <c r="L733" s="12">
        <v>3200</v>
      </c>
      <c r="M733" s="10">
        <v>2</v>
      </c>
      <c r="N733" s="13">
        <v>0</v>
      </c>
      <c r="O733" s="14">
        <v>565.66999999999996</v>
      </c>
      <c r="P733" s="10" t="s">
        <v>48</v>
      </c>
    </row>
    <row r="734" spans="1:16">
      <c r="A734" s="10" t="s">
        <v>1308</v>
      </c>
      <c r="B734" s="11">
        <v>45811</v>
      </c>
      <c r="C734" s="11">
        <v>45812</v>
      </c>
      <c r="D734" s="10" t="s">
        <v>639</v>
      </c>
      <c r="E734" s="10" t="s">
        <v>786</v>
      </c>
      <c r="F734" s="10" t="s">
        <v>19</v>
      </c>
      <c r="G734" s="10" t="s">
        <v>97</v>
      </c>
      <c r="H734" s="10" t="s">
        <v>21</v>
      </c>
      <c r="I734" s="10" t="s">
        <v>22</v>
      </c>
      <c r="J734" s="10" t="s">
        <v>38</v>
      </c>
      <c r="K734" s="10" t="s">
        <v>39</v>
      </c>
      <c r="L734" s="12">
        <v>5700</v>
      </c>
      <c r="M734" s="10">
        <v>6</v>
      </c>
      <c r="N734" s="13">
        <v>0</v>
      </c>
      <c r="O734" s="14">
        <v>1086.5899999999999</v>
      </c>
      <c r="P734" s="10" t="s">
        <v>25</v>
      </c>
    </row>
    <row r="735" spans="1:16">
      <c r="A735" s="10" t="s">
        <v>1309</v>
      </c>
      <c r="B735" s="11">
        <v>46042</v>
      </c>
      <c r="C735" s="11">
        <v>46049</v>
      </c>
      <c r="D735" s="10" t="s">
        <v>635</v>
      </c>
      <c r="E735" s="10" t="s">
        <v>59</v>
      </c>
      <c r="F735" s="10" t="s">
        <v>29</v>
      </c>
      <c r="G735" s="10" t="s">
        <v>20</v>
      </c>
      <c r="H735" s="10" t="s">
        <v>21</v>
      </c>
      <c r="I735" s="10" t="s">
        <v>22</v>
      </c>
      <c r="J735" s="10" t="s">
        <v>30</v>
      </c>
      <c r="K735" s="10" t="s">
        <v>173</v>
      </c>
      <c r="L735" s="12">
        <v>1920</v>
      </c>
      <c r="M735" s="10">
        <v>6</v>
      </c>
      <c r="N735" s="13">
        <v>0</v>
      </c>
      <c r="O735" s="14">
        <v>668.21</v>
      </c>
      <c r="P735" s="10" t="s">
        <v>56</v>
      </c>
    </row>
    <row r="736" spans="1:16">
      <c r="A736" s="10" t="s">
        <v>1310</v>
      </c>
      <c r="B736" s="11">
        <v>46146</v>
      </c>
      <c r="C736" s="11">
        <v>46153</v>
      </c>
      <c r="D736" s="10" t="s">
        <v>546</v>
      </c>
      <c r="E736" s="10" t="s">
        <v>1223</v>
      </c>
      <c r="F736" s="10" t="s">
        <v>19</v>
      </c>
      <c r="G736" s="10" t="s">
        <v>73</v>
      </c>
      <c r="H736" s="10" t="s">
        <v>74</v>
      </c>
      <c r="I736" s="10" t="s">
        <v>75</v>
      </c>
      <c r="J736" s="10" t="s">
        <v>23</v>
      </c>
      <c r="K736" s="10" t="s">
        <v>89</v>
      </c>
      <c r="L736" s="12">
        <v>8400</v>
      </c>
      <c r="M736" s="10">
        <v>3</v>
      </c>
      <c r="N736" s="13">
        <v>0</v>
      </c>
      <c r="O736" s="14">
        <v>2611.02</v>
      </c>
      <c r="P736" s="10" t="s">
        <v>56</v>
      </c>
    </row>
    <row r="737" spans="1:16">
      <c r="A737" s="10" t="s">
        <v>1311</v>
      </c>
      <c r="B737" s="11">
        <v>45447</v>
      </c>
      <c r="C737" s="11">
        <v>45454</v>
      </c>
      <c r="D737" s="10" t="s">
        <v>349</v>
      </c>
      <c r="E737" s="10" t="s">
        <v>1312</v>
      </c>
      <c r="F737" s="10" t="s">
        <v>19</v>
      </c>
      <c r="G737" s="10" t="s">
        <v>35</v>
      </c>
      <c r="H737" s="10" t="s">
        <v>36</v>
      </c>
      <c r="I737" s="10" t="s">
        <v>37</v>
      </c>
      <c r="J737" s="10" t="s">
        <v>76</v>
      </c>
      <c r="K737" s="10" t="s">
        <v>131</v>
      </c>
      <c r="L737" s="12">
        <v>945</v>
      </c>
      <c r="M737" s="10">
        <v>3</v>
      </c>
      <c r="N737" s="13">
        <v>0.1</v>
      </c>
      <c r="O737" s="14">
        <v>243.35</v>
      </c>
      <c r="P737" s="10" t="s">
        <v>69</v>
      </c>
    </row>
    <row r="738" spans="1:16">
      <c r="A738" s="10" t="s">
        <v>1313</v>
      </c>
      <c r="B738" s="11">
        <v>46258</v>
      </c>
      <c r="C738" s="11">
        <v>46259</v>
      </c>
      <c r="D738" s="10" t="s">
        <v>1314</v>
      </c>
      <c r="E738" s="10" t="s">
        <v>1315</v>
      </c>
      <c r="F738" s="10" t="s">
        <v>29</v>
      </c>
      <c r="G738" s="10" t="s">
        <v>73</v>
      </c>
      <c r="H738" s="10" t="s">
        <v>74</v>
      </c>
      <c r="I738" s="10" t="s">
        <v>75</v>
      </c>
      <c r="J738" s="10" t="s">
        <v>30</v>
      </c>
      <c r="K738" s="10" t="s">
        <v>261</v>
      </c>
      <c r="L738" s="12">
        <v>360</v>
      </c>
      <c r="M738" s="10">
        <v>2</v>
      </c>
      <c r="N738" s="13">
        <v>0</v>
      </c>
      <c r="O738" s="14">
        <v>105.13</v>
      </c>
      <c r="P738" s="10" t="s">
        <v>25</v>
      </c>
    </row>
    <row r="739" spans="1:16">
      <c r="A739" s="10" t="s">
        <v>1316</v>
      </c>
      <c r="B739" s="11">
        <v>46069</v>
      </c>
      <c r="C739" s="11">
        <v>46070</v>
      </c>
      <c r="D739" s="10" t="s">
        <v>1317</v>
      </c>
      <c r="E739" s="10" t="s">
        <v>84</v>
      </c>
      <c r="F739" s="10" t="s">
        <v>43</v>
      </c>
      <c r="G739" s="10" t="s">
        <v>167</v>
      </c>
      <c r="H739" s="10" t="s">
        <v>168</v>
      </c>
      <c r="I739" s="10" t="s">
        <v>37</v>
      </c>
      <c r="J739" s="10" t="s">
        <v>30</v>
      </c>
      <c r="K739" s="10" t="s">
        <v>93</v>
      </c>
      <c r="L739" s="12">
        <v>72</v>
      </c>
      <c r="M739" s="10">
        <v>1</v>
      </c>
      <c r="N739" s="13">
        <v>0.2</v>
      </c>
      <c r="O739" s="14">
        <v>6.85</v>
      </c>
      <c r="P739" s="10" t="s">
        <v>25</v>
      </c>
    </row>
    <row r="740" spans="1:16">
      <c r="A740" s="10" t="s">
        <v>1318</v>
      </c>
      <c r="B740" s="11">
        <v>46199</v>
      </c>
      <c r="C740" s="11">
        <v>46205</v>
      </c>
      <c r="D740" s="10" t="s">
        <v>801</v>
      </c>
      <c r="E740" s="10" t="s">
        <v>92</v>
      </c>
      <c r="F740" s="10" t="s">
        <v>29</v>
      </c>
      <c r="G740" s="10" t="s">
        <v>60</v>
      </c>
      <c r="H740" s="10" t="s">
        <v>61</v>
      </c>
      <c r="I740" s="10" t="s">
        <v>37</v>
      </c>
      <c r="J740" s="10" t="s">
        <v>23</v>
      </c>
      <c r="K740" s="10" t="s">
        <v>89</v>
      </c>
      <c r="L740" s="12">
        <v>16800</v>
      </c>
      <c r="M740" s="10">
        <v>6</v>
      </c>
      <c r="N740" s="13">
        <v>0</v>
      </c>
      <c r="O740" s="14">
        <v>2771.65</v>
      </c>
      <c r="P740" s="10" t="s">
        <v>25</v>
      </c>
    </row>
    <row r="741" spans="1:16">
      <c r="A741" s="10" t="s">
        <v>1319</v>
      </c>
      <c r="B741" s="11">
        <v>45748</v>
      </c>
      <c r="C741" s="11">
        <v>45754</v>
      </c>
      <c r="D741" s="10" t="s">
        <v>196</v>
      </c>
      <c r="E741" s="10" t="s">
        <v>1320</v>
      </c>
      <c r="F741" s="10" t="s">
        <v>43</v>
      </c>
      <c r="G741" s="10" t="s">
        <v>111</v>
      </c>
      <c r="H741" s="10" t="s">
        <v>21</v>
      </c>
      <c r="I741" s="10" t="s">
        <v>22</v>
      </c>
      <c r="J741" s="10" t="s">
        <v>76</v>
      </c>
      <c r="K741" s="10" t="s">
        <v>229</v>
      </c>
      <c r="L741" s="12">
        <v>13300</v>
      </c>
      <c r="M741" s="10">
        <v>7</v>
      </c>
      <c r="N741" s="13">
        <v>0</v>
      </c>
      <c r="O741" s="14">
        <v>2007.59</v>
      </c>
      <c r="P741" s="10" t="s">
        <v>25</v>
      </c>
    </row>
    <row r="742" spans="1:16">
      <c r="A742" s="10" t="s">
        <v>1321</v>
      </c>
      <c r="B742" s="11">
        <v>46034</v>
      </c>
      <c r="C742" s="11">
        <v>46040</v>
      </c>
      <c r="D742" s="10" t="s">
        <v>1283</v>
      </c>
      <c r="E742" s="10" t="s">
        <v>188</v>
      </c>
      <c r="F742" s="10" t="s">
        <v>43</v>
      </c>
      <c r="G742" s="10" t="s">
        <v>60</v>
      </c>
      <c r="H742" s="10" t="s">
        <v>61</v>
      </c>
      <c r="I742" s="10" t="s">
        <v>37</v>
      </c>
      <c r="J742" s="10" t="s">
        <v>30</v>
      </c>
      <c r="K742" s="10" t="s">
        <v>93</v>
      </c>
      <c r="L742" s="12">
        <v>450</v>
      </c>
      <c r="M742" s="10">
        <v>5</v>
      </c>
      <c r="N742" s="13">
        <v>0</v>
      </c>
      <c r="O742" s="14">
        <v>160.13999999999999</v>
      </c>
      <c r="P742" s="10" t="s">
        <v>56</v>
      </c>
    </row>
    <row r="743" spans="1:16">
      <c r="A743" s="10" t="s">
        <v>1322</v>
      </c>
      <c r="B743" s="11">
        <v>45315</v>
      </c>
      <c r="C743" s="11">
        <v>45316</v>
      </c>
      <c r="D743" s="10" t="s">
        <v>306</v>
      </c>
      <c r="E743" s="10" t="s">
        <v>927</v>
      </c>
      <c r="F743" s="10" t="s">
        <v>29</v>
      </c>
      <c r="G743" s="10" t="s">
        <v>101</v>
      </c>
      <c r="H743" s="10" t="s">
        <v>102</v>
      </c>
      <c r="I743" s="10" t="s">
        <v>103</v>
      </c>
      <c r="J743" s="10" t="s">
        <v>23</v>
      </c>
      <c r="K743" s="10" t="s">
        <v>24</v>
      </c>
      <c r="L743" s="12">
        <v>26000</v>
      </c>
      <c r="M743" s="10">
        <v>5</v>
      </c>
      <c r="N743" s="13">
        <v>0.2</v>
      </c>
      <c r="O743" s="14">
        <v>6242.24</v>
      </c>
      <c r="P743" s="10" t="s">
        <v>69</v>
      </c>
    </row>
    <row r="744" spans="1:16">
      <c r="A744" s="10" t="s">
        <v>1323</v>
      </c>
      <c r="B744" s="11">
        <v>45557</v>
      </c>
      <c r="C744" s="11">
        <v>45563</v>
      </c>
      <c r="D744" s="10" t="s">
        <v>118</v>
      </c>
      <c r="E744" s="10" t="s">
        <v>237</v>
      </c>
      <c r="F744" s="10" t="s">
        <v>19</v>
      </c>
      <c r="G744" s="10" t="s">
        <v>151</v>
      </c>
      <c r="H744" s="10" t="s">
        <v>151</v>
      </c>
      <c r="I744" s="10" t="s">
        <v>75</v>
      </c>
      <c r="J744" s="10" t="s">
        <v>23</v>
      </c>
      <c r="K744" s="10" t="s">
        <v>120</v>
      </c>
      <c r="L744" s="12">
        <v>3360</v>
      </c>
      <c r="M744" s="10">
        <v>1</v>
      </c>
      <c r="N744" s="13">
        <v>0.2</v>
      </c>
      <c r="O744" s="14">
        <v>353.64</v>
      </c>
      <c r="P744" s="10" t="s">
        <v>48</v>
      </c>
    </row>
    <row r="745" spans="1:16">
      <c r="A745" s="10" t="s">
        <v>1324</v>
      </c>
      <c r="B745" s="11">
        <v>45756</v>
      </c>
      <c r="C745" s="11">
        <v>45759</v>
      </c>
      <c r="D745" s="10" t="s">
        <v>465</v>
      </c>
      <c r="E745" s="10" t="s">
        <v>716</v>
      </c>
      <c r="F745" s="10" t="s">
        <v>29</v>
      </c>
      <c r="G745" s="10" t="s">
        <v>111</v>
      </c>
      <c r="H745" s="10" t="s">
        <v>21</v>
      </c>
      <c r="I745" s="10" t="s">
        <v>22</v>
      </c>
      <c r="J745" s="10" t="s">
        <v>30</v>
      </c>
      <c r="K745" s="10" t="s">
        <v>173</v>
      </c>
      <c r="L745" s="12">
        <v>1520</v>
      </c>
      <c r="M745" s="10">
        <v>5</v>
      </c>
      <c r="N745" s="13">
        <v>0.05</v>
      </c>
      <c r="O745" s="14">
        <v>302.63</v>
      </c>
      <c r="P745" s="10" t="s">
        <v>25</v>
      </c>
    </row>
    <row r="746" spans="1:16">
      <c r="A746" s="10" t="s">
        <v>1325</v>
      </c>
      <c r="B746" s="11">
        <v>45824</v>
      </c>
      <c r="C746" s="11">
        <v>45830</v>
      </c>
      <c r="D746" s="10" t="s">
        <v>303</v>
      </c>
      <c r="E746" s="10" t="s">
        <v>243</v>
      </c>
      <c r="F746" s="10" t="s">
        <v>43</v>
      </c>
      <c r="G746" s="10" t="s">
        <v>111</v>
      </c>
      <c r="H746" s="10" t="s">
        <v>21</v>
      </c>
      <c r="I746" s="10" t="s">
        <v>22</v>
      </c>
      <c r="J746" s="10" t="s">
        <v>38</v>
      </c>
      <c r="K746" s="10" t="s">
        <v>169</v>
      </c>
      <c r="L746" s="12">
        <v>5510</v>
      </c>
      <c r="M746" s="10">
        <v>4</v>
      </c>
      <c r="N746" s="13">
        <v>0.05</v>
      </c>
      <c r="O746" s="14">
        <v>1401.63</v>
      </c>
      <c r="P746" s="10" t="s">
        <v>48</v>
      </c>
    </row>
    <row r="747" spans="1:16">
      <c r="A747" s="10" t="s">
        <v>1326</v>
      </c>
      <c r="B747" s="11">
        <v>45386</v>
      </c>
      <c r="C747" s="11">
        <v>45387</v>
      </c>
      <c r="D747" s="10" t="s">
        <v>17</v>
      </c>
      <c r="E747" s="10" t="s">
        <v>727</v>
      </c>
      <c r="F747" s="10" t="s">
        <v>19</v>
      </c>
      <c r="G747" s="10" t="s">
        <v>81</v>
      </c>
      <c r="H747" s="10" t="s">
        <v>68</v>
      </c>
      <c r="I747" s="10" t="s">
        <v>22</v>
      </c>
      <c r="J747" s="10" t="s">
        <v>30</v>
      </c>
      <c r="K747" s="10" t="s">
        <v>127</v>
      </c>
      <c r="L747" s="12">
        <v>540</v>
      </c>
      <c r="M747" s="10">
        <v>4</v>
      </c>
      <c r="N747" s="13">
        <v>0.1</v>
      </c>
      <c r="O747" s="14">
        <v>186.14</v>
      </c>
      <c r="P747" s="10" t="s">
        <v>63</v>
      </c>
    </row>
    <row r="748" spans="1:16">
      <c r="A748" s="10" t="s">
        <v>1327</v>
      </c>
      <c r="B748" s="11">
        <v>45823</v>
      </c>
      <c r="C748" s="11">
        <v>45830</v>
      </c>
      <c r="D748" s="10" t="s">
        <v>146</v>
      </c>
      <c r="E748" s="10" t="s">
        <v>448</v>
      </c>
      <c r="F748" s="10" t="s">
        <v>43</v>
      </c>
      <c r="G748" s="10" t="s">
        <v>81</v>
      </c>
      <c r="H748" s="10" t="s">
        <v>68</v>
      </c>
      <c r="I748" s="10" t="s">
        <v>22</v>
      </c>
      <c r="J748" s="10" t="s">
        <v>23</v>
      </c>
      <c r="K748" s="10" t="s">
        <v>47</v>
      </c>
      <c r="L748" s="12">
        <v>19840</v>
      </c>
      <c r="M748" s="10">
        <v>8</v>
      </c>
      <c r="N748" s="13">
        <v>0.2</v>
      </c>
      <c r="O748" s="14">
        <v>4759.82</v>
      </c>
      <c r="P748" s="10" t="s">
        <v>56</v>
      </c>
    </row>
    <row r="749" spans="1:16">
      <c r="A749" s="10" t="s">
        <v>1328</v>
      </c>
      <c r="B749" s="11">
        <v>45439</v>
      </c>
      <c r="C749" s="11">
        <v>45444</v>
      </c>
      <c r="D749" s="10" t="s">
        <v>133</v>
      </c>
      <c r="E749" s="10" t="s">
        <v>927</v>
      </c>
      <c r="F749" s="10" t="s">
        <v>29</v>
      </c>
      <c r="G749" s="10" t="s">
        <v>97</v>
      </c>
      <c r="H749" s="10" t="s">
        <v>21</v>
      </c>
      <c r="I749" s="10" t="s">
        <v>22</v>
      </c>
      <c r="J749" s="10" t="s">
        <v>76</v>
      </c>
      <c r="K749" s="10" t="s">
        <v>77</v>
      </c>
      <c r="L749" s="12">
        <v>3840</v>
      </c>
      <c r="M749" s="10">
        <v>3</v>
      </c>
      <c r="N749" s="13">
        <v>0.2</v>
      </c>
      <c r="O749" s="14">
        <v>831.64</v>
      </c>
      <c r="P749" s="10" t="s">
        <v>25</v>
      </c>
    </row>
    <row r="750" spans="1:16">
      <c r="A750" s="10" t="s">
        <v>1329</v>
      </c>
      <c r="B750" s="11">
        <v>45776</v>
      </c>
      <c r="C750" s="11">
        <v>45777</v>
      </c>
      <c r="D750" s="10" t="s">
        <v>349</v>
      </c>
      <c r="E750" s="10" t="s">
        <v>691</v>
      </c>
      <c r="F750" s="10" t="s">
        <v>43</v>
      </c>
      <c r="G750" s="10" t="s">
        <v>60</v>
      </c>
      <c r="H750" s="10" t="s">
        <v>61</v>
      </c>
      <c r="I750" s="10" t="s">
        <v>37</v>
      </c>
      <c r="J750" s="10" t="s">
        <v>30</v>
      </c>
      <c r="K750" s="10" t="s">
        <v>93</v>
      </c>
      <c r="L750" s="12">
        <v>540</v>
      </c>
      <c r="M750" s="10">
        <v>6</v>
      </c>
      <c r="N750" s="13">
        <v>0</v>
      </c>
      <c r="O750" s="14">
        <v>120.74</v>
      </c>
      <c r="P750" s="10" t="s">
        <v>63</v>
      </c>
    </row>
    <row r="751" spans="1:16">
      <c r="A751" s="10" t="s">
        <v>1330</v>
      </c>
      <c r="B751" s="11">
        <v>45588</v>
      </c>
      <c r="C751" s="11">
        <v>45589</v>
      </c>
      <c r="D751" s="10" t="s">
        <v>239</v>
      </c>
      <c r="E751" s="10" t="s">
        <v>512</v>
      </c>
      <c r="F751" s="10" t="s">
        <v>29</v>
      </c>
      <c r="G751" s="10" t="s">
        <v>151</v>
      </c>
      <c r="H751" s="10" t="s">
        <v>151</v>
      </c>
      <c r="I751" s="10" t="s">
        <v>75</v>
      </c>
      <c r="J751" s="10" t="s">
        <v>30</v>
      </c>
      <c r="K751" s="10" t="s">
        <v>261</v>
      </c>
      <c r="L751" s="12">
        <v>1026</v>
      </c>
      <c r="M751" s="10">
        <v>6</v>
      </c>
      <c r="N751" s="13">
        <v>0.05</v>
      </c>
      <c r="O751" s="14">
        <v>117.82</v>
      </c>
      <c r="P751" s="10" t="s">
        <v>56</v>
      </c>
    </row>
    <row r="752" spans="1:16">
      <c r="A752" s="10" t="s">
        <v>1331</v>
      </c>
      <c r="B752" s="11">
        <v>45437</v>
      </c>
      <c r="C752" s="11">
        <v>45444</v>
      </c>
      <c r="D752" s="10" t="s">
        <v>637</v>
      </c>
      <c r="E752" s="10" t="s">
        <v>752</v>
      </c>
      <c r="F752" s="10" t="s">
        <v>29</v>
      </c>
      <c r="G752" s="10" t="s">
        <v>224</v>
      </c>
      <c r="H752" s="10" t="s">
        <v>225</v>
      </c>
      <c r="I752" s="10" t="s">
        <v>75</v>
      </c>
      <c r="J752" s="10" t="s">
        <v>76</v>
      </c>
      <c r="K752" s="10" t="s">
        <v>206</v>
      </c>
      <c r="L752" s="12">
        <v>5225</v>
      </c>
      <c r="M752" s="10">
        <v>5</v>
      </c>
      <c r="N752" s="13">
        <v>0.05</v>
      </c>
      <c r="O752" s="14">
        <v>1653.45</v>
      </c>
      <c r="P752" s="10" t="s">
        <v>63</v>
      </c>
    </row>
    <row r="753" spans="1:16">
      <c r="A753" s="10" t="s">
        <v>1332</v>
      </c>
      <c r="B753" s="11">
        <v>45649</v>
      </c>
      <c r="C753" s="11">
        <v>45650</v>
      </c>
      <c r="D753" s="10" t="s">
        <v>248</v>
      </c>
      <c r="E753" s="10" t="s">
        <v>1255</v>
      </c>
      <c r="F753" s="10" t="s">
        <v>43</v>
      </c>
      <c r="G753" s="10" t="s">
        <v>44</v>
      </c>
      <c r="H753" s="10" t="s">
        <v>45</v>
      </c>
      <c r="I753" s="10" t="s">
        <v>46</v>
      </c>
      <c r="J753" s="10" t="s">
        <v>38</v>
      </c>
      <c r="K753" s="10" t="s">
        <v>55</v>
      </c>
      <c r="L753" s="12">
        <v>3740</v>
      </c>
      <c r="M753" s="10">
        <v>8</v>
      </c>
      <c r="N753" s="13">
        <v>0.15</v>
      </c>
      <c r="O753" s="14">
        <v>1035.9000000000001</v>
      </c>
      <c r="P753" s="10" t="s">
        <v>25</v>
      </c>
    </row>
    <row r="754" spans="1:16">
      <c r="A754" s="10" t="s">
        <v>1333</v>
      </c>
      <c r="B754" s="11">
        <v>46146</v>
      </c>
      <c r="C754" s="11">
        <v>46152</v>
      </c>
      <c r="D754" s="10" t="s">
        <v>1139</v>
      </c>
      <c r="E754" s="10" t="s">
        <v>34</v>
      </c>
      <c r="F754" s="10" t="s">
        <v>19</v>
      </c>
      <c r="G754" s="10" t="s">
        <v>44</v>
      </c>
      <c r="H754" s="10" t="s">
        <v>45</v>
      </c>
      <c r="I754" s="10" t="s">
        <v>46</v>
      </c>
      <c r="J754" s="10" t="s">
        <v>30</v>
      </c>
      <c r="K754" s="10" t="s">
        <v>31</v>
      </c>
      <c r="L754" s="12">
        <v>864</v>
      </c>
      <c r="M754" s="10">
        <v>8</v>
      </c>
      <c r="N754" s="13">
        <v>0.1</v>
      </c>
      <c r="O754" s="14">
        <v>165.48</v>
      </c>
      <c r="P754" s="10" t="s">
        <v>63</v>
      </c>
    </row>
    <row r="755" spans="1:16">
      <c r="A755" s="10" t="s">
        <v>1334</v>
      </c>
      <c r="B755" s="11">
        <v>45711</v>
      </c>
      <c r="C755" s="11">
        <v>45715</v>
      </c>
      <c r="D755" s="10" t="s">
        <v>217</v>
      </c>
      <c r="E755" s="10" t="s">
        <v>1239</v>
      </c>
      <c r="F755" s="10" t="s">
        <v>29</v>
      </c>
      <c r="G755" s="10" t="s">
        <v>111</v>
      </c>
      <c r="H755" s="10" t="s">
        <v>21</v>
      </c>
      <c r="I755" s="10" t="s">
        <v>22</v>
      </c>
      <c r="J755" s="10" t="s">
        <v>76</v>
      </c>
      <c r="K755" s="10" t="s">
        <v>229</v>
      </c>
      <c r="L755" s="12">
        <v>1520</v>
      </c>
      <c r="M755" s="10">
        <v>1</v>
      </c>
      <c r="N755" s="13">
        <v>0.2</v>
      </c>
      <c r="O755" s="14">
        <v>180.25</v>
      </c>
      <c r="P755" s="10" t="s">
        <v>56</v>
      </c>
    </row>
    <row r="756" spans="1:16">
      <c r="A756" s="10" t="s">
        <v>1335</v>
      </c>
      <c r="B756" s="11">
        <v>46016</v>
      </c>
      <c r="C756" s="11">
        <v>46017</v>
      </c>
      <c r="D756" s="10" t="s">
        <v>870</v>
      </c>
      <c r="E756" s="10" t="s">
        <v>450</v>
      </c>
      <c r="F756" s="10" t="s">
        <v>19</v>
      </c>
      <c r="G756" s="10" t="s">
        <v>224</v>
      </c>
      <c r="H756" s="10" t="s">
        <v>225</v>
      </c>
      <c r="I756" s="10" t="s">
        <v>75</v>
      </c>
      <c r="J756" s="10" t="s">
        <v>23</v>
      </c>
      <c r="K756" s="10" t="s">
        <v>47</v>
      </c>
      <c r="L756" s="12">
        <v>4960</v>
      </c>
      <c r="M756" s="10">
        <v>2</v>
      </c>
      <c r="N756" s="13">
        <v>0.2</v>
      </c>
      <c r="O756" s="14">
        <v>1014.66</v>
      </c>
      <c r="P756" s="10" t="s">
        <v>48</v>
      </c>
    </row>
    <row r="757" spans="1:16">
      <c r="A757" s="10" t="s">
        <v>1336</v>
      </c>
      <c r="B757" s="11">
        <v>46272</v>
      </c>
      <c r="C757" s="11">
        <v>46277</v>
      </c>
      <c r="D757" s="10" t="s">
        <v>99</v>
      </c>
      <c r="E757" s="10" t="s">
        <v>134</v>
      </c>
      <c r="F757" s="10" t="s">
        <v>43</v>
      </c>
      <c r="G757" s="10" t="s">
        <v>151</v>
      </c>
      <c r="H757" s="10" t="s">
        <v>151</v>
      </c>
      <c r="I757" s="10" t="s">
        <v>75</v>
      </c>
      <c r="J757" s="10" t="s">
        <v>30</v>
      </c>
      <c r="K757" s="10" t="s">
        <v>127</v>
      </c>
      <c r="L757" s="12">
        <v>150</v>
      </c>
      <c r="M757" s="10">
        <v>1</v>
      </c>
      <c r="N757" s="13">
        <v>0</v>
      </c>
      <c r="O757" s="14">
        <v>31.33</v>
      </c>
      <c r="P757" s="10" t="s">
        <v>56</v>
      </c>
    </row>
    <row r="758" spans="1:16">
      <c r="A758" s="10" t="s">
        <v>1337</v>
      </c>
      <c r="B758" s="11">
        <v>45543</v>
      </c>
      <c r="C758" s="11">
        <v>45550</v>
      </c>
      <c r="D758" s="10" t="s">
        <v>484</v>
      </c>
      <c r="E758" s="10" t="s">
        <v>1338</v>
      </c>
      <c r="F758" s="10" t="s">
        <v>43</v>
      </c>
      <c r="G758" s="10" t="s">
        <v>60</v>
      </c>
      <c r="H758" s="10" t="s">
        <v>61</v>
      </c>
      <c r="I758" s="10" t="s">
        <v>37</v>
      </c>
      <c r="J758" s="10" t="s">
        <v>76</v>
      </c>
      <c r="K758" s="10" t="s">
        <v>206</v>
      </c>
      <c r="L758" s="12">
        <v>5940</v>
      </c>
      <c r="M758" s="10">
        <v>6</v>
      </c>
      <c r="N758" s="13">
        <v>0.1</v>
      </c>
      <c r="O758" s="14">
        <v>1258.6099999999999</v>
      </c>
      <c r="P758" s="10" t="s">
        <v>56</v>
      </c>
    </row>
    <row r="759" spans="1:16">
      <c r="A759" s="10" t="s">
        <v>1339</v>
      </c>
      <c r="B759" s="11">
        <v>45716</v>
      </c>
      <c r="C759" s="11">
        <v>45717</v>
      </c>
      <c r="D759" s="10" t="s">
        <v>143</v>
      </c>
      <c r="E759" s="10" t="s">
        <v>659</v>
      </c>
      <c r="F759" s="10" t="s">
        <v>43</v>
      </c>
      <c r="G759" s="10" t="s">
        <v>44</v>
      </c>
      <c r="H759" s="10" t="s">
        <v>45</v>
      </c>
      <c r="I759" s="10" t="s">
        <v>46</v>
      </c>
      <c r="J759" s="10" t="s">
        <v>23</v>
      </c>
      <c r="K759" s="10" t="s">
        <v>293</v>
      </c>
      <c r="L759" s="12">
        <v>3750</v>
      </c>
      <c r="M759" s="10">
        <v>5</v>
      </c>
      <c r="N759" s="13">
        <v>0</v>
      </c>
      <c r="O759" s="14">
        <v>1313.22</v>
      </c>
      <c r="P759" s="10" t="s">
        <v>56</v>
      </c>
    </row>
    <row r="760" spans="1:16">
      <c r="A760" s="10" t="s">
        <v>1340</v>
      </c>
      <c r="B760" s="11">
        <v>45479</v>
      </c>
      <c r="C760" s="11">
        <v>45482</v>
      </c>
      <c r="D760" s="10" t="s">
        <v>1116</v>
      </c>
      <c r="E760" s="10" t="s">
        <v>409</v>
      </c>
      <c r="F760" s="10" t="s">
        <v>29</v>
      </c>
      <c r="G760" s="10" t="s">
        <v>35</v>
      </c>
      <c r="H760" s="10" t="s">
        <v>36</v>
      </c>
      <c r="I760" s="10" t="s">
        <v>37</v>
      </c>
      <c r="J760" s="10" t="s">
        <v>38</v>
      </c>
      <c r="K760" s="10" t="s">
        <v>39</v>
      </c>
      <c r="L760" s="12">
        <v>4275</v>
      </c>
      <c r="M760" s="10">
        <v>5</v>
      </c>
      <c r="N760" s="13">
        <v>0.1</v>
      </c>
      <c r="O760" s="14">
        <v>806.1</v>
      </c>
      <c r="P760" s="10" t="s">
        <v>48</v>
      </c>
    </row>
    <row r="761" spans="1:16">
      <c r="A761" s="10" t="s">
        <v>1341</v>
      </c>
      <c r="B761" s="11">
        <v>46022</v>
      </c>
      <c r="C761" s="11">
        <v>46023</v>
      </c>
      <c r="D761" s="10" t="s">
        <v>289</v>
      </c>
      <c r="E761" s="10" t="s">
        <v>141</v>
      </c>
      <c r="F761" s="10" t="s">
        <v>29</v>
      </c>
      <c r="G761" s="10" t="s">
        <v>179</v>
      </c>
      <c r="H761" s="10" t="s">
        <v>21</v>
      </c>
      <c r="I761" s="10" t="s">
        <v>22</v>
      </c>
      <c r="J761" s="10" t="s">
        <v>76</v>
      </c>
      <c r="K761" s="10" t="s">
        <v>206</v>
      </c>
      <c r="L761" s="12">
        <v>6600</v>
      </c>
      <c r="M761" s="10">
        <v>6</v>
      </c>
      <c r="N761" s="13">
        <v>0</v>
      </c>
      <c r="O761" s="14">
        <v>1799.6</v>
      </c>
      <c r="P761" s="10" t="s">
        <v>48</v>
      </c>
    </row>
    <row r="762" spans="1:16">
      <c r="A762" s="10" t="s">
        <v>1342</v>
      </c>
      <c r="B762" s="11">
        <v>45499</v>
      </c>
      <c r="C762" s="11">
        <v>45501</v>
      </c>
      <c r="D762" s="10" t="s">
        <v>505</v>
      </c>
      <c r="E762" s="10" t="s">
        <v>420</v>
      </c>
      <c r="F762" s="10" t="s">
        <v>43</v>
      </c>
      <c r="G762" s="10" t="s">
        <v>35</v>
      </c>
      <c r="H762" s="10" t="s">
        <v>36</v>
      </c>
      <c r="I762" s="10" t="s">
        <v>37</v>
      </c>
      <c r="J762" s="10" t="s">
        <v>30</v>
      </c>
      <c r="K762" s="10" t="s">
        <v>127</v>
      </c>
      <c r="L762" s="12">
        <v>1050</v>
      </c>
      <c r="M762" s="10">
        <v>7</v>
      </c>
      <c r="N762" s="13">
        <v>0</v>
      </c>
      <c r="O762" s="14">
        <v>325.48</v>
      </c>
      <c r="P762" s="10" t="s">
        <v>48</v>
      </c>
    </row>
    <row r="763" spans="1:16">
      <c r="A763" s="10" t="s">
        <v>1343</v>
      </c>
      <c r="B763" s="11">
        <v>45787</v>
      </c>
      <c r="C763" s="11">
        <v>45788</v>
      </c>
      <c r="D763" s="10" t="s">
        <v>1207</v>
      </c>
      <c r="E763" s="10" t="s">
        <v>527</v>
      </c>
      <c r="F763" s="10" t="s">
        <v>19</v>
      </c>
      <c r="G763" s="10" t="s">
        <v>81</v>
      </c>
      <c r="H763" s="10" t="s">
        <v>68</v>
      </c>
      <c r="I763" s="10" t="s">
        <v>22</v>
      </c>
      <c r="J763" s="10" t="s">
        <v>30</v>
      </c>
      <c r="K763" s="10" t="s">
        <v>261</v>
      </c>
      <c r="L763" s="12">
        <v>765</v>
      </c>
      <c r="M763" s="10">
        <v>5</v>
      </c>
      <c r="N763" s="13">
        <v>0.15</v>
      </c>
      <c r="O763" s="14">
        <v>81.849999999999994</v>
      </c>
      <c r="P763" s="10" t="s">
        <v>56</v>
      </c>
    </row>
    <row r="764" spans="1:16">
      <c r="A764" s="10" t="s">
        <v>1344</v>
      </c>
      <c r="B764" s="11">
        <v>45603</v>
      </c>
      <c r="C764" s="11">
        <v>45608</v>
      </c>
      <c r="D764" s="10" t="s">
        <v>811</v>
      </c>
      <c r="E764" s="10" t="s">
        <v>395</v>
      </c>
      <c r="F764" s="10" t="s">
        <v>43</v>
      </c>
      <c r="G764" s="10" t="s">
        <v>81</v>
      </c>
      <c r="H764" s="10" t="s">
        <v>68</v>
      </c>
      <c r="I764" s="10" t="s">
        <v>22</v>
      </c>
      <c r="J764" s="10" t="s">
        <v>76</v>
      </c>
      <c r="K764" s="10" t="s">
        <v>206</v>
      </c>
      <c r="L764" s="12">
        <v>4400</v>
      </c>
      <c r="M764" s="10">
        <v>4</v>
      </c>
      <c r="N764" s="13">
        <v>0</v>
      </c>
      <c r="O764" s="14">
        <v>1244.94</v>
      </c>
      <c r="P764" s="10" t="s">
        <v>63</v>
      </c>
    </row>
    <row r="765" spans="1:16">
      <c r="A765" s="10" t="s">
        <v>1345</v>
      </c>
      <c r="B765" s="11">
        <v>45754</v>
      </c>
      <c r="C765" s="11">
        <v>45755</v>
      </c>
      <c r="D765" s="10" t="s">
        <v>768</v>
      </c>
      <c r="E765" s="10" t="s">
        <v>163</v>
      </c>
      <c r="F765" s="10" t="s">
        <v>43</v>
      </c>
      <c r="G765" s="10" t="s">
        <v>135</v>
      </c>
      <c r="H765" s="10" t="s">
        <v>21</v>
      </c>
      <c r="I765" s="10" t="s">
        <v>22</v>
      </c>
      <c r="J765" s="10" t="s">
        <v>76</v>
      </c>
      <c r="K765" s="10" t="s">
        <v>85</v>
      </c>
      <c r="L765" s="12">
        <v>880</v>
      </c>
      <c r="M765" s="10">
        <v>5</v>
      </c>
      <c r="N765" s="13">
        <v>0.2</v>
      </c>
      <c r="O765" s="14">
        <v>85.59</v>
      </c>
      <c r="P765" s="10" t="s">
        <v>69</v>
      </c>
    </row>
    <row r="766" spans="1:16">
      <c r="A766" s="10" t="s">
        <v>1346</v>
      </c>
      <c r="B766" s="11">
        <v>45904</v>
      </c>
      <c r="C766" s="11">
        <v>45907</v>
      </c>
      <c r="D766" s="10" t="s">
        <v>967</v>
      </c>
      <c r="E766" s="10" t="s">
        <v>929</v>
      </c>
      <c r="F766" s="10" t="s">
        <v>19</v>
      </c>
      <c r="G766" s="10" t="s">
        <v>44</v>
      </c>
      <c r="H766" s="10" t="s">
        <v>45</v>
      </c>
      <c r="I766" s="10" t="s">
        <v>46</v>
      </c>
      <c r="J766" s="10" t="s">
        <v>76</v>
      </c>
      <c r="K766" s="10" t="s">
        <v>229</v>
      </c>
      <c r="L766" s="12">
        <v>6460</v>
      </c>
      <c r="M766" s="10">
        <v>4</v>
      </c>
      <c r="N766" s="13">
        <v>0.15</v>
      </c>
      <c r="O766" s="14">
        <v>897.44</v>
      </c>
      <c r="P766" s="10" t="s">
        <v>63</v>
      </c>
    </row>
    <row r="767" spans="1:16">
      <c r="A767" s="10" t="s">
        <v>1347</v>
      </c>
      <c r="B767" s="11">
        <v>45868</v>
      </c>
      <c r="C767" s="11">
        <v>45869</v>
      </c>
      <c r="D767" s="10" t="s">
        <v>535</v>
      </c>
      <c r="E767" s="10" t="s">
        <v>1348</v>
      </c>
      <c r="F767" s="10" t="s">
        <v>19</v>
      </c>
      <c r="G767" s="10" t="s">
        <v>179</v>
      </c>
      <c r="H767" s="10" t="s">
        <v>21</v>
      </c>
      <c r="I767" s="10" t="s">
        <v>22</v>
      </c>
      <c r="J767" s="10" t="s">
        <v>38</v>
      </c>
      <c r="K767" s="10" t="s">
        <v>55</v>
      </c>
      <c r="L767" s="12">
        <v>1100</v>
      </c>
      <c r="M767" s="10">
        <v>2</v>
      </c>
      <c r="N767" s="13">
        <v>0</v>
      </c>
      <c r="O767" s="14">
        <v>210.63</v>
      </c>
      <c r="P767" s="10" t="s">
        <v>63</v>
      </c>
    </row>
    <row r="768" spans="1:16">
      <c r="A768" s="10" t="s">
        <v>1349</v>
      </c>
      <c r="B768" s="11">
        <v>46272</v>
      </c>
      <c r="C768" s="11">
        <v>46279</v>
      </c>
      <c r="D768" s="10" t="s">
        <v>289</v>
      </c>
      <c r="E768" s="10" t="s">
        <v>1147</v>
      </c>
      <c r="F768" s="10" t="s">
        <v>43</v>
      </c>
      <c r="G768" s="10" t="s">
        <v>67</v>
      </c>
      <c r="H768" s="10" t="s">
        <v>68</v>
      </c>
      <c r="I768" s="10" t="s">
        <v>22</v>
      </c>
      <c r="J768" s="10" t="s">
        <v>23</v>
      </c>
      <c r="K768" s="10" t="s">
        <v>89</v>
      </c>
      <c r="L768" s="12">
        <v>21280</v>
      </c>
      <c r="M768" s="10">
        <v>8</v>
      </c>
      <c r="N768" s="13">
        <v>0.05</v>
      </c>
      <c r="O768" s="14">
        <v>6566.13</v>
      </c>
      <c r="P768" s="10" t="s">
        <v>63</v>
      </c>
    </row>
    <row r="769" spans="1:16">
      <c r="A769" s="10" t="s">
        <v>1350</v>
      </c>
      <c r="B769" s="11">
        <v>45628</v>
      </c>
      <c r="C769" s="11">
        <v>45629</v>
      </c>
      <c r="D769" s="10" t="s">
        <v>1207</v>
      </c>
      <c r="E769" s="10" t="s">
        <v>1315</v>
      </c>
      <c r="F769" s="10" t="s">
        <v>19</v>
      </c>
      <c r="G769" s="10" t="s">
        <v>101</v>
      </c>
      <c r="H769" s="10" t="s">
        <v>102</v>
      </c>
      <c r="I769" s="10" t="s">
        <v>103</v>
      </c>
      <c r="J769" s="10" t="s">
        <v>30</v>
      </c>
      <c r="K769" s="10" t="s">
        <v>261</v>
      </c>
      <c r="L769" s="12">
        <v>1440</v>
      </c>
      <c r="M769" s="10">
        <v>8</v>
      </c>
      <c r="N769" s="13">
        <v>0</v>
      </c>
      <c r="O769" s="14">
        <v>209.7</v>
      </c>
      <c r="P769" s="10" t="s">
        <v>25</v>
      </c>
    </row>
    <row r="770" spans="1:16">
      <c r="A770" s="10" t="s">
        <v>1351</v>
      </c>
      <c r="B770" s="11">
        <v>46072</v>
      </c>
      <c r="C770" s="11">
        <v>46076</v>
      </c>
      <c r="D770" s="10" t="s">
        <v>468</v>
      </c>
      <c r="E770" s="10" t="s">
        <v>856</v>
      </c>
      <c r="F770" s="10" t="s">
        <v>43</v>
      </c>
      <c r="G770" s="10" t="s">
        <v>151</v>
      </c>
      <c r="H770" s="10" t="s">
        <v>151</v>
      </c>
      <c r="I770" s="10" t="s">
        <v>75</v>
      </c>
      <c r="J770" s="10" t="s">
        <v>38</v>
      </c>
      <c r="K770" s="10" t="s">
        <v>104</v>
      </c>
      <c r="L770" s="12">
        <v>520</v>
      </c>
      <c r="M770" s="10">
        <v>1</v>
      </c>
      <c r="N770" s="13">
        <v>0.2</v>
      </c>
      <c r="O770" s="14">
        <v>121.81</v>
      </c>
      <c r="P770" s="10" t="s">
        <v>63</v>
      </c>
    </row>
    <row r="771" spans="1:16">
      <c r="A771" s="10" t="s">
        <v>1352</v>
      </c>
      <c r="B771" s="11">
        <v>45658</v>
      </c>
      <c r="C771" s="11">
        <v>45662</v>
      </c>
      <c r="D771" s="10" t="s">
        <v>625</v>
      </c>
      <c r="E771" s="10" t="s">
        <v>617</v>
      </c>
      <c r="F771" s="10" t="s">
        <v>19</v>
      </c>
      <c r="G771" s="10" t="s">
        <v>97</v>
      </c>
      <c r="H771" s="10" t="s">
        <v>21</v>
      </c>
      <c r="I771" s="10" t="s">
        <v>22</v>
      </c>
      <c r="J771" s="10" t="s">
        <v>38</v>
      </c>
      <c r="K771" s="10" t="s">
        <v>104</v>
      </c>
      <c r="L771" s="12">
        <v>4940</v>
      </c>
      <c r="M771" s="10">
        <v>8</v>
      </c>
      <c r="N771" s="13">
        <v>0.05</v>
      </c>
      <c r="O771" s="14">
        <v>637.63</v>
      </c>
      <c r="P771" s="10" t="s">
        <v>48</v>
      </c>
    </row>
    <row r="772" spans="1:16">
      <c r="A772" s="10" t="s">
        <v>1353</v>
      </c>
      <c r="B772" s="11">
        <v>46068</v>
      </c>
      <c r="C772" s="11">
        <v>46071</v>
      </c>
      <c r="D772" s="10" t="s">
        <v>1289</v>
      </c>
      <c r="E772" s="10" t="s">
        <v>176</v>
      </c>
      <c r="F772" s="10" t="s">
        <v>43</v>
      </c>
      <c r="G772" s="10" t="s">
        <v>167</v>
      </c>
      <c r="H772" s="10" t="s">
        <v>168</v>
      </c>
      <c r="I772" s="10" t="s">
        <v>37</v>
      </c>
      <c r="J772" s="10" t="s">
        <v>23</v>
      </c>
      <c r="K772" s="10" t="s">
        <v>24</v>
      </c>
      <c r="L772" s="12">
        <v>11050</v>
      </c>
      <c r="M772" s="10">
        <v>2</v>
      </c>
      <c r="N772" s="13">
        <v>0.15</v>
      </c>
      <c r="O772" s="14">
        <v>2154.0700000000002</v>
      </c>
      <c r="P772" s="10" t="s">
        <v>69</v>
      </c>
    </row>
    <row r="773" spans="1:16">
      <c r="A773" s="10" t="s">
        <v>1354</v>
      </c>
      <c r="B773" s="11">
        <v>45329</v>
      </c>
      <c r="C773" s="11">
        <v>45332</v>
      </c>
      <c r="D773" s="10" t="s">
        <v>1022</v>
      </c>
      <c r="E773" s="10" t="s">
        <v>246</v>
      </c>
      <c r="F773" s="10" t="s">
        <v>19</v>
      </c>
      <c r="G773" s="10" t="s">
        <v>73</v>
      </c>
      <c r="H773" s="10" t="s">
        <v>74</v>
      </c>
      <c r="I773" s="10" t="s">
        <v>75</v>
      </c>
      <c r="J773" s="10" t="s">
        <v>30</v>
      </c>
      <c r="K773" s="10" t="s">
        <v>261</v>
      </c>
      <c r="L773" s="12">
        <v>576</v>
      </c>
      <c r="M773" s="10">
        <v>4</v>
      </c>
      <c r="N773" s="13">
        <v>0.2</v>
      </c>
      <c r="O773" s="14">
        <v>142.28</v>
      </c>
      <c r="P773" s="10" t="s">
        <v>25</v>
      </c>
    </row>
    <row r="774" spans="1:16">
      <c r="A774" s="10" t="s">
        <v>1355</v>
      </c>
      <c r="B774" s="11">
        <v>45466</v>
      </c>
      <c r="C774" s="11">
        <v>45471</v>
      </c>
      <c r="D774" s="10" t="s">
        <v>955</v>
      </c>
      <c r="E774" s="10" t="s">
        <v>603</v>
      </c>
      <c r="F774" s="10" t="s">
        <v>29</v>
      </c>
      <c r="G774" s="10" t="s">
        <v>111</v>
      </c>
      <c r="H774" s="10" t="s">
        <v>21</v>
      </c>
      <c r="I774" s="10" t="s">
        <v>22</v>
      </c>
      <c r="J774" s="10" t="s">
        <v>30</v>
      </c>
      <c r="K774" s="10" t="s">
        <v>261</v>
      </c>
      <c r="L774" s="12">
        <v>432</v>
      </c>
      <c r="M774" s="10">
        <v>3</v>
      </c>
      <c r="N774" s="13">
        <v>0.2</v>
      </c>
      <c r="O774" s="14">
        <v>143.88999999999999</v>
      </c>
      <c r="P774" s="10" t="s">
        <v>63</v>
      </c>
    </row>
    <row r="775" spans="1:16">
      <c r="A775" s="10" t="s">
        <v>1356</v>
      </c>
      <c r="B775" s="11">
        <v>46038</v>
      </c>
      <c r="C775" s="11">
        <v>46045</v>
      </c>
      <c r="D775" s="10" t="s">
        <v>87</v>
      </c>
      <c r="E775" s="10" t="s">
        <v>1357</v>
      </c>
      <c r="F775" s="10" t="s">
        <v>19</v>
      </c>
      <c r="G775" s="10" t="s">
        <v>179</v>
      </c>
      <c r="H775" s="10" t="s">
        <v>21</v>
      </c>
      <c r="I775" s="10" t="s">
        <v>22</v>
      </c>
      <c r="J775" s="10" t="s">
        <v>30</v>
      </c>
      <c r="K775" s="10" t="s">
        <v>261</v>
      </c>
      <c r="L775" s="12">
        <v>720</v>
      </c>
      <c r="M775" s="10">
        <v>5</v>
      </c>
      <c r="N775" s="13">
        <v>0.2</v>
      </c>
      <c r="O775" s="14">
        <v>147.15</v>
      </c>
      <c r="P775" s="10" t="s">
        <v>48</v>
      </c>
    </row>
    <row r="776" spans="1:16">
      <c r="A776" s="10" t="s">
        <v>1358</v>
      </c>
      <c r="B776" s="11">
        <v>46166</v>
      </c>
      <c r="C776" s="11">
        <v>46169</v>
      </c>
      <c r="D776" s="10" t="s">
        <v>629</v>
      </c>
      <c r="E776" s="10" t="s">
        <v>364</v>
      </c>
      <c r="F776" s="10" t="s">
        <v>29</v>
      </c>
      <c r="G776" s="10" t="s">
        <v>81</v>
      </c>
      <c r="H776" s="10" t="s">
        <v>68</v>
      </c>
      <c r="I776" s="10" t="s">
        <v>22</v>
      </c>
      <c r="J776" s="10" t="s">
        <v>76</v>
      </c>
      <c r="K776" s="10" t="s">
        <v>229</v>
      </c>
      <c r="L776" s="12">
        <v>3040</v>
      </c>
      <c r="M776" s="10">
        <v>2</v>
      </c>
      <c r="N776" s="13">
        <v>0.2</v>
      </c>
      <c r="O776" s="14">
        <v>654.34</v>
      </c>
      <c r="P776" s="10" t="s">
        <v>56</v>
      </c>
    </row>
    <row r="777" spans="1:16">
      <c r="A777" s="10" t="s">
        <v>1359</v>
      </c>
      <c r="B777" s="11">
        <v>45340</v>
      </c>
      <c r="C777" s="11">
        <v>45343</v>
      </c>
      <c r="D777" s="10" t="s">
        <v>870</v>
      </c>
      <c r="E777" s="10" t="s">
        <v>34</v>
      </c>
      <c r="F777" s="10" t="s">
        <v>19</v>
      </c>
      <c r="G777" s="10" t="s">
        <v>101</v>
      </c>
      <c r="H777" s="10" t="s">
        <v>102</v>
      </c>
      <c r="I777" s="10" t="s">
        <v>103</v>
      </c>
      <c r="J777" s="10" t="s">
        <v>76</v>
      </c>
      <c r="K777" s="10" t="s">
        <v>85</v>
      </c>
      <c r="L777" s="12">
        <v>1672</v>
      </c>
      <c r="M777" s="10">
        <v>8</v>
      </c>
      <c r="N777" s="13">
        <v>0.05</v>
      </c>
      <c r="O777" s="14">
        <v>620.58000000000004</v>
      </c>
      <c r="P777" s="10" t="s">
        <v>48</v>
      </c>
    </row>
    <row r="778" spans="1:16">
      <c r="A778" s="10" t="s">
        <v>1360</v>
      </c>
      <c r="B778" s="11">
        <v>46047</v>
      </c>
      <c r="C778" s="11">
        <v>46049</v>
      </c>
      <c r="D778" s="10" t="s">
        <v>337</v>
      </c>
      <c r="E778" s="10" t="s">
        <v>1114</v>
      </c>
      <c r="F778" s="10" t="s">
        <v>19</v>
      </c>
      <c r="G778" s="10" t="s">
        <v>60</v>
      </c>
      <c r="H778" s="10" t="s">
        <v>61</v>
      </c>
      <c r="I778" s="10" t="s">
        <v>37</v>
      </c>
      <c r="J778" s="10" t="s">
        <v>76</v>
      </c>
      <c r="K778" s="10" t="s">
        <v>206</v>
      </c>
      <c r="L778" s="12">
        <v>4400</v>
      </c>
      <c r="M778" s="10">
        <v>4</v>
      </c>
      <c r="N778" s="13">
        <v>0</v>
      </c>
      <c r="O778" s="14">
        <v>1483.83</v>
      </c>
      <c r="P778" s="10" t="s">
        <v>48</v>
      </c>
    </row>
    <row r="779" spans="1:16">
      <c r="A779" s="10" t="s">
        <v>1361</v>
      </c>
      <c r="B779" s="11">
        <v>45320</v>
      </c>
      <c r="C779" s="11">
        <v>45324</v>
      </c>
      <c r="D779" s="10" t="s">
        <v>519</v>
      </c>
      <c r="E779" s="10" t="s">
        <v>1362</v>
      </c>
      <c r="F779" s="10" t="s">
        <v>29</v>
      </c>
      <c r="G779" s="10" t="s">
        <v>81</v>
      </c>
      <c r="H779" s="10" t="s">
        <v>68</v>
      </c>
      <c r="I779" s="10" t="s">
        <v>22</v>
      </c>
      <c r="J779" s="10" t="s">
        <v>38</v>
      </c>
      <c r="K779" s="10" t="s">
        <v>62</v>
      </c>
      <c r="L779" s="12">
        <v>48450</v>
      </c>
      <c r="M779" s="10">
        <v>6</v>
      </c>
      <c r="N779" s="13">
        <v>0.05</v>
      </c>
      <c r="O779" s="14">
        <v>14934.23</v>
      </c>
      <c r="P779" s="10" t="s">
        <v>69</v>
      </c>
    </row>
    <row r="780" spans="1:16">
      <c r="A780" s="10" t="s">
        <v>1363</v>
      </c>
      <c r="B780" s="11">
        <v>45824</v>
      </c>
      <c r="C780" s="11">
        <v>45831</v>
      </c>
      <c r="D780" s="10" t="s">
        <v>1364</v>
      </c>
      <c r="E780" s="10" t="s">
        <v>691</v>
      </c>
      <c r="F780" s="10" t="s">
        <v>29</v>
      </c>
      <c r="G780" s="10" t="s">
        <v>111</v>
      </c>
      <c r="H780" s="10" t="s">
        <v>21</v>
      </c>
      <c r="I780" s="10" t="s">
        <v>22</v>
      </c>
      <c r="J780" s="10" t="s">
        <v>38</v>
      </c>
      <c r="K780" s="10" t="s">
        <v>62</v>
      </c>
      <c r="L780" s="12">
        <v>68000</v>
      </c>
      <c r="M780" s="10">
        <v>8</v>
      </c>
      <c r="N780" s="13">
        <v>0</v>
      </c>
      <c r="O780" s="14">
        <v>14783.83</v>
      </c>
      <c r="P780" s="10" t="s">
        <v>48</v>
      </c>
    </row>
    <row r="781" spans="1:16">
      <c r="A781" s="10" t="s">
        <v>1365</v>
      </c>
      <c r="B781" s="11">
        <v>45678</v>
      </c>
      <c r="C781" s="11">
        <v>45681</v>
      </c>
      <c r="D781" s="10" t="s">
        <v>1054</v>
      </c>
      <c r="E781" s="10" t="s">
        <v>443</v>
      </c>
      <c r="F781" s="10" t="s">
        <v>29</v>
      </c>
      <c r="G781" s="10" t="s">
        <v>101</v>
      </c>
      <c r="H781" s="10" t="s">
        <v>102</v>
      </c>
      <c r="I781" s="10" t="s">
        <v>103</v>
      </c>
      <c r="J781" s="10" t="s">
        <v>38</v>
      </c>
      <c r="K781" s="10" t="s">
        <v>39</v>
      </c>
      <c r="L781" s="12">
        <v>855</v>
      </c>
      <c r="M781" s="10">
        <v>1</v>
      </c>
      <c r="N781" s="13">
        <v>0.1</v>
      </c>
      <c r="O781" s="14">
        <v>299.89999999999998</v>
      </c>
      <c r="P781" s="10" t="s">
        <v>48</v>
      </c>
    </row>
    <row r="782" spans="1:16">
      <c r="A782" s="10" t="s">
        <v>1366</v>
      </c>
      <c r="B782" s="11">
        <v>45864</v>
      </c>
      <c r="C782" s="11">
        <v>45865</v>
      </c>
      <c r="D782" s="10" t="s">
        <v>436</v>
      </c>
      <c r="E782" s="10" t="s">
        <v>240</v>
      </c>
      <c r="F782" s="10" t="s">
        <v>19</v>
      </c>
      <c r="G782" s="10" t="s">
        <v>179</v>
      </c>
      <c r="H782" s="10" t="s">
        <v>21</v>
      </c>
      <c r="I782" s="10" t="s">
        <v>22</v>
      </c>
      <c r="J782" s="10" t="s">
        <v>76</v>
      </c>
      <c r="K782" s="10" t="s">
        <v>77</v>
      </c>
      <c r="L782" s="12">
        <v>2720</v>
      </c>
      <c r="M782" s="10">
        <v>2</v>
      </c>
      <c r="N782" s="13">
        <v>0.15</v>
      </c>
      <c r="O782" s="14">
        <v>440.61</v>
      </c>
      <c r="P782" s="10" t="s">
        <v>63</v>
      </c>
    </row>
    <row r="783" spans="1:16">
      <c r="A783" s="10" t="s">
        <v>1367</v>
      </c>
      <c r="B783" s="11">
        <v>45302</v>
      </c>
      <c r="C783" s="11">
        <v>45306</v>
      </c>
      <c r="D783" s="10" t="s">
        <v>1207</v>
      </c>
      <c r="E783" s="10" t="s">
        <v>796</v>
      </c>
      <c r="F783" s="10" t="s">
        <v>19</v>
      </c>
      <c r="G783" s="10" t="s">
        <v>81</v>
      </c>
      <c r="H783" s="10" t="s">
        <v>68</v>
      </c>
      <c r="I783" s="10" t="s">
        <v>22</v>
      </c>
      <c r="J783" s="10" t="s">
        <v>76</v>
      </c>
      <c r="K783" s="10" t="s">
        <v>77</v>
      </c>
      <c r="L783" s="12">
        <v>3040</v>
      </c>
      <c r="M783" s="10">
        <v>2</v>
      </c>
      <c r="N783" s="13">
        <v>0.05</v>
      </c>
      <c r="O783" s="14">
        <v>617.91</v>
      </c>
      <c r="P783" s="10" t="s">
        <v>69</v>
      </c>
    </row>
    <row r="784" spans="1:16">
      <c r="A784" s="10" t="s">
        <v>1368</v>
      </c>
      <c r="B784" s="11">
        <v>45893</v>
      </c>
      <c r="C784" s="11">
        <v>45895</v>
      </c>
      <c r="D784" s="10" t="s">
        <v>870</v>
      </c>
      <c r="E784" s="10" t="s">
        <v>887</v>
      </c>
      <c r="F784" s="10" t="s">
        <v>19</v>
      </c>
      <c r="G784" s="10" t="s">
        <v>20</v>
      </c>
      <c r="H784" s="10" t="s">
        <v>21</v>
      </c>
      <c r="I784" s="10" t="s">
        <v>22</v>
      </c>
      <c r="J784" s="10" t="s">
        <v>38</v>
      </c>
      <c r="K784" s="10" t="s">
        <v>104</v>
      </c>
      <c r="L784" s="12">
        <v>1105</v>
      </c>
      <c r="M784" s="10">
        <v>2</v>
      </c>
      <c r="N784" s="13">
        <v>0.15</v>
      </c>
      <c r="O784" s="14">
        <v>168.24</v>
      </c>
      <c r="P784" s="10" t="s">
        <v>63</v>
      </c>
    </row>
    <row r="785" spans="1:16">
      <c r="A785" s="10" t="s">
        <v>1369</v>
      </c>
      <c r="B785" s="11">
        <v>45554</v>
      </c>
      <c r="C785" s="11">
        <v>45557</v>
      </c>
      <c r="D785" s="10" t="s">
        <v>1317</v>
      </c>
      <c r="E785" s="10" t="s">
        <v>829</v>
      </c>
      <c r="F785" s="10" t="s">
        <v>29</v>
      </c>
      <c r="G785" s="10" t="s">
        <v>81</v>
      </c>
      <c r="H785" s="10" t="s">
        <v>68</v>
      </c>
      <c r="I785" s="10" t="s">
        <v>22</v>
      </c>
      <c r="J785" s="10" t="s">
        <v>76</v>
      </c>
      <c r="K785" s="10" t="s">
        <v>85</v>
      </c>
      <c r="L785" s="12">
        <v>1760</v>
      </c>
      <c r="M785" s="10">
        <v>8</v>
      </c>
      <c r="N785" s="13">
        <v>0</v>
      </c>
      <c r="O785" s="14">
        <v>557.53</v>
      </c>
      <c r="P785" s="10" t="s">
        <v>69</v>
      </c>
    </row>
    <row r="786" spans="1:16">
      <c r="A786" s="10" t="s">
        <v>1370</v>
      </c>
      <c r="B786" s="11">
        <v>45890</v>
      </c>
      <c r="C786" s="11">
        <v>45894</v>
      </c>
      <c r="D786" s="10" t="s">
        <v>284</v>
      </c>
      <c r="E786" s="10" t="s">
        <v>553</v>
      </c>
      <c r="F786" s="10" t="s">
        <v>43</v>
      </c>
      <c r="G786" s="10" t="s">
        <v>151</v>
      </c>
      <c r="H786" s="10" t="s">
        <v>151</v>
      </c>
      <c r="I786" s="10" t="s">
        <v>75</v>
      </c>
      <c r="J786" s="10" t="s">
        <v>23</v>
      </c>
      <c r="K786" s="10" t="s">
        <v>89</v>
      </c>
      <c r="L786" s="12">
        <v>8400</v>
      </c>
      <c r="M786" s="10">
        <v>3</v>
      </c>
      <c r="N786" s="13">
        <v>0</v>
      </c>
      <c r="O786" s="14">
        <v>2166.56</v>
      </c>
      <c r="P786" s="10" t="s">
        <v>48</v>
      </c>
    </row>
    <row r="787" spans="1:16">
      <c r="A787" s="10" t="s">
        <v>1371</v>
      </c>
      <c r="B787" s="11">
        <v>45822</v>
      </c>
      <c r="C787" s="11">
        <v>45827</v>
      </c>
      <c r="D787" s="10" t="s">
        <v>375</v>
      </c>
      <c r="E787" s="10" t="s">
        <v>776</v>
      </c>
      <c r="F787" s="10" t="s">
        <v>43</v>
      </c>
      <c r="G787" s="10" t="s">
        <v>167</v>
      </c>
      <c r="H787" s="10" t="s">
        <v>168</v>
      </c>
      <c r="I787" s="10" t="s">
        <v>37</v>
      </c>
      <c r="J787" s="10" t="s">
        <v>30</v>
      </c>
      <c r="K787" s="10" t="s">
        <v>261</v>
      </c>
      <c r="L787" s="12">
        <v>612</v>
      </c>
      <c r="M787" s="10">
        <v>4</v>
      </c>
      <c r="N787" s="13">
        <v>0.15</v>
      </c>
      <c r="O787" s="14">
        <v>88.44</v>
      </c>
      <c r="P787" s="10" t="s">
        <v>56</v>
      </c>
    </row>
    <row r="788" spans="1:16">
      <c r="A788" s="10" t="s">
        <v>1372</v>
      </c>
      <c r="B788" s="11">
        <v>46291</v>
      </c>
      <c r="C788" s="11">
        <v>46293</v>
      </c>
      <c r="D788" s="10" t="s">
        <v>886</v>
      </c>
      <c r="E788" s="10" t="s">
        <v>656</v>
      </c>
      <c r="F788" s="10" t="s">
        <v>19</v>
      </c>
      <c r="G788" s="10" t="s">
        <v>167</v>
      </c>
      <c r="H788" s="10" t="s">
        <v>168</v>
      </c>
      <c r="I788" s="10" t="s">
        <v>37</v>
      </c>
      <c r="J788" s="10" t="s">
        <v>30</v>
      </c>
      <c r="K788" s="10" t="s">
        <v>261</v>
      </c>
      <c r="L788" s="12">
        <v>1080</v>
      </c>
      <c r="M788" s="10">
        <v>6</v>
      </c>
      <c r="N788" s="13">
        <v>0</v>
      </c>
      <c r="O788" s="14">
        <v>222.86</v>
      </c>
      <c r="P788" s="10" t="s">
        <v>69</v>
      </c>
    </row>
    <row r="789" spans="1:16">
      <c r="A789" s="10" t="s">
        <v>1373</v>
      </c>
      <c r="B789" s="11">
        <v>46164</v>
      </c>
      <c r="C789" s="11">
        <v>46169</v>
      </c>
      <c r="D789" s="10" t="s">
        <v>377</v>
      </c>
      <c r="E789" s="10" t="s">
        <v>287</v>
      </c>
      <c r="F789" s="10" t="s">
        <v>29</v>
      </c>
      <c r="G789" s="10" t="s">
        <v>224</v>
      </c>
      <c r="H789" s="10" t="s">
        <v>225</v>
      </c>
      <c r="I789" s="10" t="s">
        <v>75</v>
      </c>
      <c r="J789" s="10" t="s">
        <v>23</v>
      </c>
      <c r="K789" s="10" t="s">
        <v>47</v>
      </c>
      <c r="L789" s="12">
        <v>13950</v>
      </c>
      <c r="M789" s="10">
        <v>5</v>
      </c>
      <c r="N789" s="13">
        <v>0.1</v>
      </c>
      <c r="O789" s="14">
        <v>3899.85</v>
      </c>
      <c r="P789" s="10" t="s">
        <v>25</v>
      </c>
    </row>
    <row r="790" spans="1:16">
      <c r="A790" s="10" t="s">
        <v>1374</v>
      </c>
      <c r="B790" s="11">
        <v>45516</v>
      </c>
      <c r="C790" s="11">
        <v>45517</v>
      </c>
      <c r="D790" s="10" t="s">
        <v>441</v>
      </c>
      <c r="E790" s="10" t="s">
        <v>1255</v>
      </c>
      <c r="F790" s="10" t="s">
        <v>19</v>
      </c>
      <c r="G790" s="10" t="s">
        <v>167</v>
      </c>
      <c r="H790" s="10" t="s">
        <v>168</v>
      </c>
      <c r="I790" s="10" t="s">
        <v>37</v>
      </c>
      <c r="J790" s="10" t="s">
        <v>30</v>
      </c>
      <c r="K790" s="10" t="s">
        <v>31</v>
      </c>
      <c r="L790" s="12">
        <v>816</v>
      </c>
      <c r="M790" s="10">
        <v>8</v>
      </c>
      <c r="N790" s="13">
        <v>0.15</v>
      </c>
      <c r="O790" s="14">
        <v>246.5</v>
      </c>
      <c r="P790" s="10" t="s">
        <v>25</v>
      </c>
    </row>
    <row r="791" spans="1:16">
      <c r="A791" s="10" t="s">
        <v>1375</v>
      </c>
      <c r="B791" s="11">
        <v>45502</v>
      </c>
      <c r="C791" s="11">
        <v>45506</v>
      </c>
      <c r="D791" s="10" t="s">
        <v>925</v>
      </c>
      <c r="E791" s="10" t="s">
        <v>350</v>
      </c>
      <c r="F791" s="10" t="s">
        <v>43</v>
      </c>
      <c r="G791" s="10" t="s">
        <v>97</v>
      </c>
      <c r="H791" s="10" t="s">
        <v>21</v>
      </c>
      <c r="I791" s="10" t="s">
        <v>22</v>
      </c>
      <c r="J791" s="10" t="s">
        <v>38</v>
      </c>
      <c r="K791" s="10" t="s">
        <v>169</v>
      </c>
      <c r="L791" s="12">
        <v>1450</v>
      </c>
      <c r="M791" s="10">
        <v>1</v>
      </c>
      <c r="N791" s="13">
        <v>0</v>
      </c>
      <c r="O791" s="14">
        <v>416.08</v>
      </c>
      <c r="P791" s="10" t="s">
        <v>25</v>
      </c>
    </row>
    <row r="792" spans="1:16">
      <c r="A792" s="10" t="s">
        <v>1376</v>
      </c>
      <c r="B792" s="11">
        <v>45491</v>
      </c>
      <c r="C792" s="11">
        <v>45497</v>
      </c>
      <c r="D792" s="10" t="s">
        <v>699</v>
      </c>
      <c r="E792" s="10" t="s">
        <v>867</v>
      </c>
      <c r="F792" s="10" t="s">
        <v>43</v>
      </c>
      <c r="G792" s="10" t="s">
        <v>224</v>
      </c>
      <c r="H792" s="10" t="s">
        <v>225</v>
      </c>
      <c r="I792" s="10" t="s">
        <v>75</v>
      </c>
      <c r="J792" s="10" t="s">
        <v>23</v>
      </c>
      <c r="K792" s="10" t="s">
        <v>120</v>
      </c>
      <c r="L792" s="12">
        <v>4200</v>
      </c>
      <c r="M792" s="10">
        <v>1</v>
      </c>
      <c r="N792" s="13">
        <v>0</v>
      </c>
      <c r="O792" s="14">
        <v>1379.98</v>
      </c>
      <c r="P792" s="10" t="s">
        <v>56</v>
      </c>
    </row>
    <row r="793" spans="1:16">
      <c r="A793" s="10" t="s">
        <v>1377</v>
      </c>
      <c r="B793" s="11">
        <v>45639</v>
      </c>
      <c r="C793" s="11">
        <v>45646</v>
      </c>
      <c r="D793" s="10" t="s">
        <v>862</v>
      </c>
      <c r="E793" s="10" t="s">
        <v>653</v>
      </c>
      <c r="F793" s="10" t="s">
        <v>19</v>
      </c>
      <c r="G793" s="10" t="s">
        <v>151</v>
      </c>
      <c r="H793" s="10" t="s">
        <v>151</v>
      </c>
      <c r="I793" s="10" t="s">
        <v>75</v>
      </c>
      <c r="J793" s="10" t="s">
        <v>30</v>
      </c>
      <c r="K793" s="10" t="s">
        <v>31</v>
      </c>
      <c r="L793" s="12">
        <v>480</v>
      </c>
      <c r="M793" s="10">
        <v>4</v>
      </c>
      <c r="N793" s="13">
        <v>0</v>
      </c>
      <c r="O793" s="14">
        <v>160.43</v>
      </c>
      <c r="P793" s="10" t="s">
        <v>56</v>
      </c>
    </row>
    <row r="794" spans="1:16">
      <c r="A794" s="10" t="s">
        <v>1378</v>
      </c>
      <c r="B794" s="11">
        <v>45680</v>
      </c>
      <c r="C794" s="11">
        <v>45686</v>
      </c>
      <c r="D794" s="10" t="s">
        <v>354</v>
      </c>
      <c r="E794" s="10" t="s">
        <v>1025</v>
      </c>
      <c r="F794" s="10" t="s">
        <v>29</v>
      </c>
      <c r="G794" s="10" t="s">
        <v>35</v>
      </c>
      <c r="H794" s="10" t="s">
        <v>36</v>
      </c>
      <c r="I794" s="10" t="s">
        <v>37</v>
      </c>
      <c r="J794" s="10" t="s">
        <v>38</v>
      </c>
      <c r="K794" s="10" t="s">
        <v>169</v>
      </c>
      <c r="L794" s="12">
        <v>5510</v>
      </c>
      <c r="M794" s="10">
        <v>4</v>
      </c>
      <c r="N794" s="13">
        <v>0.05</v>
      </c>
      <c r="O794" s="14">
        <v>1398.92</v>
      </c>
      <c r="P794" s="10" t="s">
        <v>63</v>
      </c>
    </row>
    <row r="795" spans="1:16">
      <c r="A795" s="10" t="s">
        <v>1379</v>
      </c>
      <c r="B795" s="11">
        <v>46292</v>
      </c>
      <c r="C795" s="11">
        <v>46299</v>
      </c>
      <c r="D795" s="10" t="s">
        <v>1074</v>
      </c>
      <c r="E795" s="10" t="s">
        <v>1380</v>
      </c>
      <c r="F795" s="10" t="s">
        <v>19</v>
      </c>
      <c r="G795" s="10" t="s">
        <v>224</v>
      </c>
      <c r="H795" s="10" t="s">
        <v>225</v>
      </c>
      <c r="I795" s="10" t="s">
        <v>75</v>
      </c>
      <c r="J795" s="10" t="s">
        <v>76</v>
      </c>
      <c r="K795" s="10" t="s">
        <v>206</v>
      </c>
      <c r="L795" s="12">
        <v>2200</v>
      </c>
      <c r="M795" s="10">
        <v>2</v>
      </c>
      <c r="N795" s="13">
        <v>0</v>
      </c>
      <c r="O795" s="14">
        <v>331.08</v>
      </c>
      <c r="P795" s="10" t="s">
        <v>25</v>
      </c>
    </row>
    <row r="796" spans="1:16">
      <c r="A796" s="10" t="s">
        <v>1381</v>
      </c>
      <c r="B796" s="11">
        <v>46003</v>
      </c>
      <c r="C796" s="11">
        <v>46006</v>
      </c>
      <c r="D796" s="10" t="s">
        <v>414</v>
      </c>
      <c r="E796" s="10" t="s">
        <v>495</v>
      </c>
      <c r="F796" s="10" t="s">
        <v>29</v>
      </c>
      <c r="G796" s="10" t="s">
        <v>67</v>
      </c>
      <c r="H796" s="10" t="s">
        <v>68</v>
      </c>
      <c r="I796" s="10" t="s">
        <v>22</v>
      </c>
      <c r="J796" s="10" t="s">
        <v>76</v>
      </c>
      <c r="K796" s="10" t="s">
        <v>131</v>
      </c>
      <c r="L796" s="12">
        <v>297.5</v>
      </c>
      <c r="M796" s="10">
        <v>1</v>
      </c>
      <c r="N796" s="13">
        <v>0.15</v>
      </c>
      <c r="O796" s="14">
        <v>60.93</v>
      </c>
      <c r="P796" s="10" t="s">
        <v>69</v>
      </c>
    </row>
    <row r="797" spans="1:16">
      <c r="A797" s="10" t="s">
        <v>1382</v>
      </c>
      <c r="B797" s="11">
        <v>45545</v>
      </c>
      <c r="C797" s="11">
        <v>45546</v>
      </c>
      <c r="D797" s="10" t="s">
        <v>525</v>
      </c>
      <c r="E797" s="10" t="s">
        <v>700</v>
      </c>
      <c r="F797" s="10" t="s">
        <v>19</v>
      </c>
      <c r="G797" s="10" t="s">
        <v>167</v>
      </c>
      <c r="H797" s="10" t="s">
        <v>168</v>
      </c>
      <c r="I797" s="10" t="s">
        <v>37</v>
      </c>
      <c r="J797" s="10" t="s">
        <v>23</v>
      </c>
      <c r="K797" s="10" t="s">
        <v>24</v>
      </c>
      <c r="L797" s="12">
        <v>52000</v>
      </c>
      <c r="M797" s="10">
        <v>8</v>
      </c>
      <c r="N797" s="13">
        <v>0</v>
      </c>
      <c r="O797" s="14">
        <v>9926.92</v>
      </c>
      <c r="P797" s="10" t="s">
        <v>63</v>
      </c>
    </row>
    <row r="798" spans="1:16">
      <c r="A798" s="10" t="s">
        <v>1383</v>
      </c>
      <c r="B798" s="11">
        <v>45358</v>
      </c>
      <c r="C798" s="11">
        <v>45360</v>
      </c>
      <c r="D798" s="10" t="s">
        <v>263</v>
      </c>
      <c r="E798" s="10" t="s">
        <v>905</v>
      </c>
      <c r="F798" s="10" t="s">
        <v>43</v>
      </c>
      <c r="G798" s="10" t="s">
        <v>151</v>
      </c>
      <c r="H798" s="10" t="s">
        <v>151</v>
      </c>
      <c r="I798" s="10" t="s">
        <v>75</v>
      </c>
      <c r="J798" s="10" t="s">
        <v>76</v>
      </c>
      <c r="K798" s="10" t="s">
        <v>85</v>
      </c>
      <c r="L798" s="12">
        <v>1188</v>
      </c>
      <c r="M798" s="10">
        <v>6</v>
      </c>
      <c r="N798" s="13">
        <v>0.1</v>
      </c>
      <c r="O798" s="14">
        <v>273.33999999999997</v>
      </c>
      <c r="P798" s="10" t="s">
        <v>63</v>
      </c>
    </row>
    <row r="799" spans="1:16">
      <c r="A799" s="10" t="s">
        <v>1384</v>
      </c>
      <c r="B799" s="11">
        <v>46003</v>
      </c>
      <c r="C799" s="11">
        <v>46007</v>
      </c>
      <c r="D799" s="10" t="s">
        <v>529</v>
      </c>
      <c r="E799" s="10" t="s">
        <v>716</v>
      </c>
      <c r="F799" s="10" t="s">
        <v>29</v>
      </c>
      <c r="G799" s="10" t="s">
        <v>60</v>
      </c>
      <c r="H799" s="10" t="s">
        <v>61</v>
      </c>
      <c r="I799" s="10" t="s">
        <v>37</v>
      </c>
      <c r="J799" s="10" t="s">
        <v>76</v>
      </c>
      <c r="K799" s="10" t="s">
        <v>77</v>
      </c>
      <c r="L799" s="12">
        <v>6800</v>
      </c>
      <c r="M799" s="10">
        <v>5</v>
      </c>
      <c r="N799" s="13">
        <v>0.15</v>
      </c>
      <c r="O799" s="14">
        <v>1722.13</v>
      </c>
      <c r="P799" s="10" t="s">
        <v>56</v>
      </c>
    </row>
    <row r="800" spans="1:16">
      <c r="A800" s="10" t="s">
        <v>1385</v>
      </c>
      <c r="B800" s="11">
        <v>45516</v>
      </c>
      <c r="C800" s="11">
        <v>45518</v>
      </c>
      <c r="D800" s="10" t="s">
        <v>532</v>
      </c>
      <c r="E800" s="10" t="s">
        <v>887</v>
      </c>
      <c r="F800" s="10" t="s">
        <v>43</v>
      </c>
      <c r="G800" s="10" t="s">
        <v>73</v>
      </c>
      <c r="H800" s="10" t="s">
        <v>74</v>
      </c>
      <c r="I800" s="10" t="s">
        <v>75</v>
      </c>
      <c r="J800" s="10" t="s">
        <v>30</v>
      </c>
      <c r="K800" s="10" t="s">
        <v>127</v>
      </c>
      <c r="L800" s="12">
        <v>570</v>
      </c>
      <c r="M800" s="10">
        <v>4</v>
      </c>
      <c r="N800" s="13">
        <v>0.05</v>
      </c>
      <c r="O800" s="14">
        <v>149.34</v>
      </c>
      <c r="P800" s="10" t="s">
        <v>69</v>
      </c>
    </row>
    <row r="801" spans="1:16">
      <c r="A801" s="10" t="s">
        <v>1386</v>
      </c>
      <c r="B801" s="11">
        <v>45855</v>
      </c>
      <c r="C801" s="11">
        <v>45856</v>
      </c>
      <c r="D801" s="10" t="s">
        <v>807</v>
      </c>
      <c r="E801" s="10" t="s">
        <v>366</v>
      </c>
      <c r="F801" s="10" t="s">
        <v>19</v>
      </c>
      <c r="G801" s="10" t="s">
        <v>97</v>
      </c>
      <c r="H801" s="10" t="s">
        <v>21</v>
      </c>
      <c r="I801" s="10" t="s">
        <v>22</v>
      </c>
      <c r="J801" s="10" t="s">
        <v>38</v>
      </c>
      <c r="K801" s="10" t="s">
        <v>169</v>
      </c>
      <c r="L801" s="12">
        <v>9860</v>
      </c>
      <c r="M801" s="10">
        <v>8</v>
      </c>
      <c r="N801" s="13">
        <v>0.15</v>
      </c>
      <c r="O801" s="14">
        <v>2623.65</v>
      </c>
      <c r="P801" s="10" t="s">
        <v>63</v>
      </c>
    </row>
    <row r="802" spans="1:16">
      <c r="A802" s="10" t="s">
        <v>1387</v>
      </c>
      <c r="B802" s="11">
        <v>45636</v>
      </c>
      <c r="C802" s="11">
        <v>45640</v>
      </c>
      <c r="D802" s="10" t="s">
        <v>505</v>
      </c>
      <c r="E802" s="10" t="s">
        <v>141</v>
      </c>
      <c r="F802" s="10" t="s">
        <v>29</v>
      </c>
      <c r="G802" s="10" t="s">
        <v>73</v>
      </c>
      <c r="H802" s="10" t="s">
        <v>74</v>
      </c>
      <c r="I802" s="10" t="s">
        <v>75</v>
      </c>
      <c r="J802" s="10" t="s">
        <v>76</v>
      </c>
      <c r="K802" s="10" t="s">
        <v>77</v>
      </c>
      <c r="L802" s="12">
        <v>10640</v>
      </c>
      <c r="M802" s="10">
        <v>7</v>
      </c>
      <c r="N802" s="13">
        <v>0.05</v>
      </c>
      <c r="O802" s="14">
        <v>1737.82</v>
      </c>
      <c r="P802" s="10" t="s">
        <v>56</v>
      </c>
    </row>
    <row r="803" spans="1:16">
      <c r="A803" s="10" t="s">
        <v>1388</v>
      </c>
      <c r="B803" s="11">
        <v>45744</v>
      </c>
      <c r="C803" s="11">
        <v>45746</v>
      </c>
      <c r="D803" s="10" t="s">
        <v>569</v>
      </c>
      <c r="E803" s="10" t="s">
        <v>185</v>
      </c>
      <c r="F803" s="10" t="s">
        <v>29</v>
      </c>
      <c r="G803" s="10" t="s">
        <v>179</v>
      </c>
      <c r="H803" s="10" t="s">
        <v>21</v>
      </c>
      <c r="I803" s="10" t="s">
        <v>22</v>
      </c>
      <c r="J803" s="10" t="s">
        <v>38</v>
      </c>
      <c r="K803" s="10" t="s">
        <v>169</v>
      </c>
      <c r="L803" s="12">
        <v>2755</v>
      </c>
      <c r="M803" s="10">
        <v>2</v>
      </c>
      <c r="N803" s="13">
        <v>0.05</v>
      </c>
      <c r="O803" s="14">
        <v>422.68</v>
      </c>
      <c r="P803" s="10" t="s">
        <v>69</v>
      </c>
    </row>
    <row r="804" spans="1:16">
      <c r="A804" s="10" t="s">
        <v>1389</v>
      </c>
      <c r="B804" s="11">
        <v>46240</v>
      </c>
      <c r="C804" s="11">
        <v>46242</v>
      </c>
      <c r="D804" s="10" t="s">
        <v>309</v>
      </c>
      <c r="E804" s="10" t="s">
        <v>1390</v>
      </c>
      <c r="F804" s="10" t="s">
        <v>43</v>
      </c>
      <c r="G804" s="10" t="s">
        <v>20</v>
      </c>
      <c r="H804" s="10" t="s">
        <v>21</v>
      </c>
      <c r="I804" s="10" t="s">
        <v>22</v>
      </c>
      <c r="J804" s="10" t="s">
        <v>38</v>
      </c>
      <c r="K804" s="10" t="s">
        <v>104</v>
      </c>
      <c r="L804" s="12">
        <v>3900</v>
      </c>
      <c r="M804" s="10">
        <v>6</v>
      </c>
      <c r="N804" s="13">
        <v>0</v>
      </c>
      <c r="O804" s="14">
        <v>928.33</v>
      </c>
      <c r="P804" s="10" t="s">
        <v>69</v>
      </c>
    </row>
    <row r="805" spans="1:16">
      <c r="A805" s="10" t="s">
        <v>1391</v>
      </c>
      <c r="B805" s="11">
        <v>45601</v>
      </c>
      <c r="C805" s="11">
        <v>45607</v>
      </c>
      <c r="D805" s="10" t="s">
        <v>476</v>
      </c>
      <c r="E805" s="10" t="s">
        <v>285</v>
      </c>
      <c r="F805" s="10" t="s">
        <v>43</v>
      </c>
      <c r="G805" s="10" t="s">
        <v>44</v>
      </c>
      <c r="H805" s="10" t="s">
        <v>45</v>
      </c>
      <c r="I805" s="10" t="s">
        <v>46</v>
      </c>
      <c r="J805" s="10" t="s">
        <v>23</v>
      </c>
      <c r="K805" s="10" t="s">
        <v>24</v>
      </c>
      <c r="L805" s="12">
        <v>15600</v>
      </c>
      <c r="M805" s="10">
        <v>3</v>
      </c>
      <c r="N805" s="13">
        <v>0.2</v>
      </c>
      <c r="O805" s="14">
        <v>2459.29</v>
      </c>
      <c r="P805" s="10" t="s">
        <v>69</v>
      </c>
    </row>
    <row r="806" spans="1:16">
      <c r="A806" s="10" t="s">
        <v>1392</v>
      </c>
      <c r="B806" s="11">
        <v>46134</v>
      </c>
      <c r="C806" s="11">
        <v>46137</v>
      </c>
      <c r="D806" s="10" t="s">
        <v>1393</v>
      </c>
      <c r="E806" s="10" t="s">
        <v>1253</v>
      </c>
      <c r="F806" s="10" t="s">
        <v>43</v>
      </c>
      <c r="G806" s="10" t="s">
        <v>35</v>
      </c>
      <c r="H806" s="10" t="s">
        <v>36</v>
      </c>
      <c r="I806" s="10" t="s">
        <v>37</v>
      </c>
      <c r="J806" s="10" t="s">
        <v>76</v>
      </c>
      <c r="K806" s="10" t="s">
        <v>77</v>
      </c>
      <c r="L806" s="12">
        <v>1440</v>
      </c>
      <c r="M806" s="10">
        <v>1</v>
      </c>
      <c r="N806" s="13">
        <v>0.1</v>
      </c>
      <c r="O806" s="14">
        <v>280.70999999999998</v>
      </c>
      <c r="P806" s="10" t="s">
        <v>56</v>
      </c>
    </row>
    <row r="807" spans="1:16">
      <c r="A807" s="10" t="s">
        <v>1394</v>
      </c>
      <c r="B807" s="11">
        <v>45524</v>
      </c>
      <c r="C807" s="11">
        <v>45530</v>
      </c>
      <c r="D807" s="10" t="s">
        <v>1283</v>
      </c>
      <c r="E807" s="10" t="s">
        <v>1298</v>
      </c>
      <c r="F807" s="10" t="s">
        <v>43</v>
      </c>
      <c r="G807" s="10" t="s">
        <v>60</v>
      </c>
      <c r="H807" s="10" t="s">
        <v>61</v>
      </c>
      <c r="I807" s="10" t="s">
        <v>37</v>
      </c>
      <c r="J807" s="10" t="s">
        <v>30</v>
      </c>
      <c r="K807" s="10" t="s">
        <v>127</v>
      </c>
      <c r="L807" s="12">
        <v>510</v>
      </c>
      <c r="M807" s="10">
        <v>4</v>
      </c>
      <c r="N807" s="13">
        <v>0.15</v>
      </c>
      <c r="O807" s="14">
        <v>104.49</v>
      </c>
      <c r="P807" s="10" t="s">
        <v>69</v>
      </c>
    </row>
    <row r="808" spans="1:16">
      <c r="A808" s="10" t="s">
        <v>1395</v>
      </c>
      <c r="B808" s="11">
        <v>46102</v>
      </c>
      <c r="C808" s="11">
        <v>46103</v>
      </c>
      <c r="D808" s="10" t="s">
        <v>414</v>
      </c>
      <c r="E808" s="10" t="s">
        <v>943</v>
      </c>
      <c r="F808" s="10" t="s">
        <v>43</v>
      </c>
      <c r="G808" s="10" t="s">
        <v>67</v>
      </c>
      <c r="H808" s="10" t="s">
        <v>68</v>
      </c>
      <c r="I808" s="10" t="s">
        <v>22</v>
      </c>
      <c r="J808" s="10" t="s">
        <v>30</v>
      </c>
      <c r="K808" s="10" t="s">
        <v>127</v>
      </c>
      <c r="L808" s="12">
        <v>1050</v>
      </c>
      <c r="M808" s="10">
        <v>7</v>
      </c>
      <c r="N808" s="13">
        <v>0</v>
      </c>
      <c r="O808" s="14">
        <v>279.24</v>
      </c>
      <c r="P808" s="10" t="s">
        <v>56</v>
      </c>
    </row>
    <row r="809" spans="1:16">
      <c r="A809" s="10" t="s">
        <v>1396</v>
      </c>
      <c r="B809" s="11">
        <v>45883</v>
      </c>
      <c r="C809" s="11">
        <v>45890</v>
      </c>
      <c r="D809" s="10" t="s">
        <v>343</v>
      </c>
      <c r="E809" s="10" t="s">
        <v>687</v>
      </c>
      <c r="F809" s="10" t="s">
        <v>43</v>
      </c>
      <c r="G809" s="10" t="s">
        <v>97</v>
      </c>
      <c r="H809" s="10" t="s">
        <v>21</v>
      </c>
      <c r="I809" s="10" t="s">
        <v>22</v>
      </c>
      <c r="J809" s="10" t="s">
        <v>23</v>
      </c>
      <c r="K809" s="10" t="s">
        <v>120</v>
      </c>
      <c r="L809" s="12">
        <v>26880</v>
      </c>
      <c r="M809" s="10">
        <v>8</v>
      </c>
      <c r="N809" s="13">
        <v>0.2</v>
      </c>
      <c r="O809" s="14">
        <v>3577.25</v>
      </c>
      <c r="P809" s="10" t="s">
        <v>25</v>
      </c>
    </row>
    <row r="810" spans="1:16">
      <c r="A810" s="10" t="s">
        <v>1397</v>
      </c>
      <c r="B810" s="11">
        <v>46073</v>
      </c>
      <c r="C810" s="11">
        <v>46080</v>
      </c>
      <c r="D810" s="10" t="s">
        <v>165</v>
      </c>
      <c r="E810" s="10" t="s">
        <v>100</v>
      </c>
      <c r="F810" s="10" t="s">
        <v>43</v>
      </c>
      <c r="G810" s="10" t="s">
        <v>60</v>
      </c>
      <c r="H810" s="10" t="s">
        <v>61</v>
      </c>
      <c r="I810" s="10" t="s">
        <v>37</v>
      </c>
      <c r="J810" s="10" t="s">
        <v>23</v>
      </c>
      <c r="K810" s="10" t="s">
        <v>89</v>
      </c>
      <c r="L810" s="12">
        <v>2380</v>
      </c>
      <c r="M810" s="10">
        <v>1</v>
      </c>
      <c r="N810" s="13">
        <v>0.15</v>
      </c>
      <c r="O810" s="14">
        <v>364.87</v>
      </c>
      <c r="P810" s="10" t="s">
        <v>63</v>
      </c>
    </row>
    <row r="811" spans="1:16">
      <c r="A811" s="10" t="s">
        <v>1398</v>
      </c>
      <c r="B811" s="11">
        <v>45936</v>
      </c>
      <c r="C811" s="11">
        <v>45943</v>
      </c>
      <c r="D811" s="10" t="s">
        <v>744</v>
      </c>
      <c r="E811" s="10" t="s">
        <v>235</v>
      </c>
      <c r="F811" s="10" t="s">
        <v>29</v>
      </c>
      <c r="G811" s="10" t="s">
        <v>224</v>
      </c>
      <c r="H811" s="10" t="s">
        <v>225</v>
      </c>
      <c r="I811" s="10" t="s">
        <v>75</v>
      </c>
      <c r="J811" s="10" t="s">
        <v>76</v>
      </c>
      <c r="K811" s="10" t="s">
        <v>77</v>
      </c>
      <c r="L811" s="12">
        <v>5760</v>
      </c>
      <c r="M811" s="10">
        <v>4</v>
      </c>
      <c r="N811" s="13">
        <v>0.1</v>
      </c>
      <c r="O811" s="14">
        <v>2006.99</v>
      </c>
      <c r="P811" s="10" t="s">
        <v>69</v>
      </c>
    </row>
    <row r="812" spans="1:16">
      <c r="A812" s="10" t="s">
        <v>1399</v>
      </c>
      <c r="B812" s="11">
        <v>45875</v>
      </c>
      <c r="C812" s="11">
        <v>45879</v>
      </c>
      <c r="D812" s="10" t="s">
        <v>263</v>
      </c>
      <c r="E812" s="10" t="s">
        <v>80</v>
      </c>
      <c r="F812" s="10" t="s">
        <v>19</v>
      </c>
      <c r="G812" s="10" t="s">
        <v>167</v>
      </c>
      <c r="H812" s="10" t="s">
        <v>168</v>
      </c>
      <c r="I812" s="10" t="s">
        <v>37</v>
      </c>
      <c r="J812" s="10" t="s">
        <v>23</v>
      </c>
      <c r="K812" s="10" t="s">
        <v>120</v>
      </c>
      <c r="L812" s="12">
        <v>12600</v>
      </c>
      <c r="M812" s="10">
        <v>3</v>
      </c>
      <c r="N812" s="13">
        <v>0</v>
      </c>
      <c r="O812" s="14">
        <v>2577.0700000000002</v>
      </c>
      <c r="P812" s="10" t="s">
        <v>63</v>
      </c>
    </row>
    <row r="813" spans="1:16">
      <c r="A813" s="10" t="s">
        <v>1400</v>
      </c>
      <c r="B813" s="11">
        <v>45792</v>
      </c>
      <c r="C813" s="11">
        <v>45793</v>
      </c>
      <c r="D813" s="10" t="s">
        <v>721</v>
      </c>
      <c r="E813" s="10" t="s">
        <v>412</v>
      </c>
      <c r="F813" s="10" t="s">
        <v>43</v>
      </c>
      <c r="G813" s="10" t="s">
        <v>97</v>
      </c>
      <c r="H813" s="10" t="s">
        <v>21</v>
      </c>
      <c r="I813" s="10" t="s">
        <v>22</v>
      </c>
      <c r="J813" s="10" t="s">
        <v>30</v>
      </c>
      <c r="K813" s="10" t="s">
        <v>261</v>
      </c>
      <c r="L813" s="12">
        <v>1197</v>
      </c>
      <c r="M813" s="10">
        <v>7</v>
      </c>
      <c r="N813" s="13">
        <v>0.05</v>
      </c>
      <c r="O813" s="14">
        <v>381.8</v>
      </c>
      <c r="P813" s="10" t="s">
        <v>48</v>
      </c>
    </row>
    <row r="814" spans="1:16">
      <c r="A814" s="10" t="s">
        <v>1401</v>
      </c>
      <c r="B814" s="11">
        <v>45669</v>
      </c>
      <c r="C814" s="11">
        <v>45674</v>
      </c>
      <c r="D814" s="10" t="s">
        <v>555</v>
      </c>
      <c r="E814" s="10" t="s">
        <v>160</v>
      </c>
      <c r="F814" s="10" t="s">
        <v>43</v>
      </c>
      <c r="G814" s="10" t="s">
        <v>135</v>
      </c>
      <c r="H814" s="10" t="s">
        <v>21</v>
      </c>
      <c r="I814" s="10" t="s">
        <v>22</v>
      </c>
      <c r="J814" s="10" t="s">
        <v>30</v>
      </c>
      <c r="K814" s="10" t="s">
        <v>173</v>
      </c>
      <c r="L814" s="12">
        <v>2016</v>
      </c>
      <c r="M814" s="10">
        <v>7</v>
      </c>
      <c r="N814" s="13">
        <v>0.1</v>
      </c>
      <c r="O814" s="14">
        <v>653.53</v>
      </c>
      <c r="P814" s="10" t="s">
        <v>25</v>
      </c>
    </row>
    <row r="815" spans="1:16">
      <c r="A815" s="10" t="s">
        <v>1402</v>
      </c>
      <c r="B815" s="11">
        <v>46052</v>
      </c>
      <c r="C815" s="11">
        <v>46053</v>
      </c>
      <c r="D815" s="10" t="s">
        <v>639</v>
      </c>
      <c r="E815" s="10" t="s">
        <v>911</v>
      </c>
      <c r="F815" s="10" t="s">
        <v>19</v>
      </c>
      <c r="G815" s="10" t="s">
        <v>81</v>
      </c>
      <c r="H815" s="10" t="s">
        <v>68</v>
      </c>
      <c r="I815" s="10" t="s">
        <v>22</v>
      </c>
      <c r="J815" s="10" t="s">
        <v>30</v>
      </c>
      <c r="K815" s="10" t="s">
        <v>31</v>
      </c>
      <c r="L815" s="12">
        <v>456</v>
      </c>
      <c r="M815" s="10">
        <v>4</v>
      </c>
      <c r="N815" s="13">
        <v>0.05</v>
      </c>
      <c r="O815" s="14">
        <v>118.62</v>
      </c>
      <c r="P815" s="10" t="s">
        <v>63</v>
      </c>
    </row>
    <row r="816" spans="1:16">
      <c r="A816" s="10" t="s">
        <v>1403</v>
      </c>
      <c r="B816" s="11">
        <v>46253</v>
      </c>
      <c r="C816" s="11">
        <v>46256</v>
      </c>
      <c r="D816" s="10" t="s">
        <v>588</v>
      </c>
      <c r="E816" s="10" t="s">
        <v>567</v>
      </c>
      <c r="F816" s="10" t="s">
        <v>43</v>
      </c>
      <c r="G816" s="10" t="s">
        <v>224</v>
      </c>
      <c r="H816" s="10" t="s">
        <v>225</v>
      </c>
      <c r="I816" s="10" t="s">
        <v>75</v>
      </c>
      <c r="J816" s="10" t="s">
        <v>30</v>
      </c>
      <c r="K816" s="10" t="s">
        <v>93</v>
      </c>
      <c r="L816" s="12">
        <v>684</v>
      </c>
      <c r="M816" s="10">
        <v>8</v>
      </c>
      <c r="N816" s="13">
        <v>0.05</v>
      </c>
      <c r="O816" s="14">
        <v>218.92</v>
      </c>
      <c r="P816" s="10" t="s">
        <v>63</v>
      </c>
    </row>
    <row r="817" spans="1:16">
      <c r="A817" s="10" t="s">
        <v>1404</v>
      </c>
      <c r="B817" s="11">
        <v>46118</v>
      </c>
      <c r="C817" s="11">
        <v>46120</v>
      </c>
      <c r="D817" s="10" t="s">
        <v>1038</v>
      </c>
      <c r="E817" s="10" t="s">
        <v>883</v>
      </c>
      <c r="F817" s="10" t="s">
        <v>19</v>
      </c>
      <c r="G817" s="10" t="s">
        <v>151</v>
      </c>
      <c r="H817" s="10" t="s">
        <v>151</v>
      </c>
      <c r="I817" s="10" t="s">
        <v>75</v>
      </c>
      <c r="J817" s="10" t="s">
        <v>23</v>
      </c>
      <c r="K817" s="10" t="s">
        <v>47</v>
      </c>
      <c r="L817" s="12">
        <v>22320</v>
      </c>
      <c r="M817" s="10">
        <v>8</v>
      </c>
      <c r="N817" s="13">
        <v>0.1</v>
      </c>
      <c r="O817" s="14">
        <v>5461.69</v>
      </c>
      <c r="P817" s="10" t="s">
        <v>25</v>
      </c>
    </row>
    <row r="818" spans="1:16">
      <c r="A818" s="10" t="s">
        <v>1405</v>
      </c>
      <c r="B818" s="11">
        <v>45647</v>
      </c>
      <c r="C818" s="11">
        <v>45653</v>
      </c>
      <c r="D818" s="10" t="s">
        <v>801</v>
      </c>
      <c r="E818" s="10" t="s">
        <v>1039</v>
      </c>
      <c r="F818" s="10" t="s">
        <v>43</v>
      </c>
      <c r="G818" s="10" t="s">
        <v>44</v>
      </c>
      <c r="H818" s="10" t="s">
        <v>45</v>
      </c>
      <c r="I818" s="10" t="s">
        <v>46</v>
      </c>
      <c r="J818" s="10" t="s">
        <v>23</v>
      </c>
      <c r="K818" s="10" t="s">
        <v>293</v>
      </c>
      <c r="L818" s="12">
        <v>2025</v>
      </c>
      <c r="M818" s="10">
        <v>3</v>
      </c>
      <c r="N818" s="13">
        <v>0.1</v>
      </c>
      <c r="O818" s="14">
        <v>607.96</v>
      </c>
      <c r="P818" s="10" t="s">
        <v>25</v>
      </c>
    </row>
    <row r="819" spans="1:16">
      <c r="A819" s="10" t="s">
        <v>1406</v>
      </c>
      <c r="B819" s="11">
        <v>45685</v>
      </c>
      <c r="C819" s="11">
        <v>45691</v>
      </c>
      <c r="D819" s="10" t="s">
        <v>208</v>
      </c>
      <c r="E819" s="10" t="s">
        <v>126</v>
      </c>
      <c r="F819" s="10" t="s">
        <v>19</v>
      </c>
      <c r="G819" s="10" t="s">
        <v>97</v>
      </c>
      <c r="H819" s="10" t="s">
        <v>21</v>
      </c>
      <c r="I819" s="10" t="s">
        <v>22</v>
      </c>
      <c r="J819" s="10" t="s">
        <v>38</v>
      </c>
      <c r="K819" s="10" t="s">
        <v>55</v>
      </c>
      <c r="L819" s="12">
        <v>550</v>
      </c>
      <c r="M819" s="10">
        <v>1</v>
      </c>
      <c r="N819" s="13">
        <v>0</v>
      </c>
      <c r="O819" s="14">
        <v>82.37</v>
      </c>
      <c r="P819" s="10" t="s">
        <v>63</v>
      </c>
    </row>
    <row r="820" spans="1:16">
      <c r="A820" s="10" t="s">
        <v>1407</v>
      </c>
      <c r="B820" s="11">
        <v>45590</v>
      </c>
      <c r="C820" s="11">
        <v>45596</v>
      </c>
      <c r="D820" s="10" t="s">
        <v>1283</v>
      </c>
      <c r="E820" s="10" t="s">
        <v>1080</v>
      </c>
      <c r="F820" s="10" t="s">
        <v>29</v>
      </c>
      <c r="G820" s="10" t="s">
        <v>101</v>
      </c>
      <c r="H820" s="10" t="s">
        <v>102</v>
      </c>
      <c r="I820" s="10" t="s">
        <v>103</v>
      </c>
      <c r="J820" s="10" t="s">
        <v>38</v>
      </c>
      <c r="K820" s="10" t="s">
        <v>39</v>
      </c>
      <c r="L820" s="12">
        <v>6840</v>
      </c>
      <c r="M820" s="10">
        <v>8</v>
      </c>
      <c r="N820" s="13">
        <v>0.1</v>
      </c>
      <c r="O820" s="14">
        <v>731.73</v>
      </c>
      <c r="P820" s="10" t="s">
        <v>48</v>
      </c>
    </row>
    <row r="821" spans="1:16">
      <c r="A821" s="10" t="s">
        <v>1408</v>
      </c>
      <c r="B821" s="11">
        <v>45808</v>
      </c>
      <c r="C821" s="11">
        <v>45815</v>
      </c>
      <c r="D821" s="10" t="s">
        <v>306</v>
      </c>
      <c r="E821" s="10" t="s">
        <v>366</v>
      </c>
      <c r="F821" s="10" t="s">
        <v>29</v>
      </c>
      <c r="G821" s="10" t="s">
        <v>35</v>
      </c>
      <c r="H821" s="10" t="s">
        <v>36</v>
      </c>
      <c r="I821" s="10" t="s">
        <v>37</v>
      </c>
      <c r="J821" s="10" t="s">
        <v>23</v>
      </c>
      <c r="K821" s="10" t="s">
        <v>293</v>
      </c>
      <c r="L821" s="12">
        <v>6000</v>
      </c>
      <c r="M821" s="10">
        <v>8</v>
      </c>
      <c r="N821" s="13">
        <v>0</v>
      </c>
      <c r="O821" s="14">
        <v>1885.68</v>
      </c>
      <c r="P821" s="10" t="s">
        <v>48</v>
      </c>
    </row>
    <row r="822" spans="1:16">
      <c r="A822" s="10" t="s">
        <v>1409</v>
      </c>
      <c r="B822" s="11">
        <v>45946</v>
      </c>
      <c r="C822" s="11">
        <v>45952</v>
      </c>
      <c r="D822" s="10" t="s">
        <v>870</v>
      </c>
      <c r="E822" s="10" t="s">
        <v>1287</v>
      </c>
      <c r="F822" s="10" t="s">
        <v>29</v>
      </c>
      <c r="G822" s="10" t="s">
        <v>167</v>
      </c>
      <c r="H822" s="10" t="s">
        <v>168</v>
      </c>
      <c r="I822" s="10" t="s">
        <v>37</v>
      </c>
      <c r="J822" s="10" t="s">
        <v>76</v>
      </c>
      <c r="K822" s="10" t="s">
        <v>77</v>
      </c>
      <c r="L822" s="12">
        <v>7680</v>
      </c>
      <c r="M822" s="10">
        <v>6</v>
      </c>
      <c r="N822" s="13">
        <v>0.2</v>
      </c>
      <c r="O822" s="14">
        <v>1890.59</v>
      </c>
      <c r="P822" s="10" t="s">
        <v>69</v>
      </c>
    </row>
    <row r="823" spans="1:16">
      <c r="A823" s="10" t="s">
        <v>1410</v>
      </c>
      <c r="B823" s="11">
        <v>45409</v>
      </c>
      <c r="C823" s="11">
        <v>45415</v>
      </c>
      <c r="D823" s="10" t="s">
        <v>196</v>
      </c>
      <c r="E823" s="10" t="s">
        <v>185</v>
      </c>
      <c r="F823" s="10" t="s">
        <v>29</v>
      </c>
      <c r="G823" s="10" t="s">
        <v>101</v>
      </c>
      <c r="H823" s="10" t="s">
        <v>102</v>
      </c>
      <c r="I823" s="10" t="s">
        <v>103</v>
      </c>
      <c r="J823" s="10" t="s">
        <v>30</v>
      </c>
      <c r="K823" s="10" t="s">
        <v>173</v>
      </c>
      <c r="L823" s="12">
        <v>2304</v>
      </c>
      <c r="M823" s="10">
        <v>8</v>
      </c>
      <c r="N823" s="13">
        <v>0.1</v>
      </c>
      <c r="O823" s="14">
        <v>564.59</v>
      </c>
      <c r="P823" s="10" t="s">
        <v>25</v>
      </c>
    </row>
    <row r="824" spans="1:16">
      <c r="A824" s="10" t="s">
        <v>1411</v>
      </c>
      <c r="B824" s="11">
        <v>45435</v>
      </c>
      <c r="C824" s="11">
        <v>45439</v>
      </c>
      <c r="D824" s="10" t="s">
        <v>263</v>
      </c>
      <c r="E824" s="10" t="s">
        <v>725</v>
      </c>
      <c r="F824" s="10" t="s">
        <v>19</v>
      </c>
      <c r="G824" s="10" t="s">
        <v>44</v>
      </c>
      <c r="H824" s="10" t="s">
        <v>45</v>
      </c>
      <c r="I824" s="10" t="s">
        <v>46</v>
      </c>
      <c r="J824" s="10" t="s">
        <v>23</v>
      </c>
      <c r="K824" s="10" t="s">
        <v>24</v>
      </c>
      <c r="L824" s="12">
        <v>19500</v>
      </c>
      <c r="M824" s="10">
        <v>3</v>
      </c>
      <c r="N824" s="13">
        <v>0</v>
      </c>
      <c r="O824" s="14">
        <v>4332.57</v>
      </c>
      <c r="P824" s="10" t="s">
        <v>25</v>
      </c>
    </row>
    <row r="825" spans="1:16">
      <c r="A825" s="10" t="s">
        <v>1412</v>
      </c>
      <c r="B825" s="11">
        <v>45464</v>
      </c>
      <c r="C825" s="11">
        <v>45465</v>
      </c>
      <c r="D825" s="10" t="s">
        <v>33</v>
      </c>
      <c r="E825" s="10" t="s">
        <v>163</v>
      </c>
      <c r="F825" s="10" t="s">
        <v>19</v>
      </c>
      <c r="G825" s="10" t="s">
        <v>167</v>
      </c>
      <c r="H825" s="10" t="s">
        <v>168</v>
      </c>
      <c r="I825" s="10" t="s">
        <v>37</v>
      </c>
      <c r="J825" s="10" t="s">
        <v>38</v>
      </c>
      <c r="K825" s="10" t="s">
        <v>169</v>
      </c>
      <c r="L825" s="12">
        <v>3915</v>
      </c>
      <c r="M825" s="10">
        <v>3</v>
      </c>
      <c r="N825" s="13">
        <v>0.1</v>
      </c>
      <c r="O825" s="14">
        <v>1064.48</v>
      </c>
      <c r="P825" s="10" t="s">
        <v>63</v>
      </c>
    </row>
    <row r="826" spans="1:16">
      <c r="A826" s="10" t="s">
        <v>1413</v>
      </c>
      <c r="B826" s="11">
        <v>45513</v>
      </c>
      <c r="C826" s="11">
        <v>45517</v>
      </c>
      <c r="D826" s="10" t="s">
        <v>625</v>
      </c>
      <c r="E826" s="10" t="s">
        <v>1414</v>
      </c>
      <c r="F826" s="10" t="s">
        <v>29</v>
      </c>
      <c r="G826" s="10" t="s">
        <v>60</v>
      </c>
      <c r="H826" s="10" t="s">
        <v>61</v>
      </c>
      <c r="I826" s="10" t="s">
        <v>37</v>
      </c>
      <c r="J826" s="10" t="s">
        <v>38</v>
      </c>
      <c r="K826" s="10" t="s">
        <v>62</v>
      </c>
      <c r="L826" s="12">
        <v>15300</v>
      </c>
      <c r="M826" s="10">
        <v>2</v>
      </c>
      <c r="N826" s="13">
        <v>0.1</v>
      </c>
      <c r="O826" s="14">
        <v>2838.3</v>
      </c>
      <c r="P826" s="10" t="s">
        <v>48</v>
      </c>
    </row>
    <row r="827" spans="1:16">
      <c r="A827" s="10" t="s">
        <v>1415</v>
      </c>
      <c r="B827" s="11">
        <v>46082</v>
      </c>
      <c r="C827" s="11">
        <v>46086</v>
      </c>
      <c r="D827" s="10" t="s">
        <v>460</v>
      </c>
      <c r="E827" s="10" t="s">
        <v>1416</v>
      </c>
      <c r="F827" s="10" t="s">
        <v>29</v>
      </c>
      <c r="G827" s="10" t="s">
        <v>35</v>
      </c>
      <c r="H827" s="10" t="s">
        <v>36</v>
      </c>
      <c r="I827" s="10" t="s">
        <v>37</v>
      </c>
      <c r="J827" s="10" t="s">
        <v>30</v>
      </c>
      <c r="K827" s="10" t="s">
        <v>31</v>
      </c>
      <c r="L827" s="12">
        <v>720</v>
      </c>
      <c r="M827" s="10">
        <v>6</v>
      </c>
      <c r="N827" s="13">
        <v>0</v>
      </c>
      <c r="O827" s="14">
        <v>236.16</v>
      </c>
      <c r="P827" s="10" t="s">
        <v>69</v>
      </c>
    </row>
    <row r="828" spans="1:16">
      <c r="A828" s="10" t="s">
        <v>1417</v>
      </c>
      <c r="B828" s="11">
        <v>46132</v>
      </c>
      <c r="C828" s="11">
        <v>46134</v>
      </c>
      <c r="D828" s="10" t="s">
        <v>645</v>
      </c>
      <c r="E828" s="10" t="s">
        <v>776</v>
      </c>
      <c r="F828" s="10" t="s">
        <v>19</v>
      </c>
      <c r="G828" s="10" t="s">
        <v>167</v>
      </c>
      <c r="H828" s="10" t="s">
        <v>168</v>
      </c>
      <c r="I828" s="10" t="s">
        <v>37</v>
      </c>
      <c r="J828" s="10" t="s">
        <v>38</v>
      </c>
      <c r="K828" s="10" t="s">
        <v>39</v>
      </c>
      <c r="L828" s="12">
        <v>1520</v>
      </c>
      <c r="M828" s="10">
        <v>2</v>
      </c>
      <c r="N828" s="13">
        <v>0.2</v>
      </c>
      <c r="O828" s="14">
        <v>465.65</v>
      </c>
      <c r="P828" s="10" t="s">
        <v>48</v>
      </c>
    </row>
    <row r="829" spans="1:16">
      <c r="A829" s="10" t="s">
        <v>1418</v>
      </c>
      <c r="B829" s="11">
        <v>46127</v>
      </c>
      <c r="C829" s="11">
        <v>46130</v>
      </c>
      <c r="D829" s="10" t="s">
        <v>454</v>
      </c>
      <c r="E829" s="10" t="s">
        <v>527</v>
      </c>
      <c r="F829" s="10" t="s">
        <v>29</v>
      </c>
      <c r="G829" s="10" t="s">
        <v>67</v>
      </c>
      <c r="H829" s="10" t="s">
        <v>68</v>
      </c>
      <c r="I829" s="10" t="s">
        <v>22</v>
      </c>
      <c r="J829" s="10" t="s">
        <v>30</v>
      </c>
      <c r="K829" s="10" t="s">
        <v>93</v>
      </c>
      <c r="L829" s="12">
        <v>306</v>
      </c>
      <c r="M829" s="10">
        <v>4</v>
      </c>
      <c r="N829" s="13">
        <v>0.15</v>
      </c>
      <c r="O829" s="14">
        <v>77.959999999999994</v>
      </c>
      <c r="P829" s="10" t="s">
        <v>48</v>
      </c>
    </row>
    <row r="830" spans="1:16">
      <c r="A830" s="10" t="s">
        <v>1419</v>
      </c>
      <c r="B830" s="11">
        <v>45657</v>
      </c>
      <c r="C830" s="11">
        <v>45660</v>
      </c>
      <c r="D830" s="10" t="s">
        <v>1420</v>
      </c>
      <c r="E830" s="10" t="s">
        <v>270</v>
      </c>
      <c r="F830" s="10" t="s">
        <v>19</v>
      </c>
      <c r="G830" s="10" t="s">
        <v>97</v>
      </c>
      <c r="H830" s="10" t="s">
        <v>21</v>
      </c>
      <c r="I830" s="10" t="s">
        <v>22</v>
      </c>
      <c r="J830" s="10" t="s">
        <v>38</v>
      </c>
      <c r="K830" s="10" t="s">
        <v>55</v>
      </c>
      <c r="L830" s="12">
        <v>3300</v>
      </c>
      <c r="M830" s="10">
        <v>6</v>
      </c>
      <c r="N830" s="13">
        <v>0</v>
      </c>
      <c r="O830" s="14">
        <v>920.08</v>
      </c>
      <c r="P830" s="10" t="s">
        <v>69</v>
      </c>
    </row>
    <row r="831" spans="1:16">
      <c r="A831" s="10" t="s">
        <v>1421</v>
      </c>
      <c r="B831" s="11">
        <v>45957</v>
      </c>
      <c r="C831" s="11">
        <v>45962</v>
      </c>
      <c r="D831" s="10" t="s">
        <v>1422</v>
      </c>
      <c r="E831" s="10" t="s">
        <v>266</v>
      </c>
      <c r="F831" s="10" t="s">
        <v>19</v>
      </c>
      <c r="G831" s="10" t="s">
        <v>67</v>
      </c>
      <c r="H831" s="10" t="s">
        <v>68</v>
      </c>
      <c r="I831" s="10" t="s">
        <v>22</v>
      </c>
      <c r="J831" s="10" t="s">
        <v>38</v>
      </c>
      <c r="K831" s="10" t="s">
        <v>104</v>
      </c>
      <c r="L831" s="12">
        <v>2340</v>
      </c>
      <c r="M831" s="10">
        <v>4</v>
      </c>
      <c r="N831" s="13">
        <v>0.1</v>
      </c>
      <c r="O831" s="14">
        <v>670.65</v>
      </c>
      <c r="P831" s="10" t="s">
        <v>63</v>
      </c>
    </row>
    <row r="832" spans="1:16">
      <c r="A832" s="10" t="s">
        <v>1423</v>
      </c>
      <c r="B832" s="11">
        <v>46102</v>
      </c>
      <c r="C832" s="11">
        <v>46109</v>
      </c>
      <c r="D832" s="10" t="s">
        <v>1424</v>
      </c>
      <c r="E832" s="10" t="s">
        <v>191</v>
      </c>
      <c r="F832" s="10" t="s">
        <v>19</v>
      </c>
      <c r="G832" s="10" t="s">
        <v>224</v>
      </c>
      <c r="H832" s="10" t="s">
        <v>225</v>
      </c>
      <c r="I832" s="10" t="s">
        <v>75</v>
      </c>
      <c r="J832" s="10" t="s">
        <v>30</v>
      </c>
      <c r="K832" s="10" t="s">
        <v>173</v>
      </c>
      <c r="L832" s="12">
        <v>544</v>
      </c>
      <c r="M832" s="10">
        <v>2</v>
      </c>
      <c r="N832" s="13">
        <v>0.15</v>
      </c>
      <c r="O832" s="14">
        <v>148.6</v>
      </c>
      <c r="P832" s="10" t="s">
        <v>56</v>
      </c>
    </row>
    <row r="833" spans="1:16">
      <c r="A833" s="10" t="s">
        <v>1425</v>
      </c>
      <c r="B833" s="11">
        <v>45632</v>
      </c>
      <c r="C833" s="11">
        <v>45634</v>
      </c>
      <c r="D833" s="10" t="s">
        <v>476</v>
      </c>
      <c r="E833" s="10" t="s">
        <v>114</v>
      </c>
      <c r="F833" s="10" t="s">
        <v>43</v>
      </c>
      <c r="G833" s="10" t="s">
        <v>167</v>
      </c>
      <c r="H833" s="10" t="s">
        <v>168</v>
      </c>
      <c r="I833" s="10" t="s">
        <v>37</v>
      </c>
      <c r="J833" s="10" t="s">
        <v>23</v>
      </c>
      <c r="K833" s="10" t="s">
        <v>293</v>
      </c>
      <c r="L833" s="12">
        <v>1425</v>
      </c>
      <c r="M833" s="10">
        <v>2</v>
      </c>
      <c r="N833" s="13">
        <v>0.05</v>
      </c>
      <c r="O833" s="14">
        <v>524.27</v>
      </c>
      <c r="P833" s="10" t="s">
        <v>63</v>
      </c>
    </row>
    <row r="834" spans="1:16">
      <c r="A834" s="10" t="s">
        <v>1426</v>
      </c>
      <c r="B834" s="11">
        <v>45947</v>
      </c>
      <c r="C834" s="11">
        <v>45953</v>
      </c>
      <c r="D834" s="10" t="s">
        <v>468</v>
      </c>
      <c r="E834" s="10" t="s">
        <v>1427</v>
      </c>
      <c r="F834" s="10" t="s">
        <v>19</v>
      </c>
      <c r="G834" s="10" t="s">
        <v>111</v>
      </c>
      <c r="H834" s="10" t="s">
        <v>21</v>
      </c>
      <c r="I834" s="10" t="s">
        <v>22</v>
      </c>
      <c r="J834" s="10" t="s">
        <v>38</v>
      </c>
      <c r="K834" s="10" t="s">
        <v>39</v>
      </c>
      <c r="L834" s="12">
        <v>807.5</v>
      </c>
      <c r="M834" s="10">
        <v>1</v>
      </c>
      <c r="N834" s="13">
        <v>0.15</v>
      </c>
      <c r="O834" s="14">
        <v>129.34</v>
      </c>
      <c r="P834" s="10" t="s">
        <v>25</v>
      </c>
    </row>
    <row r="835" spans="1:16">
      <c r="A835" s="10" t="s">
        <v>1428</v>
      </c>
      <c r="B835" s="11">
        <v>46067</v>
      </c>
      <c r="C835" s="11">
        <v>46069</v>
      </c>
      <c r="D835" s="10" t="s">
        <v>635</v>
      </c>
      <c r="E835" s="10" t="s">
        <v>119</v>
      </c>
      <c r="F835" s="10" t="s">
        <v>29</v>
      </c>
      <c r="G835" s="10" t="s">
        <v>224</v>
      </c>
      <c r="H835" s="10" t="s">
        <v>225</v>
      </c>
      <c r="I835" s="10" t="s">
        <v>75</v>
      </c>
      <c r="J835" s="10" t="s">
        <v>38</v>
      </c>
      <c r="K835" s="10" t="s">
        <v>104</v>
      </c>
      <c r="L835" s="12">
        <v>1852.5</v>
      </c>
      <c r="M835" s="10">
        <v>3</v>
      </c>
      <c r="N835" s="13">
        <v>0.05</v>
      </c>
      <c r="O835" s="14">
        <v>449.84</v>
      </c>
      <c r="P835" s="10" t="s">
        <v>48</v>
      </c>
    </row>
    <row r="836" spans="1:16">
      <c r="A836" s="10" t="s">
        <v>1429</v>
      </c>
      <c r="B836" s="11">
        <v>45535</v>
      </c>
      <c r="C836" s="11">
        <v>45541</v>
      </c>
      <c r="D836" s="10" t="s">
        <v>340</v>
      </c>
      <c r="E836" s="10" t="s">
        <v>1320</v>
      </c>
      <c r="F836" s="10" t="s">
        <v>43</v>
      </c>
      <c r="G836" s="10" t="s">
        <v>224</v>
      </c>
      <c r="H836" s="10" t="s">
        <v>225</v>
      </c>
      <c r="I836" s="10" t="s">
        <v>75</v>
      </c>
      <c r="J836" s="10" t="s">
        <v>76</v>
      </c>
      <c r="K836" s="10" t="s">
        <v>229</v>
      </c>
      <c r="L836" s="12">
        <v>5415</v>
      </c>
      <c r="M836" s="10">
        <v>3</v>
      </c>
      <c r="N836" s="13">
        <v>0.05</v>
      </c>
      <c r="O836" s="14">
        <v>1570.02</v>
      </c>
      <c r="P836" s="10" t="s">
        <v>69</v>
      </c>
    </row>
    <row r="837" spans="1:16">
      <c r="A837" s="10" t="s">
        <v>1430</v>
      </c>
      <c r="B837" s="11">
        <v>46060</v>
      </c>
      <c r="C837" s="11">
        <v>46061</v>
      </c>
      <c r="D837" s="10" t="s">
        <v>577</v>
      </c>
      <c r="E837" s="10" t="s">
        <v>51</v>
      </c>
      <c r="F837" s="10" t="s">
        <v>19</v>
      </c>
      <c r="G837" s="10" t="s">
        <v>111</v>
      </c>
      <c r="H837" s="10" t="s">
        <v>21</v>
      </c>
      <c r="I837" s="10" t="s">
        <v>22</v>
      </c>
      <c r="J837" s="10" t="s">
        <v>23</v>
      </c>
      <c r="K837" s="10" t="s">
        <v>89</v>
      </c>
      <c r="L837" s="12">
        <v>11200</v>
      </c>
      <c r="M837" s="10">
        <v>4</v>
      </c>
      <c r="N837" s="13">
        <v>0</v>
      </c>
      <c r="O837" s="14">
        <v>2685.52</v>
      </c>
      <c r="P837" s="10" t="s">
        <v>56</v>
      </c>
    </row>
    <row r="838" spans="1:16">
      <c r="A838" s="10" t="s">
        <v>1431</v>
      </c>
      <c r="B838" s="11">
        <v>45914</v>
      </c>
      <c r="C838" s="11">
        <v>45921</v>
      </c>
      <c r="D838" s="10" t="s">
        <v>1022</v>
      </c>
      <c r="E838" s="10" t="s">
        <v>266</v>
      </c>
      <c r="F838" s="10" t="s">
        <v>29</v>
      </c>
      <c r="G838" s="10" t="s">
        <v>81</v>
      </c>
      <c r="H838" s="10" t="s">
        <v>68</v>
      </c>
      <c r="I838" s="10" t="s">
        <v>22</v>
      </c>
      <c r="J838" s="10" t="s">
        <v>23</v>
      </c>
      <c r="K838" s="10" t="s">
        <v>24</v>
      </c>
      <c r="L838" s="12">
        <v>41600</v>
      </c>
      <c r="M838" s="10">
        <v>8</v>
      </c>
      <c r="N838" s="13">
        <v>0.2</v>
      </c>
      <c r="O838" s="14">
        <v>14494.64</v>
      </c>
      <c r="P838" s="10" t="s">
        <v>48</v>
      </c>
    </row>
    <row r="839" spans="1:16">
      <c r="A839" s="10" t="s">
        <v>1432</v>
      </c>
      <c r="B839" s="11">
        <v>45941</v>
      </c>
      <c r="C839" s="11">
        <v>45943</v>
      </c>
      <c r="D839" s="10" t="s">
        <v>452</v>
      </c>
      <c r="E839" s="10" t="s">
        <v>1380</v>
      </c>
      <c r="F839" s="10" t="s">
        <v>19</v>
      </c>
      <c r="G839" s="10" t="s">
        <v>111</v>
      </c>
      <c r="H839" s="10" t="s">
        <v>21</v>
      </c>
      <c r="I839" s="10" t="s">
        <v>22</v>
      </c>
      <c r="J839" s="10" t="s">
        <v>30</v>
      </c>
      <c r="K839" s="10" t="s">
        <v>261</v>
      </c>
      <c r="L839" s="12">
        <v>459</v>
      </c>
      <c r="M839" s="10">
        <v>3</v>
      </c>
      <c r="N839" s="13">
        <v>0.15</v>
      </c>
      <c r="O839" s="14">
        <v>98.59</v>
      </c>
      <c r="P839" s="10" t="s">
        <v>48</v>
      </c>
    </row>
    <row r="840" spans="1:16">
      <c r="A840" s="10" t="s">
        <v>1433</v>
      </c>
      <c r="B840" s="11">
        <v>45728</v>
      </c>
      <c r="C840" s="11">
        <v>45734</v>
      </c>
      <c r="D840" s="10" t="s">
        <v>502</v>
      </c>
      <c r="E840" s="10" t="s">
        <v>172</v>
      </c>
      <c r="F840" s="10" t="s">
        <v>43</v>
      </c>
      <c r="G840" s="10" t="s">
        <v>73</v>
      </c>
      <c r="H840" s="10" t="s">
        <v>74</v>
      </c>
      <c r="I840" s="10" t="s">
        <v>75</v>
      </c>
      <c r="J840" s="10" t="s">
        <v>23</v>
      </c>
      <c r="K840" s="10" t="s">
        <v>24</v>
      </c>
      <c r="L840" s="12">
        <v>26000</v>
      </c>
      <c r="M840" s="10">
        <v>4</v>
      </c>
      <c r="N840" s="13">
        <v>0</v>
      </c>
      <c r="O840" s="14">
        <v>7013.65</v>
      </c>
      <c r="P840" s="10" t="s">
        <v>63</v>
      </c>
    </row>
    <row r="841" spans="1:16">
      <c r="A841" s="10" t="s">
        <v>1434</v>
      </c>
      <c r="B841" s="11">
        <v>45751</v>
      </c>
      <c r="C841" s="11">
        <v>45757</v>
      </c>
      <c r="D841" s="10" t="s">
        <v>645</v>
      </c>
      <c r="E841" s="10" t="s">
        <v>209</v>
      </c>
      <c r="F841" s="10" t="s">
        <v>43</v>
      </c>
      <c r="G841" s="10" t="s">
        <v>111</v>
      </c>
      <c r="H841" s="10" t="s">
        <v>21</v>
      </c>
      <c r="I841" s="10" t="s">
        <v>22</v>
      </c>
      <c r="J841" s="10" t="s">
        <v>23</v>
      </c>
      <c r="K841" s="10" t="s">
        <v>293</v>
      </c>
      <c r="L841" s="12">
        <v>1425</v>
      </c>
      <c r="M841" s="10">
        <v>2</v>
      </c>
      <c r="N841" s="13">
        <v>0.05</v>
      </c>
      <c r="O841" s="14">
        <v>383.26</v>
      </c>
      <c r="P841" s="10" t="s">
        <v>63</v>
      </c>
    </row>
    <row r="842" spans="1:16">
      <c r="A842" s="10" t="s">
        <v>1435</v>
      </c>
      <c r="B842" s="11">
        <v>45916</v>
      </c>
      <c r="C842" s="11">
        <v>45922</v>
      </c>
      <c r="D842" s="10" t="s">
        <v>196</v>
      </c>
      <c r="E842" s="10" t="s">
        <v>237</v>
      </c>
      <c r="F842" s="10" t="s">
        <v>19</v>
      </c>
      <c r="G842" s="10" t="s">
        <v>81</v>
      </c>
      <c r="H842" s="10" t="s">
        <v>68</v>
      </c>
      <c r="I842" s="10" t="s">
        <v>22</v>
      </c>
      <c r="J842" s="10" t="s">
        <v>30</v>
      </c>
      <c r="K842" s="10" t="s">
        <v>127</v>
      </c>
      <c r="L842" s="12">
        <v>135</v>
      </c>
      <c r="M842" s="10">
        <v>1</v>
      </c>
      <c r="N842" s="13">
        <v>0.1</v>
      </c>
      <c r="O842" s="14">
        <v>34.270000000000003</v>
      </c>
      <c r="P842" s="10" t="s">
        <v>56</v>
      </c>
    </row>
    <row r="843" spans="1:16">
      <c r="A843" s="10" t="s">
        <v>1436</v>
      </c>
      <c r="B843" s="11">
        <v>45858</v>
      </c>
      <c r="C843" s="11">
        <v>45864</v>
      </c>
      <c r="D843" s="10" t="s">
        <v>532</v>
      </c>
      <c r="E843" s="10" t="s">
        <v>1437</v>
      </c>
      <c r="F843" s="10" t="s">
        <v>43</v>
      </c>
      <c r="G843" s="10" t="s">
        <v>97</v>
      </c>
      <c r="H843" s="10" t="s">
        <v>21</v>
      </c>
      <c r="I843" s="10" t="s">
        <v>22</v>
      </c>
      <c r="J843" s="10" t="s">
        <v>23</v>
      </c>
      <c r="K843" s="10" t="s">
        <v>293</v>
      </c>
      <c r="L843" s="12">
        <v>5700</v>
      </c>
      <c r="M843" s="10">
        <v>8</v>
      </c>
      <c r="N843" s="13">
        <v>0.05</v>
      </c>
      <c r="O843" s="14">
        <v>1451.01</v>
      </c>
      <c r="P843" s="10" t="s">
        <v>48</v>
      </c>
    </row>
    <row r="844" spans="1:16">
      <c r="A844" s="10" t="s">
        <v>1438</v>
      </c>
      <c r="B844" s="11">
        <v>45633</v>
      </c>
      <c r="C844" s="11">
        <v>45635</v>
      </c>
      <c r="D844" s="10" t="s">
        <v>268</v>
      </c>
      <c r="E844" s="10" t="s">
        <v>1189</v>
      </c>
      <c r="F844" s="10" t="s">
        <v>19</v>
      </c>
      <c r="G844" s="10" t="s">
        <v>60</v>
      </c>
      <c r="H844" s="10" t="s">
        <v>61</v>
      </c>
      <c r="I844" s="10" t="s">
        <v>37</v>
      </c>
      <c r="J844" s="10" t="s">
        <v>76</v>
      </c>
      <c r="K844" s="10" t="s">
        <v>131</v>
      </c>
      <c r="L844" s="12">
        <v>1050</v>
      </c>
      <c r="M844" s="10">
        <v>3</v>
      </c>
      <c r="N844" s="13">
        <v>0</v>
      </c>
      <c r="O844" s="14">
        <v>397.86</v>
      </c>
      <c r="P844" s="10" t="s">
        <v>69</v>
      </c>
    </row>
    <row r="845" spans="1:16">
      <c r="A845" s="10" t="s">
        <v>1439</v>
      </c>
      <c r="B845" s="11">
        <v>45795</v>
      </c>
      <c r="C845" s="11">
        <v>45799</v>
      </c>
      <c r="D845" s="10" t="s">
        <v>425</v>
      </c>
      <c r="E845" s="10" t="s">
        <v>662</v>
      </c>
      <c r="F845" s="10" t="s">
        <v>43</v>
      </c>
      <c r="G845" s="10" t="s">
        <v>101</v>
      </c>
      <c r="H845" s="10" t="s">
        <v>102</v>
      </c>
      <c r="I845" s="10" t="s">
        <v>103</v>
      </c>
      <c r="J845" s="10" t="s">
        <v>76</v>
      </c>
      <c r="K845" s="10" t="s">
        <v>77</v>
      </c>
      <c r="L845" s="12">
        <v>8640</v>
      </c>
      <c r="M845" s="10">
        <v>6</v>
      </c>
      <c r="N845" s="13">
        <v>0.1</v>
      </c>
      <c r="O845" s="14">
        <v>2053.87</v>
      </c>
      <c r="P845" s="10" t="s">
        <v>48</v>
      </c>
    </row>
    <row r="846" spans="1:16">
      <c r="A846" s="10" t="s">
        <v>1440</v>
      </c>
      <c r="B846" s="11">
        <v>46235</v>
      </c>
      <c r="C846" s="11">
        <v>46236</v>
      </c>
      <c r="D846" s="10" t="s">
        <v>980</v>
      </c>
      <c r="E846" s="10" t="s">
        <v>364</v>
      </c>
      <c r="F846" s="10" t="s">
        <v>19</v>
      </c>
      <c r="G846" s="10" t="s">
        <v>81</v>
      </c>
      <c r="H846" s="10" t="s">
        <v>68</v>
      </c>
      <c r="I846" s="10" t="s">
        <v>22</v>
      </c>
      <c r="J846" s="10" t="s">
        <v>30</v>
      </c>
      <c r="K846" s="10" t="s">
        <v>31</v>
      </c>
      <c r="L846" s="12">
        <v>798</v>
      </c>
      <c r="M846" s="10">
        <v>7</v>
      </c>
      <c r="N846" s="13">
        <v>0.05</v>
      </c>
      <c r="O846" s="14">
        <v>137.22999999999999</v>
      </c>
      <c r="P846" s="10" t="s">
        <v>25</v>
      </c>
    </row>
    <row r="847" spans="1:16">
      <c r="A847" s="10" t="s">
        <v>1441</v>
      </c>
      <c r="B847" s="11">
        <v>45942</v>
      </c>
      <c r="C847" s="11">
        <v>45948</v>
      </c>
      <c r="D847" s="10" t="s">
        <v>919</v>
      </c>
      <c r="E847" s="10" t="s">
        <v>163</v>
      </c>
      <c r="F847" s="10" t="s">
        <v>43</v>
      </c>
      <c r="G847" s="10" t="s">
        <v>67</v>
      </c>
      <c r="H847" s="10" t="s">
        <v>68</v>
      </c>
      <c r="I847" s="10" t="s">
        <v>22</v>
      </c>
      <c r="J847" s="10" t="s">
        <v>38</v>
      </c>
      <c r="K847" s="10" t="s">
        <v>55</v>
      </c>
      <c r="L847" s="12">
        <v>3080</v>
      </c>
      <c r="M847" s="10">
        <v>7</v>
      </c>
      <c r="N847" s="13">
        <v>0.2</v>
      </c>
      <c r="O847" s="14">
        <v>880.37</v>
      </c>
      <c r="P847" s="10" t="s">
        <v>48</v>
      </c>
    </row>
    <row r="848" spans="1:16">
      <c r="A848" s="10" t="s">
        <v>1442</v>
      </c>
      <c r="B848" s="11">
        <v>46006</v>
      </c>
      <c r="C848" s="11">
        <v>46012</v>
      </c>
      <c r="D848" s="10" t="s">
        <v>736</v>
      </c>
      <c r="E848" s="10" t="s">
        <v>742</v>
      </c>
      <c r="F848" s="10" t="s">
        <v>19</v>
      </c>
      <c r="G848" s="10" t="s">
        <v>167</v>
      </c>
      <c r="H848" s="10" t="s">
        <v>168</v>
      </c>
      <c r="I848" s="10" t="s">
        <v>37</v>
      </c>
      <c r="J848" s="10" t="s">
        <v>30</v>
      </c>
      <c r="K848" s="10" t="s">
        <v>173</v>
      </c>
      <c r="L848" s="12">
        <v>2048</v>
      </c>
      <c r="M848" s="10">
        <v>8</v>
      </c>
      <c r="N848" s="13">
        <v>0.2</v>
      </c>
      <c r="O848" s="14">
        <v>638.33000000000004</v>
      </c>
      <c r="P848" s="10" t="s">
        <v>56</v>
      </c>
    </row>
    <row r="849" spans="1:16">
      <c r="A849" s="10" t="s">
        <v>1443</v>
      </c>
      <c r="B849" s="11">
        <v>45304</v>
      </c>
      <c r="C849" s="11">
        <v>45305</v>
      </c>
      <c r="D849" s="10" t="s">
        <v>801</v>
      </c>
      <c r="E849" s="10" t="s">
        <v>144</v>
      </c>
      <c r="F849" s="10" t="s">
        <v>29</v>
      </c>
      <c r="G849" s="10" t="s">
        <v>35</v>
      </c>
      <c r="H849" s="10" t="s">
        <v>36</v>
      </c>
      <c r="I849" s="10" t="s">
        <v>37</v>
      </c>
      <c r="J849" s="10" t="s">
        <v>38</v>
      </c>
      <c r="K849" s="10" t="s">
        <v>55</v>
      </c>
      <c r="L849" s="12">
        <v>3080</v>
      </c>
      <c r="M849" s="10">
        <v>7</v>
      </c>
      <c r="N849" s="13">
        <v>0.2</v>
      </c>
      <c r="O849" s="14">
        <v>608.6</v>
      </c>
      <c r="P849" s="10" t="s">
        <v>25</v>
      </c>
    </row>
    <row r="850" spans="1:16">
      <c r="A850" s="10" t="s">
        <v>1444</v>
      </c>
      <c r="B850" s="11">
        <v>45461</v>
      </c>
      <c r="C850" s="11">
        <v>45468</v>
      </c>
      <c r="D850" s="10" t="s">
        <v>311</v>
      </c>
      <c r="E850" s="10" t="s">
        <v>778</v>
      </c>
      <c r="F850" s="10" t="s">
        <v>19</v>
      </c>
      <c r="G850" s="10" t="s">
        <v>81</v>
      </c>
      <c r="H850" s="10" t="s">
        <v>68</v>
      </c>
      <c r="I850" s="10" t="s">
        <v>22</v>
      </c>
      <c r="J850" s="10" t="s">
        <v>23</v>
      </c>
      <c r="K850" s="10" t="s">
        <v>89</v>
      </c>
      <c r="L850" s="12">
        <v>16660</v>
      </c>
      <c r="M850" s="10">
        <v>7</v>
      </c>
      <c r="N850" s="13">
        <v>0.15</v>
      </c>
      <c r="O850" s="14">
        <v>4621.91</v>
      </c>
      <c r="P850" s="10" t="s">
        <v>63</v>
      </c>
    </row>
    <row r="851" spans="1:16">
      <c r="A851" s="10" t="s">
        <v>1445</v>
      </c>
      <c r="B851" s="11">
        <v>46087</v>
      </c>
      <c r="C851" s="11">
        <v>46094</v>
      </c>
      <c r="D851" s="10" t="s">
        <v>1017</v>
      </c>
      <c r="E851" s="10" t="s">
        <v>709</v>
      </c>
      <c r="F851" s="10" t="s">
        <v>43</v>
      </c>
      <c r="G851" s="10" t="s">
        <v>67</v>
      </c>
      <c r="H851" s="10" t="s">
        <v>68</v>
      </c>
      <c r="I851" s="10" t="s">
        <v>22</v>
      </c>
      <c r="J851" s="10" t="s">
        <v>30</v>
      </c>
      <c r="K851" s="10" t="s">
        <v>173</v>
      </c>
      <c r="L851" s="12">
        <v>1024</v>
      </c>
      <c r="M851" s="10">
        <v>4</v>
      </c>
      <c r="N851" s="13">
        <v>0.2</v>
      </c>
      <c r="O851" s="14">
        <v>252.44</v>
      </c>
      <c r="P851" s="10" t="s">
        <v>48</v>
      </c>
    </row>
    <row r="852" spans="1:16">
      <c r="A852" s="10" t="s">
        <v>1446</v>
      </c>
      <c r="B852" s="11">
        <v>45391</v>
      </c>
      <c r="C852" s="11">
        <v>45392</v>
      </c>
      <c r="D852" s="10" t="s">
        <v>193</v>
      </c>
      <c r="E852" s="10" t="s">
        <v>881</v>
      </c>
      <c r="F852" s="10" t="s">
        <v>43</v>
      </c>
      <c r="G852" s="10" t="s">
        <v>35</v>
      </c>
      <c r="H852" s="10" t="s">
        <v>36</v>
      </c>
      <c r="I852" s="10" t="s">
        <v>37</v>
      </c>
      <c r="J852" s="10" t="s">
        <v>76</v>
      </c>
      <c r="K852" s="10" t="s">
        <v>85</v>
      </c>
      <c r="L852" s="12">
        <v>1232</v>
      </c>
      <c r="M852" s="10">
        <v>7</v>
      </c>
      <c r="N852" s="13">
        <v>0.2</v>
      </c>
      <c r="O852" s="14">
        <v>338.84</v>
      </c>
      <c r="P852" s="10" t="s">
        <v>56</v>
      </c>
    </row>
    <row r="853" spans="1:16">
      <c r="A853" s="10" t="s">
        <v>1447</v>
      </c>
      <c r="B853" s="11">
        <v>46012</v>
      </c>
      <c r="C853" s="11">
        <v>46014</v>
      </c>
      <c r="D853" s="10" t="s">
        <v>250</v>
      </c>
      <c r="E853" s="10" t="s">
        <v>260</v>
      </c>
      <c r="F853" s="10" t="s">
        <v>29</v>
      </c>
      <c r="G853" s="10" t="s">
        <v>111</v>
      </c>
      <c r="H853" s="10" t="s">
        <v>21</v>
      </c>
      <c r="I853" s="10" t="s">
        <v>22</v>
      </c>
      <c r="J853" s="10" t="s">
        <v>76</v>
      </c>
      <c r="K853" s="10" t="s">
        <v>131</v>
      </c>
      <c r="L853" s="12">
        <v>630</v>
      </c>
      <c r="M853" s="10">
        <v>2</v>
      </c>
      <c r="N853" s="13">
        <v>0.1</v>
      </c>
      <c r="O853" s="14">
        <v>137.06</v>
      </c>
      <c r="P853" s="10" t="s">
        <v>56</v>
      </c>
    </row>
    <row r="854" spans="1:16">
      <c r="A854" s="10" t="s">
        <v>1448</v>
      </c>
      <c r="B854" s="11">
        <v>46120</v>
      </c>
      <c r="C854" s="11">
        <v>46127</v>
      </c>
      <c r="D854" s="10" t="s">
        <v>347</v>
      </c>
      <c r="E854" s="10" t="s">
        <v>1449</v>
      </c>
      <c r="F854" s="10" t="s">
        <v>43</v>
      </c>
      <c r="G854" s="10" t="s">
        <v>111</v>
      </c>
      <c r="H854" s="10" t="s">
        <v>21</v>
      </c>
      <c r="I854" s="10" t="s">
        <v>22</v>
      </c>
      <c r="J854" s="10" t="s">
        <v>23</v>
      </c>
      <c r="K854" s="10" t="s">
        <v>293</v>
      </c>
      <c r="L854" s="12">
        <v>4800</v>
      </c>
      <c r="M854" s="10">
        <v>8</v>
      </c>
      <c r="N854" s="13">
        <v>0.2</v>
      </c>
      <c r="O854" s="14">
        <v>540.61</v>
      </c>
      <c r="P854" s="10" t="s">
        <v>48</v>
      </c>
    </row>
    <row r="855" spans="1:16">
      <c r="A855" s="10" t="s">
        <v>1450</v>
      </c>
      <c r="B855" s="11">
        <v>45678</v>
      </c>
      <c r="C855" s="11">
        <v>45679</v>
      </c>
      <c r="D855" s="10" t="s">
        <v>388</v>
      </c>
      <c r="E855" s="10" t="s">
        <v>653</v>
      </c>
      <c r="F855" s="10" t="s">
        <v>29</v>
      </c>
      <c r="G855" s="10" t="s">
        <v>179</v>
      </c>
      <c r="H855" s="10" t="s">
        <v>21</v>
      </c>
      <c r="I855" s="10" t="s">
        <v>22</v>
      </c>
      <c r="J855" s="10" t="s">
        <v>38</v>
      </c>
      <c r="K855" s="10" t="s">
        <v>169</v>
      </c>
      <c r="L855" s="12">
        <v>1232.5</v>
      </c>
      <c r="M855" s="10">
        <v>1</v>
      </c>
      <c r="N855" s="13">
        <v>0.15</v>
      </c>
      <c r="O855" s="14">
        <v>365.38</v>
      </c>
      <c r="P855" s="10" t="s">
        <v>69</v>
      </c>
    </row>
    <row r="856" spans="1:16">
      <c r="A856" s="10" t="s">
        <v>1451</v>
      </c>
      <c r="B856" s="11">
        <v>46061</v>
      </c>
      <c r="C856" s="11">
        <v>46062</v>
      </c>
      <c r="D856" s="10" t="s">
        <v>532</v>
      </c>
      <c r="E856" s="10" t="s">
        <v>450</v>
      </c>
      <c r="F856" s="10" t="s">
        <v>43</v>
      </c>
      <c r="G856" s="10" t="s">
        <v>167</v>
      </c>
      <c r="H856" s="10" t="s">
        <v>168</v>
      </c>
      <c r="I856" s="10" t="s">
        <v>37</v>
      </c>
      <c r="J856" s="10" t="s">
        <v>38</v>
      </c>
      <c r="K856" s="10" t="s">
        <v>104</v>
      </c>
      <c r="L856" s="12">
        <v>2210</v>
      </c>
      <c r="M856" s="10">
        <v>4</v>
      </c>
      <c r="N856" s="13">
        <v>0.15</v>
      </c>
      <c r="O856" s="14">
        <v>335.11</v>
      </c>
      <c r="P856" s="10" t="s">
        <v>25</v>
      </c>
    </row>
    <row r="857" spans="1:16">
      <c r="A857" s="10" t="s">
        <v>1452</v>
      </c>
      <c r="B857" s="11">
        <v>45776</v>
      </c>
      <c r="C857" s="11">
        <v>45783</v>
      </c>
      <c r="D857" s="10" t="s">
        <v>616</v>
      </c>
      <c r="E857" s="10" t="s">
        <v>1362</v>
      </c>
      <c r="F857" s="10" t="s">
        <v>19</v>
      </c>
      <c r="G857" s="10" t="s">
        <v>67</v>
      </c>
      <c r="H857" s="10" t="s">
        <v>68</v>
      </c>
      <c r="I857" s="10" t="s">
        <v>22</v>
      </c>
      <c r="J857" s="10" t="s">
        <v>76</v>
      </c>
      <c r="K857" s="10" t="s">
        <v>229</v>
      </c>
      <c r="L857" s="12">
        <v>9120</v>
      </c>
      <c r="M857" s="10">
        <v>6</v>
      </c>
      <c r="N857" s="13">
        <v>0.2</v>
      </c>
      <c r="O857" s="14">
        <v>1081.27</v>
      </c>
      <c r="P857" s="10" t="s">
        <v>25</v>
      </c>
    </row>
    <row r="858" spans="1:16">
      <c r="A858" s="10" t="s">
        <v>1453</v>
      </c>
      <c r="B858" s="11">
        <v>45679</v>
      </c>
      <c r="C858" s="11">
        <v>45684</v>
      </c>
      <c r="D858" s="10" t="s">
        <v>917</v>
      </c>
      <c r="E858" s="10" t="s">
        <v>220</v>
      </c>
      <c r="F858" s="10" t="s">
        <v>29</v>
      </c>
      <c r="G858" s="10" t="s">
        <v>135</v>
      </c>
      <c r="H858" s="10" t="s">
        <v>21</v>
      </c>
      <c r="I858" s="10" t="s">
        <v>22</v>
      </c>
      <c r="J858" s="10" t="s">
        <v>23</v>
      </c>
      <c r="K858" s="10" t="s">
        <v>89</v>
      </c>
      <c r="L858" s="12">
        <v>5600</v>
      </c>
      <c r="M858" s="10">
        <v>2</v>
      </c>
      <c r="N858" s="13">
        <v>0</v>
      </c>
      <c r="O858" s="14">
        <v>1462.73</v>
      </c>
      <c r="P858" s="10" t="s">
        <v>48</v>
      </c>
    </row>
    <row r="859" spans="1:16">
      <c r="A859" s="10" t="s">
        <v>1454</v>
      </c>
      <c r="B859" s="11">
        <v>45908</v>
      </c>
      <c r="C859" s="11">
        <v>45909</v>
      </c>
      <c r="D859" s="10" t="s">
        <v>1455</v>
      </c>
      <c r="E859" s="10" t="s">
        <v>1212</v>
      </c>
      <c r="F859" s="10" t="s">
        <v>43</v>
      </c>
      <c r="G859" s="10" t="s">
        <v>44</v>
      </c>
      <c r="H859" s="10" t="s">
        <v>45</v>
      </c>
      <c r="I859" s="10" t="s">
        <v>46</v>
      </c>
      <c r="J859" s="10" t="s">
        <v>23</v>
      </c>
      <c r="K859" s="10" t="s">
        <v>24</v>
      </c>
      <c r="L859" s="12">
        <v>35100</v>
      </c>
      <c r="M859" s="10">
        <v>6</v>
      </c>
      <c r="N859" s="13">
        <v>0.1</v>
      </c>
      <c r="O859" s="14">
        <v>7168.42</v>
      </c>
      <c r="P859" s="10" t="s">
        <v>56</v>
      </c>
    </row>
    <row r="860" spans="1:16">
      <c r="A860" s="10" t="s">
        <v>1456</v>
      </c>
      <c r="B860" s="11">
        <v>45295</v>
      </c>
      <c r="C860" s="11">
        <v>45301</v>
      </c>
      <c r="D860" s="10" t="s">
        <v>217</v>
      </c>
      <c r="E860" s="10" t="s">
        <v>320</v>
      </c>
      <c r="F860" s="10" t="s">
        <v>43</v>
      </c>
      <c r="G860" s="10" t="s">
        <v>44</v>
      </c>
      <c r="H860" s="10" t="s">
        <v>45</v>
      </c>
      <c r="I860" s="10" t="s">
        <v>46</v>
      </c>
      <c r="J860" s="10" t="s">
        <v>23</v>
      </c>
      <c r="K860" s="10" t="s">
        <v>120</v>
      </c>
      <c r="L860" s="12">
        <v>25200</v>
      </c>
      <c r="M860" s="10">
        <v>6</v>
      </c>
      <c r="N860" s="13">
        <v>0</v>
      </c>
      <c r="O860" s="14">
        <v>3223.2</v>
      </c>
      <c r="P860" s="10" t="s">
        <v>56</v>
      </c>
    </row>
    <row r="861" spans="1:16">
      <c r="A861" s="10" t="s">
        <v>1457</v>
      </c>
      <c r="B861" s="11">
        <v>45913</v>
      </c>
      <c r="C861" s="11">
        <v>45917</v>
      </c>
      <c r="D861" s="10" t="s">
        <v>360</v>
      </c>
      <c r="E861" s="10" t="s">
        <v>927</v>
      </c>
      <c r="F861" s="10" t="s">
        <v>43</v>
      </c>
      <c r="G861" s="10" t="s">
        <v>81</v>
      </c>
      <c r="H861" s="10" t="s">
        <v>68</v>
      </c>
      <c r="I861" s="10" t="s">
        <v>22</v>
      </c>
      <c r="J861" s="10" t="s">
        <v>38</v>
      </c>
      <c r="K861" s="10" t="s">
        <v>169</v>
      </c>
      <c r="L861" s="12">
        <v>9135</v>
      </c>
      <c r="M861" s="10">
        <v>7</v>
      </c>
      <c r="N861" s="13">
        <v>0.1</v>
      </c>
      <c r="O861" s="14">
        <v>990.36</v>
      </c>
      <c r="P861" s="10" t="s">
        <v>69</v>
      </c>
    </row>
    <row r="862" spans="1:16">
      <c r="A862" s="10" t="s">
        <v>1458</v>
      </c>
      <c r="B862" s="11">
        <v>45913</v>
      </c>
      <c r="C862" s="11">
        <v>45915</v>
      </c>
      <c r="D862" s="10" t="s">
        <v>690</v>
      </c>
      <c r="E862" s="10" t="s">
        <v>1459</v>
      </c>
      <c r="F862" s="10" t="s">
        <v>19</v>
      </c>
      <c r="G862" s="10" t="s">
        <v>60</v>
      </c>
      <c r="H862" s="10" t="s">
        <v>61</v>
      </c>
      <c r="I862" s="10" t="s">
        <v>37</v>
      </c>
      <c r="J862" s="10" t="s">
        <v>30</v>
      </c>
      <c r="K862" s="10" t="s">
        <v>93</v>
      </c>
      <c r="L862" s="12">
        <v>90</v>
      </c>
      <c r="M862" s="10">
        <v>1</v>
      </c>
      <c r="N862" s="13">
        <v>0</v>
      </c>
      <c r="O862" s="14">
        <v>22.55</v>
      </c>
      <c r="P862" s="10" t="s">
        <v>63</v>
      </c>
    </row>
    <row r="863" spans="1:16">
      <c r="A863" s="10" t="s">
        <v>1460</v>
      </c>
      <c r="B863" s="11">
        <v>46187</v>
      </c>
      <c r="C863" s="11">
        <v>46191</v>
      </c>
      <c r="D863" s="10" t="s">
        <v>612</v>
      </c>
      <c r="E863" s="10" t="s">
        <v>557</v>
      </c>
      <c r="F863" s="10" t="s">
        <v>19</v>
      </c>
      <c r="G863" s="10" t="s">
        <v>97</v>
      </c>
      <c r="H863" s="10" t="s">
        <v>21</v>
      </c>
      <c r="I863" s="10" t="s">
        <v>22</v>
      </c>
      <c r="J863" s="10" t="s">
        <v>76</v>
      </c>
      <c r="K863" s="10" t="s">
        <v>206</v>
      </c>
      <c r="L863" s="12">
        <v>7040</v>
      </c>
      <c r="M863" s="10">
        <v>8</v>
      </c>
      <c r="N863" s="13">
        <v>0.2</v>
      </c>
      <c r="O863" s="14">
        <v>1474.36</v>
      </c>
      <c r="P863" s="10" t="s">
        <v>48</v>
      </c>
    </row>
    <row r="864" spans="1:16">
      <c r="A864" s="10" t="s">
        <v>1461</v>
      </c>
      <c r="B864" s="11">
        <v>45400</v>
      </c>
      <c r="C864" s="11">
        <v>45404</v>
      </c>
      <c r="D864" s="10" t="s">
        <v>255</v>
      </c>
      <c r="E864" s="10" t="s">
        <v>1239</v>
      </c>
      <c r="F864" s="10" t="s">
        <v>43</v>
      </c>
      <c r="G864" s="10" t="s">
        <v>60</v>
      </c>
      <c r="H864" s="10" t="s">
        <v>61</v>
      </c>
      <c r="I864" s="10" t="s">
        <v>37</v>
      </c>
      <c r="J864" s="10" t="s">
        <v>38</v>
      </c>
      <c r="K864" s="10" t="s">
        <v>39</v>
      </c>
      <c r="L864" s="12">
        <v>5130</v>
      </c>
      <c r="M864" s="10">
        <v>6</v>
      </c>
      <c r="N864" s="13">
        <v>0.1</v>
      </c>
      <c r="O864" s="14">
        <v>850.35</v>
      </c>
      <c r="P864" s="10" t="s">
        <v>48</v>
      </c>
    </row>
    <row r="865" spans="1:16">
      <c r="A865" s="10" t="s">
        <v>1462</v>
      </c>
      <c r="B865" s="11">
        <v>45973</v>
      </c>
      <c r="C865" s="11">
        <v>45975</v>
      </c>
      <c r="D865" s="10" t="s">
        <v>392</v>
      </c>
      <c r="E865" s="10" t="s">
        <v>1463</v>
      </c>
      <c r="F865" s="10" t="s">
        <v>19</v>
      </c>
      <c r="G865" s="10" t="s">
        <v>101</v>
      </c>
      <c r="H865" s="10" t="s">
        <v>102</v>
      </c>
      <c r="I865" s="10" t="s">
        <v>103</v>
      </c>
      <c r="J865" s="10" t="s">
        <v>76</v>
      </c>
      <c r="K865" s="10" t="s">
        <v>206</v>
      </c>
      <c r="L865" s="12">
        <v>6600</v>
      </c>
      <c r="M865" s="10">
        <v>6</v>
      </c>
      <c r="N865" s="13">
        <v>0</v>
      </c>
      <c r="O865" s="14">
        <v>909.07</v>
      </c>
      <c r="P865" s="10" t="s">
        <v>69</v>
      </c>
    </row>
    <row r="866" spans="1:16">
      <c r="A866" s="10" t="s">
        <v>1464</v>
      </c>
      <c r="B866" s="11">
        <v>45678</v>
      </c>
      <c r="C866" s="11">
        <v>45684</v>
      </c>
      <c r="D866" s="10" t="s">
        <v>1305</v>
      </c>
      <c r="E866" s="10" t="s">
        <v>725</v>
      </c>
      <c r="F866" s="10" t="s">
        <v>29</v>
      </c>
      <c r="G866" s="10" t="s">
        <v>60</v>
      </c>
      <c r="H866" s="10" t="s">
        <v>61</v>
      </c>
      <c r="I866" s="10" t="s">
        <v>37</v>
      </c>
      <c r="J866" s="10" t="s">
        <v>76</v>
      </c>
      <c r="K866" s="10" t="s">
        <v>85</v>
      </c>
      <c r="L866" s="12">
        <v>1540</v>
      </c>
      <c r="M866" s="10">
        <v>7</v>
      </c>
      <c r="N866" s="13">
        <v>0</v>
      </c>
      <c r="O866" s="14">
        <v>495.69</v>
      </c>
      <c r="P866" s="10" t="s">
        <v>48</v>
      </c>
    </row>
    <row r="867" spans="1:16">
      <c r="A867" s="10" t="s">
        <v>1465</v>
      </c>
      <c r="B867" s="11">
        <v>45640</v>
      </c>
      <c r="C867" s="11">
        <v>45646</v>
      </c>
      <c r="D867" s="10" t="s">
        <v>540</v>
      </c>
      <c r="E867" s="10" t="s">
        <v>1466</v>
      </c>
      <c r="F867" s="10" t="s">
        <v>19</v>
      </c>
      <c r="G867" s="10" t="s">
        <v>224</v>
      </c>
      <c r="H867" s="10" t="s">
        <v>225</v>
      </c>
      <c r="I867" s="10" t="s">
        <v>75</v>
      </c>
      <c r="J867" s="10" t="s">
        <v>30</v>
      </c>
      <c r="K867" s="10" t="s">
        <v>261</v>
      </c>
      <c r="L867" s="12">
        <v>1080</v>
      </c>
      <c r="M867" s="10">
        <v>6</v>
      </c>
      <c r="N867" s="13">
        <v>0</v>
      </c>
      <c r="O867" s="14">
        <v>170.78</v>
      </c>
      <c r="P867" s="10" t="s">
        <v>48</v>
      </c>
    </row>
    <row r="868" spans="1:16">
      <c r="A868" s="10" t="s">
        <v>1467</v>
      </c>
      <c r="B868" s="11">
        <v>45610</v>
      </c>
      <c r="C868" s="11">
        <v>45611</v>
      </c>
      <c r="D868" s="10" t="s">
        <v>1317</v>
      </c>
      <c r="E868" s="10" t="s">
        <v>160</v>
      </c>
      <c r="F868" s="10" t="s">
        <v>19</v>
      </c>
      <c r="G868" s="10" t="s">
        <v>224</v>
      </c>
      <c r="H868" s="10" t="s">
        <v>225</v>
      </c>
      <c r="I868" s="10" t="s">
        <v>75</v>
      </c>
      <c r="J868" s="10" t="s">
        <v>30</v>
      </c>
      <c r="K868" s="10" t="s">
        <v>127</v>
      </c>
      <c r="L868" s="12">
        <v>997.5</v>
      </c>
      <c r="M868" s="10">
        <v>7</v>
      </c>
      <c r="N868" s="13">
        <v>0.05</v>
      </c>
      <c r="O868" s="14">
        <v>171.54</v>
      </c>
      <c r="P868" s="10" t="s">
        <v>63</v>
      </c>
    </row>
    <row r="869" spans="1:16">
      <c r="A869" s="10" t="s">
        <v>1468</v>
      </c>
      <c r="B869" s="11">
        <v>45896</v>
      </c>
      <c r="C869" s="11">
        <v>45898</v>
      </c>
      <c r="D869" s="10" t="s">
        <v>591</v>
      </c>
      <c r="E869" s="10" t="s">
        <v>1459</v>
      </c>
      <c r="F869" s="10" t="s">
        <v>29</v>
      </c>
      <c r="G869" s="10" t="s">
        <v>20</v>
      </c>
      <c r="H869" s="10" t="s">
        <v>21</v>
      </c>
      <c r="I869" s="10" t="s">
        <v>22</v>
      </c>
      <c r="J869" s="10" t="s">
        <v>76</v>
      </c>
      <c r="K869" s="10" t="s">
        <v>206</v>
      </c>
      <c r="L869" s="12">
        <v>8360</v>
      </c>
      <c r="M869" s="10">
        <v>8</v>
      </c>
      <c r="N869" s="13">
        <v>0.05</v>
      </c>
      <c r="O869" s="14">
        <v>2799.58</v>
      </c>
      <c r="P869" s="10" t="s">
        <v>25</v>
      </c>
    </row>
    <row r="870" spans="1:16">
      <c r="A870" s="10" t="s">
        <v>1469</v>
      </c>
      <c r="B870" s="11">
        <v>45988</v>
      </c>
      <c r="C870" s="11">
        <v>45992</v>
      </c>
      <c r="D870" s="10" t="s">
        <v>417</v>
      </c>
      <c r="E870" s="10" t="s">
        <v>650</v>
      </c>
      <c r="F870" s="10" t="s">
        <v>19</v>
      </c>
      <c r="G870" s="10" t="s">
        <v>97</v>
      </c>
      <c r="H870" s="10" t="s">
        <v>21</v>
      </c>
      <c r="I870" s="10" t="s">
        <v>22</v>
      </c>
      <c r="J870" s="10" t="s">
        <v>23</v>
      </c>
      <c r="K870" s="10" t="s">
        <v>24</v>
      </c>
      <c r="L870" s="12">
        <v>5525</v>
      </c>
      <c r="M870" s="10">
        <v>1</v>
      </c>
      <c r="N870" s="13">
        <v>0.15</v>
      </c>
      <c r="O870" s="14">
        <v>1515.31</v>
      </c>
      <c r="P870" s="10" t="s">
        <v>63</v>
      </c>
    </row>
    <row r="871" spans="1:16">
      <c r="A871" s="10" t="s">
        <v>1470</v>
      </c>
      <c r="B871" s="11">
        <v>45781</v>
      </c>
      <c r="C871" s="11">
        <v>45787</v>
      </c>
      <c r="D871" s="10" t="s">
        <v>1116</v>
      </c>
      <c r="E871" s="10" t="s">
        <v>533</v>
      </c>
      <c r="F871" s="10" t="s">
        <v>19</v>
      </c>
      <c r="G871" s="10" t="s">
        <v>44</v>
      </c>
      <c r="H871" s="10" t="s">
        <v>45</v>
      </c>
      <c r="I871" s="10" t="s">
        <v>46</v>
      </c>
      <c r="J871" s="10" t="s">
        <v>30</v>
      </c>
      <c r="K871" s="10" t="s">
        <v>127</v>
      </c>
      <c r="L871" s="12">
        <v>600</v>
      </c>
      <c r="M871" s="10">
        <v>5</v>
      </c>
      <c r="N871" s="13">
        <v>0.2</v>
      </c>
      <c r="O871" s="14">
        <v>59.23</v>
      </c>
      <c r="P871" s="10" t="s">
        <v>56</v>
      </c>
    </row>
    <row r="872" spans="1:16">
      <c r="A872" s="10" t="s">
        <v>1471</v>
      </c>
      <c r="B872" s="11">
        <v>46160</v>
      </c>
      <c r="C872" s="11">
        <v>46166</v>
      </c>
      <c r="D872" s="10" t="s">
        <v>272</v>
      </c>
      <c r="E872" s="10" t="s">
        <v>134</v>
      </c>
      <c r="F872" s="10" t="s">
        <v>19</v>
      </c>
      <c r="G872" s="10" t="s">
        <v>101</v>
      </c>
      <c r="H872" s="10" t="s">
        <v>102</v>
      </c>
      <c r="I872" s="10" t="s">
        <v>103</v>
      </c>
      <c r="J872" s="10" t="s">
        <v>30</v>
      </c>
      <c r="K872" s="10" t="s">
        <v>261</v>
      </c>
      <c r="L872" s="12">
        <v>486</v>
      </c>
      <c r="M872" s="10">
        <v>3</v>
      </c>
      <c r="N872" s="13">
        <v>0.1</v>
      </c>
      <c r="O872" s="14">
        <v>85.48</v>
      </c>
      <c r="P872" s="10" t="s">
        <v>25</v>
      </c>
    </row>
    <row r="873" spans="1:16">
      <c r="A873" s="10" t="s">
        <v>1472</v>
      </c>
      <c r="B873" s="11">
        <v>45637</v>
      </c>
      <c r="C873" s="11">
        <v>45641</v>
      </c>
      <c r="D873" s="10" t="s">
        <v>181</v>
      </c>
      <c r="E873" s="10" t="s">
        <v>474</v>
      </c>
      <c r="F873" s="10" t="s">
        <v>19</v>
      </c>
      <c r="G873" s="10" t="s">
        <v>167</v>
      </c>
      <c r="H873" s="10" t="s">
        <v>168</v>
      </c>
      <c r="I873" s="10" t="s">
        <v>37</v>
      </c>
      <c r="J873" s="10" t="s">
        <v>76</v>
      </c>
      <c r="K873" s="10" t="s">
        <v>229</v>
      </c>
      <c r="L873" s="12">
        <v>11970</v>
      </c>
      <c r="M873" s="10">
        <v>7</v>
      </c>
      <c r="N873" s="13">
        <v>0.1</v>
      </c>
      <c r="O873" s="14">
        <v>4145.5200000000004</v>
      </c>
      <c r="P873" s="10" t="s">
        <v>56</v>
      </c>
    </row>
    <row r="874" spans="1:16">
      <c r="A874" s="10" t="s">
        <v>1473</v>
      </c>
      <c r="B874" s="11">
        <v>46009</v>
      </c>
      <c r="C874" s="11">
        <v>46016</v>
      </c>
      <c r="D874" s="10" t="s">
        <v>1364</v>
      </c>
      <c r="E874" s="10" t="s">
        <v>80</v>
      </c>
      <c r="F874" s="10" t="s">
        <v>19</v>
      </c>
      <c r="G874" s="10" t="s">
        <v>151</v>
      </c>
      <c r="H874" s="10" t="s">
        <v>151</v>
      </c>
      <c r="I874" s="10" t="s">
        <v>75</v>
      </c>
      <c r="J874" s="10" t="s">
        <v>76</v>
      </c>
      <c r="K874" s="10" t="s">
        <v>206</v>
      </c>
      <c r="L874" s="12">
        <v>3135</v>
      </c>
      <c r="M874" s="10">
        <v>3</v>
      </c>
      <c r="N874" s="13">
        <v>0.05</v>
      </c>
      <c r="O874" s="14">
        <v>554.62</v>
      </c>
      <c r="P874" s="10" t="s">
        <v>69</v>
      </c>
    </row>
    <row r="875" spans="1:16">
      <c r="A875" s="10" t="s">
        <v>1474</v>
      </c>
      <c r="B875" s="11">
        <v>45760</v>
      </c>
      <c r="C875" s="11">
        <v>45766</v>
      </c>
      <c r="D875" s="10" t="s">
        <v>824</v>
      </c>
      <c r="E875" s="10" t="s">
        <v>586</v>
      </c>
      <c r="F875" s="10" t="s">
        <v>19</v>
      </c>
      <c r="G875" s="10" t="s">
        <v>97</v>
      </c>
      <c r="H875" s="10" t="s">
        <v>21</v>
      </c>
      <c r="I875" s="10" t="s">
        <v>22</v>
      </c>
      <c r="J875" s="10" t="s">
        <v>30</v>
      </c>
      <c r="K875" s="10" t="s">
        <v>127</v>
      </c>
      <c r="L875" s="12">
        <v>1140</v>
      </c>
      <c r="M875" s="10">
        <v>8</v>
      </c>
      <c r="N875" s="13">
        <v>0.05</v>
      </c>
      <c r="O875" s="14">
        <v>158.71</v>
      </c>
      <c r="P875" s="10" t="s">
        <v>56</v>
      </c>
    </row>
    <row r="876" spans="1:16">
      <c r="A876" s="10" t="s">
        <v>1475</v>
      </c>
      <c r="B876" s="11">
        <v>46044</v>
      </c>
      <c r="C876" s="11">
        <v>46050</v>
      </c>
      <c r="D876" s="10" t="s">
        <v>360</v>
      </c>
      <c r="E876" s="10" t="s">
        <v>119</v>
      </c>
      <c r="F876" s="10" t="s">
        <v>43</v>
      </c>
      <c r="G876" s="10" t="s">
        <v>135</v>
      </c>
      <c r="H876" s="10" t="s">
        <v>21</v>
      </c>
      <c r="I876" s="10" t="s">
        <v>22</v>
      </c>
      <c r="J876" s="10" t="s">
        <v>23</v>
      </c>
      <c r="K876" s="10" t="s">
        <v>47</v>
      </c>
      <c r="L876" s="12">
        <v>4960</v>
      </c>
      <c r="M876" s="10">
        <v>2</v>
      </c>
      <c r="N876" s="13">
        <v>0.2</v>
      </c>
      <c r="O876" s="14">
        <v>723.02</v>
      </c>
      <c r="P876" s="10" t="s">
        <v>56</v>
      </c>
    </row>
    <row r="877" spans="1:16">
      <c r="A877" s="10" t="s">
        <v>1476</v>
      </c>
      <c r="B877" s="11">
        <v>46240</v>
      </c>
      <c r="C877" s="11">
        <v>46241</v>
      </c>
      <c r="D877" s="10" t="s">
        <v>569</v>
      </c>
      <c r="E877" s="10" t="s">
        <v>397</v>
      </c>
      <c r="F877" s="10" t="s">
        <v>43</v>
      </c>
      <c r="G877" s="10" t="s">
        <v>20</v>
      </c>
      <c r="H877" s="10" t="s">
        <v>21</v>
      </c>
      <c r="I877" s="10" t="s">
        <v>22</v>
      </c>
      <c r="J877" s="10" t="s">
        <v>23</v>
      </c>
      <c r="K877" s="10" t="s">
        <v>293</v>
      </c>
      <c r="L877" s="12">
        <v>2250</v>
      </c>
      <c r="M877" s="10">
        <v>3</v>
      </c>
      <c r="N877" s="13">
        <v>0</v>
      </c>
      <c r="O877" s="14">
        <v>786.35</v>
      </c>
      <c r="P877" s="10" t="s">
        <v>56</v>
      </c>
    </row>
    <row r="878" spans="1:16">
      <c r="A878" s="10" t="s">
        <v>1477</v>
      </c>
      <c r="B878" s="11">
        <v>45934</v>
      </c>
      <c r="C878" s="11">
        <v>45940</v>
      </c>
      <c r="D878" s="10" t="s">
        <v>239</v>
      </c>
      <c r="E878" s="10" t="s">
        <v>1478</v>
      </c>
      <c r="F878" s="10" t="s">
        <v>19</v>
      </c>
      <c r="G878" s="10" t="s">
        <v>81</v>
      </c>
      <c r="H878" s="10" t="s">
        <v>68</v>
      </c>
      <c r="I878" s="10" t="s">
        <v>22</v>
      </c>
      <c r="J878" s="10" t="s">
        <v>30</v>
      </c>
      <c r="K878" s="10" t="s">
        <v>261</v>
      </c>
      <c r="L878" s="12">
        <v>360</v>
      </c>
      <c r="M878" s="10">
        <v>2</v>
      </c>
      <c r="N878" s="13">
        <v>0</v>
      </c>
      <c r="O878" s="14">
        <v>99.67</v>
      </c>
      <c r="P878" s="10" t="s">
        <v>25</v>
      </c>
    </row>
    <row r="879" spans="1:16">
      <c r="A879" s="10" t="s">
        <v>1479</v>
      </c>
      <c r="B879" s="11">
        <v>46086</v>
      </c>
      <c r="C879" s="11">
        <v>46092</v>
      </c>
      <c r="D879" s="10" t="s">
        <v>625</v>
      </c>
      <c r="E879" s="10" t="s">
        <v>784</v>
      </c>
      <c r="F879" s="10" t="s">
        <v>29</v>
      </c>
      <c r="G879" s="10" t="s">
        <v>35</v>
      </c>
      <c r="H879" s="10" t="s">
        <v>36</v>
      </c>
      <c r="I879" s="10" t="s">
        <v>37</v>
      </c>
      <c r="J879" s="10" t="s">
        <v>38</v>
      </c>
      <c r="K879" s="10" t="s">
        <v>55</v>
      </c>
      <c r="L879" s="12">
        <v>3657.5</v>
      </c>
      <c r="M879" s="10">
        <v>7</v>
      </c>
      <c r="N879" s="13">
        <v>0.05</v>
      </c>
      <c r="O879" s="14">
        <v>761.1</v>
      </c>
      <c r="P879" s="10" t="s">
        <v>48</v>
      </c>
    </row>
    <row r="880" spans="1:16">
      <c r="A880" s="10" t="s">
        <v>1480</v>
      </c>
      <c r="B880" s="11">
        <v>45376</v>
      </c>
      <c r="C880" s="11">
        <v>45377</v>
      </c>
      <c r="D880" s="10" t="s">
        <v>1481</v>
      </c>
      <c r="E880" s="10" t="s">
        <v>887</v>
      </c>
      <c r="F880" s="10" t="s">
        <v>43</v>
      </c>
      <c r="G880" s="10" t="s">
        <v>73</v>
      </c>
      <c r="H880" s="10" t="s">
        <v>74</v>
      </c>
      <c r="I880" s="10" t="s">
        <v>75</v>
      </c>
      <c r="J880" s="10" t="s">
        <v>30</v>
      </c>
      <c r="K880" s="10" t="s">
        <v>261</v>
      </c>
      <c r="L880" s="12">
        <v>1368</v>
      </c>
      <c r="M880" s="10">
        <v>8</v>
      </c>
      <c r="N880" s="13">
        <v>0.05</v>
      </c>
      <c r="O880" s="14">
        <v>262.83999999999997</v>
      </c>
      <c r="P880" s="10" t="s">
        <v>25</v>
      </c>
    </row>
    <row r="881" spans="1:16">
      <c r="A881" s="10" t="s">
        <v>1482</v>
      </c>
      <c r="B881" s="11">
        <v>45952</v>
      </c>
      <c r="C881" s="11">
        <v>45958</v>
      </c>
      <c r="D881" s="10" t="s">
        <v>1483</v>
      </c>
      <c r="E881" s="10" t="s">
        <v>659</v>
      </c>
      <c r="F881" s="10" t="s">
        <v>43</v>
      </c>
      <c r="G881" s="10" t="s">
        <v>81</v>
      </c>
      <c r="H881" s="10" t="s">
        <v>68</v>
      </c>
      <c r="I881" s="10" t="s">
        <v>22</v>
      </c>
      <c r="J881" s="10" t="s">
        <v>23</v>
      </c>
      <c r="K881" s="10" t="s">
        <v>47</v>
      </c>
      <c r="L881" s="12">
        <v>9300</v>
      </c>
      <c r="M881" s="10">
        <v>3</v>
      </c>
      <c r="N881" s="13">
        <v>0</v>
      </c>
      <c r="O881" s="14">
        <v>2747.6</v>
      </c>
      <c r="P881" s="10" t="s">
        <v>48</v>
      </c>
    </row>
    <row r="882" spans="1:16">
      <c r="A882" s="10" t="s">
        <v>1484</v>
      </c>
      <c r="B882" s="11">
        <v>45695</v>
      </c>
      <c r="C882" s="11">
        <v>45700</v>
      </c>
      <c r="D882" s="10" t="s">
        <v>747</v>
      </c>
      <c r="E882" s="10" t="s">
        <v>350</v>
      </c>
      <c r="F882" s="10" t="s">
        <v>19</v>
      </c>
      <c r="G882" s="10" t="s">
        <v>44</v>
      </c>
      <c r="H882" s="10" t="s">
        <v>45</v>
      </c>
      <c r="I882" s="10" t="s">
        <v>46</v>
      </c>
      <c r="J882" s="10" t="s">
        <v>76</v>
      </c>
      <c r="K882" s="10" t="s">
        <v>206</v>
      </c>
      <c r="L882" s="12">
        <v>2200</v>
      </c>
      <c r="M882" s="10">
        <v>2</v>
      </c>
      <c r="N882" s="13">
        <v>0</v>
      </c>
      <c r="O882" s="14">
        <v>283.63</v>
      </c>
      <c r="P882" s="10" t="s">
        <v>56</v>
      </c>
    </row>
    <row r="883" spans="1:16">
      <c r="A883" s="10" t="s">
        <v>1485</v>
      </c>
      <c r="B883" s="11">
        <v>45297</v>
      </c>
      <c r="C883" s="11">
        <v>45302</v>
      </c>
      <c r="D883" s="10" t="s">
        <v>201</v>
      </c>
      <c r="E883" s="10" t="s">
        <v>1449</v>
      </c>
      <c r="F883" s="10" t="s">
        <v>19</v>
      </c>
      <c r="G883" s="10" t="s">
        <v>73</v>
      </c>
      <c r="H883" s="10" t="s">
        <v>74</v>
      </c>
      <c r="I883" s="10" t="s">
        <v>75</v>
      </c>
      <c r="J883" s="10" t="s">
        <v>23</v>
      </c>
      <c r="K883" s="10" t="s">
        <v>120</v>
      </c>
      <c r="L883" s="12">
        <v>4200</v>
      </c>
      <c r="M883" s="10">
        <v>1</v>
      </c>
      <c r="N883" s="13">
        <v>0</v>
      </c>
      <c r="O883" s="14">
        <v>968.01</v>
      </c>
      <c r="P883" s="10" t="s">
        <v>69</v>
      </c>
    </row>
    <row r="884" spans="1:16">
      <c r="A884" s="10" t="s">
        <v>1486</v>
      </c>
      <c r="B884" s="11">
        <v>46163</v>
      </c>
      <c r="C884" s="11">
        <v>46170</v>
      </c>
      <c r="D884" s="10" t="s">
        <v>811</v>
      </c>
      <c r="E884" s="10" t="s">
        <v>853</v>
      </c>
      <c r="F884" s="10" t="s">
        <v>29</v>
      </c>
      <c r="G884" s="10" t="s">
        <v>135</v>
      </c>
      <c r="H884" s="10" t="s">
        <v>21</v>
      </c>
      <c r="I884" s="10" t="s">
        <v>22</v>
      </c>
      <c r="J884" s="10" t="s">
        <v>38</v>
      </c>
      <c r="K884" s="10" t="s">
        <v>104</v>
      </c>
      <c r="L884" s="12">
        <v>3087.5</v>
      </c>
      <c r="M884" s="10">
        <v>5</v>
      </c>
      <c r="N884" s="13">
        <v>0.05</v>
      </c>
      <c r="O884" s="14">
        <v>374.42</v>
      </c>
      <c r="P884" s="10" t="s">
        <v>56</v>
      </c>
    </row>
    <row r="885" spans="1:16">
      <c r="A885" s="10" t="s">
        <v>1487</v>
      </c>
      <c r="B885" s="11">
        <v>45599</v>
      </c>
      <c r="C885" s="11">
        <v>45600</v>
      </c>
      <c r="D885" s="10" t="s">
        <v>886</v>
      </c>
      <c r="E885" s="10" t="s">
        <v>871</v>
      </c>
      <c r="F885" s="10" t="s">
        <v>43</v>
      </c>
      <c r="G885" s="10" t="s">
        <v>151</v>
      </c>
      <c r="H885" s="10" t="s">
        <v>151</v>
      </c>
      <c r="I885" s="10" t="s">
        <v>75</v>
      </c>
      <c r="J885" s="10" t="s">
        <v>23</v>
      </c>
      <c r="K885" s="10" t="s">
        <v>47</v>
      </c>
      <c r="L885" s="12">
        <v>24800</v>
      </c>
      <c r="M885" s="10">
        <v>8</v>
      </c>
      <c r="N885" s="13">
        <v>0</v>
      </c>
      <c r="O885" s="14">
        <v>5703.04</v>
      </c>
      <c r="P885" s="10" t="s">
        <v>63</v>
      </c>
    </row>
    <row r="886" spans="1:16">
      <c r="A886" s="10" t="s">
        <v>1488</v>
      </c>
      <c r="B886" s="11">
        <v>45843</v>
      </c>
      <c r="C886" s="11">
        <v>45848</v>
      </c>
      <c r="D886" s="10" t="s">
        <v>272</v>
      </c>
      <c r="E886" s="10" t="s">
        <v>557</v>
      </c>
      <c r="F886" s="10" t="s">
        <v>19</v>
      </c>
      <c r="G886" s="10" t="s">
        <v>111</v>
      </c>
      <c r="H886" s="10" t="s">
        <v>21</v>
      </c>
      <c r="I886" s="10" t="s">
        <v>22</v>
      </c>
      <c r="J886" s="10" t="s">
        <v>38</v>
      </c>
      <c r="K886" s="10" t="s">
        <v>104</v>
      </c>
      <c r="L886" s="12">
        <v>2600</v>
      </c>
      <c r="M886" s="10">
        <v>4</v>
      </c>
      <c r="N886" s="13">
        <v>0</v>
      </c>
      <c r="O886" s="14">
        <v>860.86</v>
      </c>
      <c r="P886" s="10" t="s">
        <v>63</v>
      </c>
    </row>
    <row r="887" spans="1:16">
      <c r="A887" s="10" t="s">
        <v>1489</v>
      </c>
      <c r="B887" s="11">
        <v>45513</v>
      </c>
      <c r="C887" s="11">
        <v>45518</v>
      </c>
      <c r="D887" s="10" t="s">
        <v>955</v>
      </c>
      <c r="E887" s="10" t="s">
        <v>191</v>
      </c>
      <c r="F887" s="10" t="s">
        <v>29</v>
      </c>
      <c r="G887" s="10" t="s">
        <v>67</v>
      </c>
      <c r="H887" s="10" t="s">
        <v>68</v>
      </c>
      <c r="I887" s="10" t="s">
        <v>22</v>
      </c>
      <c r="J887" s="10" t="s">
        <v>23</v>
      </c>
      <c r="K887" s="10" t="s">
        <v>24</v>
      </c>
      <c r="L887" s="12">
        <v>45500</v>
      </c>
      <c r="M887" s="10">
        <v>7</v>
      </c>
      <c r="N887" s="13">
        <v>0</v>
      </c>
      <c r="O887" s="14">
        <v>10785.29</v>
      </c>
      <c r="P887" s="10" t="s">
        <v>25</v>
      </c>
    </row>
    <row r="888" spans="1:16">
      <c r="A888" s="10" t="s">
        <v>1490</v>
      </c>
      <c r="B888" s="11">
        <v>45759</v>
      </c>
      <c r="C888" s="11">
        <v>45760</v>
      </c>
      <c r="D888" s="10" t="s">
        <v>749</v>
      </c>
      <c r="E888" s="10" t="s">
        <v>106</v>
      </c>
      <c r="F888" s="10" t="s">
        <v>43</v>
      </c>
      <c r="G888" s="10" t="s">
        <v>179</v>
      </c>
      <c r="H888" s="10" t="s">
        <v>21</v>
      </c>
      <c r="I888" s="10" t="s">
        <v>22</v>
      </c>
      <c r="J888" s="10" t="s">
        <v>76</v>
      </c>
      <c r="K888" s="10" t="s">
        <v>131</v>
      </c>
      <c r="L888" s="12">
        <v>1400</v>
      </c>
      <c r="M888" s="10">
        <v>4</v>
      </c>
      <c r="N888" s="13">
        <v>0</v>
      </c>
      <c r="O888" s="14">
        <v>302.83999999999997</v>
      </c>
      <c r="P888" s="10" t="s">
        <v>63</v>
      </c>
    </row>
    <row r="889" spans="1:16">
      <c r="A889" s="10" t="s">
        <v>1491</v>
      </c>
      <c r="B889" s="11">
        <v>45965</v>
      </c>
      <c r="C889" s="11">
        <v>45971</v>
      </c>
      <c r="D889" s="10" t="s">
        <v>322</v>
      </c>
      <c r="E889" s="10" t="s">
        <v>1287</v>
      </c>
      <c r="F889" s="10" t="s">
        <v>19</v>
      </c>
      <c r="G889" s="10" t="s">
        <v>44</v>
      </c>
      <c r="H889" s="10" t="s">
        <v>45</v>
      </c>
      <c r="I889" s="10" t="s">
        <v>46</v>
      </c>
      <c r="J889" s="10" t="s">
        <v>30</v>
      </c>
      <c r="K889" s="10" t="s">
        <v>127</v>
      </c>
      <c r="L889" s="12">
        <v>427.5</v>
      </c>
      <c r="M889" s="10">
        <v>3</v>
      </c>
      <c r="N889" s="13">
        <v>0.05</v>
      </c>
      <c r="O889" s="14">
        <v>48.93</v>
      </c>
      <c r="P889" s="10" t="s">
        <v>56</v>
      </c>
    </row>
    <row r="890" spans="1:16">
      <c r="A890" s="10" t="s">
        <v>1492</v>
      </c>
      <c r="B890" s="11">
        <v>45371</v>
      </c>
      <c r="C890" s="11">
        <v>45374</v>
      </c>
      <c r="D890" s="10" t="s">
        <v>690</v>
      </c>
      <c r="E890" s="10" t="s">
        <v>96</v>
      </c>
      <c r="F890" s="10" t="s">
        <v>43</v>
      </c>
      <c r="G890" s="10" t="s">
        <v>20</v>
      </c>
      <c r="H890" s="10" t="s">
        <v>21</v>
      </c>
      <c r="I890" s="10" t="s">
        <v>22</v>
      </c>
      <c r="J890" s="10" t="s">
        <v>38</v>
      </c>
      <c r="K890" s="10" t="s">
        <v>62</v>
      </c>
      <c r="L890" s="12">
        <v>59500</v>
      </c>
      <c r="M890" s="10">
        <v>7</v>
      </c>
      <c r="N890" s="13">
        <v>0</v>
      </c>
      <c r="O890" s="14">
        <v>17514.84</v>
      </c>
      <c r="P890" s="10" t="s">
        <v>69</v>
      </c>
    </row>
    <row r="891" spans="1:16">
      <c r="A891" s="10" t="s">
        <v>1493</v>
      </c>
      <c r="B891" s="11">
        <v>45441</v>
      </c>
      <c r="C891" s="11">
        <v>45448</v>
      </c>
      <c r="D891" s="10" t="s">
        <v>316</v>
      </c>
      <c r="E891" s="10" t="s">
        <v>687</v>
      </c>
      <c r="F891" s="10" t="s">
        <v>29</v>
      </c>
      <c r="G891" s="10" t="s">
        <v>35</v>
      </c>
      <c r="H891" s="10" t="s">
        <v>36</v>
      </c>
      <c r="I891" s="10" t="s">
        <v>37</v>
      </c>
      <c r="J891" s="10" t="s">
        <v>30</v>
      </c>
      <c r="K891" s="10" t="s">
        <v>173</v>
      </c>
      <c r="L891" s="12">
        <v>320</v>
      </c>
      <c r="M891" s="10">
        <v>1</v>
      </c>
      <c r="N891" s="13">
        <v>0</v>
      </c>
      <c r="O891" s="14">
        <v>90.22</v>
      </c>
      <c r="P891" s="10" t="s">
        <v>48</v>
      </c>
    </row>
    <row r="892" spans="1:16">
      <c r="A892" s="10" t="s">
        <v>1494</v>
      </c>
      <c r="B892" s="11">
        <v>45471</v>
      </c>
      <c r="C892" s="11">
        <v>45476</v>
      </c>
      <c r="D892" s="10" t="s">
        <v>381</v>
      </c>
      <c r="E892" s="10" t="s">
        <v>603</v>
      </c>
      <c r="F892" s="10" t="s">
        <v>43</v>
      </c>
      <c r="G892" s="10" t="s">
        <v>60</v>
      </c>
      <c r="H892" s="10" t="s">
        <v>61</v>
      </c>
      <c r="I892" s="10" t="s">
        <v>37</v>
      </c>
      <c r="J892" s="10" t="s">
        <v>23</v>
      </c>
      <c r="K892" s="10" t="s">
        <v>47</v>
      </c>
      <c r="L892" s="12">
        <v>24800</v>
      </c>
      <c r="M892" s="10">
        <v>8</v>
      </c>
      <c r="N892" s="13">
        <v>0</v>
      </c>
      <c r="O892" s="14">
        <v>6013.27</v>
      </c>
      <c r="P892" s="10" t="s">
        <v>63</v>
      </c>
    </row>
    <row r="893" spans="1:16">
      <c r="A893" s="10" t="s">
        <v>1495</v>
      </c>
      <c r="B893" s="11">
        <v>45569</v>
      </c>
      <c r="C893" s="11">
        <v>45574</v>
      </c>
      <c r="D893" s="10" t="s">
        <v>1289</v>
      </c>
      <c r="E893" s="10" t="s">
        <v>72</v>
      </c>
      <c r="F893" s="10" t="s">
        <v>19</v>
      </c>
      <c r="G893" s="10" t="s">
        <v>20</v>
      </c>
      <c r="H893" s="10" t="s">
        <v>21</v>
      </c>
      <c r="I893" s="10" t="s">
        <v>22</v>
      </c>
      <c r="J893" s="10" t="s">
        <v>38</v>
      </c>
      <c r="K893" s="10" t="s">
        <v>39</v>
      </c>
      <c r="L893" s="12">
        <v>5130</v>
      </c>
      <c r="M893" s="10">
        <v>6</v>
      </c>
      <c r="N893" s="13">
        <v>0.1</v>
      </c>
      <c r="O893" s="14">
        <v>1631.47</v>
      </c>
      <c r="P893" s="10" t="s">
        <v>25</v>
      </c>
    </row>
    <row r="894" spans="1:16">
      <c r="A894" s="10" t="s">
        <v>1496</v>
      </c>
      <c r="B894" s="11">
        <v>45780</v>
      </c>
      <c r="C894" s="11">
        <v>45785</v>
      </c>
      <c r="D894" s="10" t="s">
        <v>532</v>
      </c>
      <c r="E894" s="10" t="s">
        <v>130</v>
      </c>
      <c r="F894" s="10" t="s">
        <v>43</v>
      </c>
      <c r="G894" s="10" t="s">
        <v>97</v>
      </c>
      <c r="H894" s="10" t="s">
        <v>21</v>
      </c>
      <c r="I894" s="10" t="s">
        <v>22</v>
      </c>
      <c r="J894" s="10" t="s">
        <v>23</v>
      </c>
      <c r="K894" s="10" t="s">
        <v>120</v>
      </c>
      <c r="L894" s="12">
        <v>10080</v>
      </c>
      <c r="M894" s="10">
        <v>3</v>
      </c>
      <c r="N894" s="13">
        <v>0.2</v>
      </c>
      <c r="O894" s="14">
        <v>3196.81</v>
      </c>
      <c r="P894" s="10" t="s">
        <v>48</v>
      </c>
    </row>
    <row r="895" spans="1:16">
      <c r="A895" s="10" t="s">
        <v>1497</v>
      </c>
      <c r="B895" s="11">
        <v>46232</v>
      </c>
      <c r="C895" s="11">
        <v>46238</v>
      </c>
      <c r="D895" s="10" t="s">
        <v>146</v>
      </c>
      <c r="E895" s="10" t="s">
        <v>251</v>
      </c>
      <c r="F895" s="10" t="s">
        <v>43</v>
      </c>
      <c r="G895" s="10" t="s">
        <v>167</v>
      </c>
      <c r="H895" s="10" t="s">
        <v>168</v>
      </c>
      <c r="I895" s="10" t="s">
        <v>37</v>
      </c>
      <c r="J895" s="10" t="s">
        <v>23</v>
      </c>
      <c r="K895" s="10" t="s">
        <v>24</v>
      </c>
      <c r="L895" s="12">
        <v>36400</v>
      </c>
      <c r="M895" s="10">
        <v>7</v>
      </c>
      <c r="N895" s="13">
        <v>0.2</v>
      </c>
      <c r="O895" s="14">
        <v>8407.51</v>
      </c>
      <c r="P895" s="10" t="s">
        <v>63</v>
      </c>
    </row>
    <row r="896" spans="1:16">
      <c r="A896" s="10" t="s">
        <v>1498</v>
      </c>
      <c r="B896" s="11">
        <v>45585</v>
      </c>
      <c r="C896" s="11">
        <v>45588</v>
      </c>
      <c r="D896" s="10" t="s">
        <v>616</v>
      </c>
      <c r="E896" s="10" t="s">
        <v>1114</v>
      </c>
      <c r="F896" s="10" t="s">
        <v>29</v>
      </c>
      <c r="G896" s="10" t="s">
        <v>81</v>
      </c>
      <c r="H896" s="10" t="s">
        <v>68</v>
      </c>
      <c r="I896" s="10" t="s">
        <v>22</v>
      </c>
      <c r="J896" s="10" t="s">
        <v>30</v>
      </c>
      <c r="K896" s="10" t="s">
        <v>173</v>
      </c>
      <c r="L896" s="12">
        <v>608</v>
      </c>
      <c r="M896" s="10">
        <v>2</v>
      </c>
      <c r="N896" s="13">
        <v>0.05</v>
      </c>
      <c r="O896" s="14">
        <v>162.22</v>
      </c>
      <c r="P896" s="10" t="s">
        <v>48</v>
      </c>
    </row>
    <row r="897" spans="1:16">
      <c r="A897" s="10" t="s">
        <v>1499</v>
      </c>
      <c r="B897" s="11">
        <v>46039</v>
      </c>
      <c r="C897" s="11">
        <v>46041</v>
      </c>
      <c r="D897" s="10" t="s">
        <v>1283</v>
      </c>
      <c r="E897" s="10" t="s">
        <v>700</v>
      </c>
      <c r="F897" s="10" t="s">
        <v>29</v>
      </c>
      <c r="G897" s="10" t="s">
        <v>20</v>
      </c>
      <c r="H897" s="10" t="s">
        <v>21</v>
      </c>
      <c r="I897" s="10" t="s">
        <v>22</v>
      </c>
      <c r="J897" s="10" t="s">
        <v>30</v>
      </c>
      <c r="K897" s="10" t="s">
        <v>93</v>
      </c>
      <c r="L897" s="12">
        <v>90</v>
      </c>
      <c r="M897" s="10">
        <v>1</v>
      </c>
      <c r="N897" s="13">
        <v>0</v>
      </c>
      <c r="O897" s="14">
        <v>16.8</v>
      </c>
      <c r="P897" s="10" t="s">
        <v>25</v>
      </c>
    </row>
    <row r="898" spans="1:16">
      <c r="A898" s="10" t="s">
        <v>1500</v>
      </c>
      <c r="B898" s="11">
        <v>45985</v>
      </c>
      <c r="C898" s="11">
        <v>45990</v>
      </c>
      <c r="D898" s="10" t="s">
        <v>17</v>
      </c>
      <c r="E898" s="10" t="s">
        <v>147</v>
      </c>
      <c r="F898" s="10" t="s">
        <v>29</v>
      </c>
      <c r="G898" s="10" t="s">
        <v>101</v>
      </c>
      <c r="H898" s="10" t="s">
        <v>102</v>
      </c>
      <c r="I898" s="10" t="s">
        <v>103</v>
      </c>
      <c r="J898" s="10" t="s">
        <v>30</v>
      </c>
      <c r="K898" s="10" t="s">
        <v>127</v>
      </c>
      <c r="L898" s="12">
        <v>1020</v>
      </c>
      <c r="M898" s="10">
        <v>8</v>
      </c>
      <c r="N898" s="13">
        <v>0.15</v>
      </c>
      <c r="O898" s="14">
        <v>182.96</v>
      </c>
      <c r="P898" s="10" t="s">
        <v>25</v>
      </c>
    </row>
    <row r="899" spans="1:16">
      <c r="A899" s="10" t="s">
        <v>1501</v>
      </c>
      <c r="B899" s="11">
        <v>45306</v>
      </c>
      <c r="C899" s="11">
        <v>45311</v>
      </c>
      <c r="D899" s="10" t="s">
        <v>50</v>
      </c>
      <c r="E899" s="10" t="s">
        <v>903</v>
      </c>
      <c r="F899" s="10" t="s">
        <v>19</v>
      </c>
      <c r="G899" s="10" t="s">
        <v>111</v>
      </c>
      <c r="H899" s="10" t="s">
        <v>21</v>
      </c>
      <c r="I899" s="10" t="s">
        <v>22</v>
      </c>
      <c r="J899" s="10" t="s">
        <v>38</v>
      </c>
      <c r="K899" s="10" t="s">
        <v>55</v>
      </c>
      <c r="L899" s="12">
        <v>3300</v>
      </c>
      <c r="M899" s="10">
        <v>6</v>
      </c>
      <c r="N899" s="13">
        <v>0</v>
      </c>
      <c r="O899" s="14">
        <v>400.96</v>
      </c>
      <c r="P899" s="10" t="s">
        <v>48</v>
      </c>
    </row>
    <row r="900" spans="1:16">
      <c r="A900" s="10" t="s">
        <v>1502</v>
      </c>
      <c r="B900" s="11">
        <v>45913</v>
      </c>
      <c r="C900" s="11">
        <v>45917</v>
      </c>
      <c r="D900" s="10" t="s">
        <v>569</v>
      </c>
      <c r="E900" s="10" t="s">
        <v>784</v>
      </c>
      <c r="F900" s="10" t="s">
        <v>43</v>
      </c>
      <c r="G900" s="10" t="s">
        <v>97</v>
      </c>
      <c r="H900" s="10" t="s">
        <v>21</v>
      </c>
      <c r="I900" s="10" t="s">
        <v>22</v>
      </c>
      <c r="J900" s="10" t="s">
        <v>30</v>
      </c>
      <c r="K900" s="10" t="s">
        <v>31</v>
      </c>
      <c r="L900" s="12">
        <v>228</v>
      </c>
      <c r="M900" s="10">
        <v>2</v>
      </c>
      <c r="N900" s="13">
        <v>0.05</v>
      </c>
      <c r="O900" s="14">
        <v>35.17</v>
      </c>
      <c r="P900" s="10" t="s">
        <v>25</v>
      </c>
    </row>
    <row r="901" spans="1:16">
      <c r="A901" s="10" t="s">
        <v>1503</v>
      </c>
      <c r="B901" s="11">
        <v>45680</v>
      </c>
      <c r="C901" s="11">
        <v>45682</v>
      </c>
      <c r="D901" s="10" t="s">
        <v>360</v>
      </c>
      <c r="E901" s="10" t="s">
        <v>650</v>
      </c>
      <c r="F901" s="10" t="s">
        <v>43</v>
      </c>
      <c r="G901" s="10" t="s">
        <v>67</v>
      </c>
      <c r="H901" s="10" t="s">
        <v>68</v>
      </c>
      <c r="I901" s="10" t="s">
        <v>22</v>
      </c>
      <c r="J901" s="10" t="s">
        <v>38</v>
      </c>
      <c r="K901" s="10" t="s">
        <v>169</v>
      </c>
      <c r="L901" s="12">
        <v>4930</v>
      </c>
      <c r="M901" s="10">
        <v>4</v>
      </c>
      <c r="N901" s="13">
        <v>0.15</v>
      </c>
      <c r="O901" s="14">
        <v>671.95</v>
      </c>
      <c r="P901" s="10" t="s">
        <v>25</v>
      </c>
    </row>
    <row r="902" spans="1:16">
      <c r="A902" s="10" t="s">
        <v>1504</v>
      </c>
      <c r="B902" s="11">
        <v>45592</v>
      </c>
      <c r="C902" s="11">
        <v>45595</v>
      </c>
      <c r="D902" s="10" t="s">
        <v>95</v>
      </c>
      <c r="E902" s="10" t="s">
        <v>1160</v>
      </c>
      <c r="F902" s="10" t="s">
        <v>29</v>
      </c>
      <c r="G902" s="10" t="s">
        <v>111</v>
      </c>
      <c r="H902" s="10" t="s">
        <v>21</v>
      </c>
      <c r="I902" s="10" t="s">
        <v>22</v>
      </c>
      <c r="J902" s="10" t="s">
        <v>38</v>
      </c>
      <c r="K902" s="10" t="s">
        <v>62</v>
      </c>
      <c r="L902" s="12">
        <v>59500</v>
      </c>
      <c r="M902" s="10">
        <v>7</v>
      </c>
      <c r="N902" s="13">
        <v>0</v>
      </c>
      <c r="O902" s="14">
        <v>8330.32</v>
      </c>
      <c r="P902" s="10" t="s">
        <v>25</v>
      </c>
    </row>
    <row r="903" spans="1:16">
      <c r="A903" s="10" t="s">
        <v>1505</v>
      </c>
      <c r="B903" s="11">
        <v>46205</v>
      </c>
      <c r="C903" s="11">
        <v>46210</v>
      </c>
      <c r="D903" s="10" t="s">
        <v>874</v>
      </c>
      <c r="E903" s="10" t="s">
        <v>548</v>
      </c>
      <c r="F903" s="10" t="s">
        <v>29</v>
      </c>
      <c r="G903" s="10" t="s">
        <v>44</v>
      </c>
      <c r="H903" s="10" t="s">
        <v>45</v>
      </c>
      <c r="I903" s="10" t="s">
        <v>46</v>
      </c>
      <c r="J903" s="10" t="s">
        <v>76</v>
      </c>
      <c r="K903" s="10" t="s">
        <v>206</v>
      </c>
      <c r="L903" s="12">
        <v>6600</v>
      </c>
      <c r="M903" s="10">
        <v>6</v>
      </c>
      <c r="N903" s="13">
        <v>0</v>
      </c>
      <c r="O903" s="14">
        <v>1451.75</v>
      </c>
      <c r="P903" s="10" t="s">
        <v>48</v>
      </c>
    </row>
    <row r="904" spans="1:16">
      <c r="A904" s="10" t="s">
        <v>1506</v>
      </c>
      <c r="B904" s="11">
        <v>45650</v>
      </c>
      <c r="C904" s="11">
        <v>45656</v>
      </c>
      <c r="D904" s="10" t="s">
        <v>406</v>
      </c>
      <c r="E904" s="10" t="s">
        <v>144</v>
      </c>
      <c r="F904" s="10" t="s">
        <v>19</v>
      </c>
      <c r="G904" s="10" t="s">
        <v>97</v>
      </c>
      <c r="H904" s="10" t="s">
        <v>21</v>
      </c>
      <c r="I904" s="10" t="s">
        <v>22</v>
      </c>
      <c r="J904" s="10" t="s">
        <v>76</v>
      </c>
      <c r="K904" s="10" t="s">
        <v>229</v>
      </c>
      <c r="L904" s="12">
        <v>1900</v>
      </c>
      <c r="M904" s="10">
        <v>1</v>
      </c>
      <c r="N904" s="13">
        <v>0</v>
      </c>
      <c r="O904" s="14">
        <v>509.18</v>
      </c>
      <c r="P904" s="10" t="s">
        <v>56</v>
      </c>
    </row>
    <row r="905" spans="1:16">
      <c r="A905" s="10" t="s">
        <v>1507</v>
      </c>
      <c r="B905" s="11">
        <v>45712</v>
      </c>
      <c r="C905" s="11">
        <v>45713</v>
      </c>
      <c r="D905" s="10" t="s">
        <v>574</v>
      </c>
      <c r="E905" s="10" t="s">
        <v>515</v>
      </c>
      <c r="F905" s="10" t="s">
        <v>43</v>
      </c>
      <c r="G905" s="10" t="s">
        <v>101</v>
      </c>
      <c r="H905" s="10" t="s">
        <v>102</v>
      </c>
      <c r="I905" s="10" t="s">
        <v>103</v>
      </c>
      <c r="J905" s="10" t="s">
        <v>76</v>
      </c>
      <c r="K905" s="10" t="s">
        <v>206</v>
      </c>
      <c r="L905" s="12">
        <v>2640</v>
      </c>
      <c r="M905" s="10">
        <v>3</v>
      </c>
      <c r="N905" s="13">
        <v>0.2</v>
      </c>
      <c r="O905" s="14">
        <v>752.31</v>
      </c>
      <c r="P905" s="10" t="s">
        <v>69</v>
      </c>
    </row>
    <row r="906" spans="1:16">
      <c r="A906" s="10" t="s">
        <v>1508</v>
      </c>
      <c r="B906" s="11">
        <v>45730</v>
      </c>
      <c r="C906" s="11">
        <v>45732</v>
      </c>
      <c r="D906" s="10" t="s">
        <v>58</v>
      </c>
      <c r="E906" s="10" t="s">
        <v>503</v>
      </c>
      <c r="F906" s="10" t="s">
        <v>19</v>
      </c>
      <c r="G906" s="10" t="s">
        <v>151</v>
      </c>
      <c r="H906" s="10" t="s">
        <v>151</v>
      </c>
      <c r="I906" s="10" t="s">
        <v>75</v>
      </c>
      <c r="J906" s="10" t="s">
        <v>23</v>
      </c>
      <c r="K906" s="10" t="s">
        <v>120</v>
      </c>
      <c r="L906" s="12">
        <v>26880</v>
      </c>
      <c r="M906" s="10">
        <v>8</v>
      </c>
      <c r="N906" s="13">
        <v>0.2</v>
      </c>
      <c r="O906" s="14">
        <v>3541.9</v>
      </c>
      <c r="P906" s="10" t="s">
        <v>25</v>
      </c>
    </row>
    <row r="907" spans="1:16">
      <c r="A907" s="10" t="s">
        <v>1509</v>
      </c>
      <c r="B907" s="11">
        <v>45297</v>
      </c>
      <c r="C907" s="11">
        <v>45300</v>
      </c>
      <c r="D907" s="10" t="s">
        <v>702</v>
      </c>
      <c r="E907" s="10" t="s">
        <v>1179</v>
      </c>
      <c r="F907" s="10" t="s">
        <v>43</v>
      </c>
      <c r="G907" s="10" t="s">
        <v>101</v>
      </c>
      <c r="H907" s="10" t="s">
        <v>102</v>
      </c>
      <c r="I907" s="10" t="s">
        <v>103</v>
      </c>
      <c r="J907" s="10" t="s">
        <v>30</v>
      </c>
      <c r="K907" s="10" t="s">
        <v>261</v>
      </c>
      <c r="L907" s="12">
        <v>684</v>
      </c>
      <c r="M907" s="10">
        <v>4</v>
      </c>
      <c r="N907" s="13">
        <v>0.05</v>
      </c>
      <c r="O907" s="14">
        <v>247.63</v>
      </c>
      <c r="P907" s="10" t="s">
        <v>48</v>
      </c>
    </row>
    <row r="908" spans="1:16">
      <c r="A908" s="10" t="s">
        <v>1510</v>
      </c>
      <c r="B908" s="11">
        <v>45456</v>
      </c>
      <c r="C908" s="11">
        <v>45462</v>
      </c>
      <c r="D908" s="10" t="s">
        <v>629</v>
      </c>
      <c r="E908" s="10" t="s">
        <v>503</v>
      </c>
      <c r="F908" s="10" t="s">
        <v>43</v>
      </c>
      <c r="G908" s="10" t="s">
        <v>111</v>
      </c>
      <c r="H908" s="10" t="s">
        <v>21</v>
      </c>
      <c r="I908" s="10" t="s">
        <v>22</v>
      </c>
      <c r="J908" s="10" t="s">
        <v>76</v>
      </c>
      <c r="K908" s="10" t="s">
        <v>229</v>
      </c>
      <c r="L908" s="12">
        <v>3420</v>
      </c>
      <c r="M908" s="10">
        <v>2</v>
      </c>
      <c r="N908" s="13">
        <v>0.1</v>
      </c>
      <c r="O908" s="14">
        <v>813.42</v>
      </c>
      <c r="P908" s="10" t="s">
        <v>63</v>
      </c>
    </row>
    <row r="909" spans="1:16">
      <c r="A909" s="10" t="s">
        <v>1511</v>
      </c>
      <c r="B909" s="11">
        <v>46035</v>
      </c>
      <c r="C909" s="11">
        <v>46041</v>
      </c>
      <c r="D909" s="10" t="s">
        <v>580</v>
      </c>
      <c r="E909" s="10" t="s">
        <v>503</v>
      </c>
      <c r="F909" s="10" t="s">
        <v>19</v>
      </c>
      <c r="G909" s="10" t="s">
        <v>44</v>
      </c>
      <c r="H909" s="10" t="s">
        <v>45</v>
      </c>
      <c r="I909" s="10" t="s">
        <v>46</v>
      </c>
      <c r="J909" s="10" t="s">
        <v>76</v>
      </c>
      <c r="K909" s="10" t="s">
        <v>131</v>
      </c>
      <c r="L909" s="12">
        <v>700</v>
      </c>
      <c r="M909" s="10">
        <v>2</v>
      </c>
      <c r="N909" s="13">
        <v>0</v>
      </c>
      <c r="O909" s="14">
        <v>121.73</v>
      </c>
      <c r="P909" s="10" t="s">
        <v>48</v>
      </c>
    </row>
    <row r="910" spans="1:16">
      <c r="A910" s="10" t="s">
        <v>1512</v>
      </c>
      <c r="B910" s="11">
        <v>46077</v>
      </c>
      <c r="C910" s="11">
        <v>46083</v>
      </c>
      <c r="D910" s="10" t="s">
        <v>322</v>
      </c>
      <c r="E910" s="10" t="s">
        <v>1106</v>
      </c>
      <c r="F910" s="10" t="s">
        <v>43</v>
      </c>
      <c r="G910" s="10" t="s">
        <v>111</v>
      </c>
      <c r="H910" s="10" t="s">
        <v>21</v>
      </c>
      <c r="I910" s="10" t="s">
        <v>22</v>
      </c>
      <c r="J910" s="10" t="s">
        <v>38</v>
      </c>
      <c r="K910" s="10" t="s">
        <v>169</v>
      </c>
      <c r="L910" s="12">
        <v>8627.5</v>
      </c>
      <c r="M910" s="10">
        <v>7</v>
      </c>
      <c r="N910" s="13">
        <v>0.15</v>
      </c>
      <c r="O910" s="14">
        <v>1430.16</v>
      </c>
      <c r="P910" s="10" t="s">
        <v>25</v>
      </c>
    </row>
    <row r="911" spans="1:16">
      <c r="A911" s="10" t="s">
        <v>1513</v>
      </c>
      <c r="B911" s="11">
        <v>45376</v>
      </c>
      <c r="C911" s="11">
        <v>45383</v>
      </c>
      <c r="D911" s="10" t="s">
        <v>736</v>
      </c>
      <c r="E911" s="10" t="s">
        <v>472</v>
      </c>
      <c r="F911" s="10" t="s">
        <v>29</v>
      </c>
      <c r="G911" s="10" t="s">
        <v>81</v>
      </c>
      <c r="H911" s="10" t="s">
        <v>68</v>
      </c>
      <c r="I911" s="10" t="s">
        <v>22</v>
      </c>
      <c r="J911" s="10" t="s">
        <v>30</v>
      </c>
      <c r="K911" s="10" t="s">
        <v>93</v>
      </c>
      <c r="L911" s="12">
        <v>216</v>
      </c>
      <c r="M911" s="10">
        <v>3</v>
      </c>
      <c r="N911" s="13">
        <v>0.2</v>
      </c>
      <c r="O911" s="14">
        <v>46.89</v>
      </c>
      <c r="P911" s="10" t="s">
        <v>69</v>
      </c>
    </row>
    <row r="912" spans="1:16">
      <c r="A912" s="10" t="s">
        <v>1514</v>
      </c>
      <c r="B912" s="11">
        <v>46009</v>
      </c>
      <c r="C912" s="11">
        <v>46011</v>
      </c>
      <c r="D912" s="10" t="s">
        <v>377</v>
      </c>
      <c r="E912" s="10" t="s">
        <v>92</v>
      </c>
      <c r="F912" s="10" t="s">
        <v>29</v>
      </c>
      <c r="G912" s="10" t="s">
        <v>167</v>
      </c>
      <c r="H912" s="10" t="s">
        <v>168</v>
      </c>
      <c r="I912" s="10" t="s">
        <v>37</v>
      </c>
      <c r="J912" s="10" t="s">
        <v>76</v>
      </c>
      <c r="K912" s="10" t="s">
        <v>131</v>
      </c>
      <c r="L912" s="12">
        <v>2240</v>
      </c>
      <c r="M912" s="10">
        <v>8</v>
      </c>
      <c r="N912" s="13">
        <v>0.2</v>
      </c>
      <c r="O912" s="14">
        <v>328.15</v>
      </c>
      <c r="P912" s="10" t="s">
        <v>56</v>
      </c>
    </row>
    <row r="913" spans="1:16">
      <c r="A913" s="10" t="s">
        <v>1515</v>
      </c>
      <c r="B913" s="11">
        <v>46167</v>
      </c>
      <c r="C913" s="11">
        <v>46172</v>
      </c>
      <c r="D913" s="10" t="s">
        <v>1057</v>
      </c>
      <c r="E913" s="10" t="s">
        <v>66</v>
      </c>
      <c r="F913" s="10" t="s">
        <v>29</v>
      </c>
      <c r="G913" s="10" t="s">
        <v>167</v>
      </c>
      <c r="H913" s="10" t="s">
        <v>168</v>
      </c>
      <c r="I913" s="10" t="s">
        <v>37</v>
      </c>
      <c r="J913" s="10" t="s">
        <v>30</v>
      </c>
      <c r="K913" s="10" t="s">
        <v>31</v>
      </c>
      <c r="L913" s="12">
        <v>240</v>
      </c>
      <c r="M913" s="10">
        <v>2</v>
      </c>
      <c r="N913" s="13">
        <v>0</v>
      </c>
      <c r="O913" s="14">
        <v>66.16</v>
      </c>
      <c r="P913" s="10" t="s">
        <v>25</v>
      </c>
    </row>
    <row r="914" spans="1:16">
      <c r="A914" s="10" t="s">
        <v>1516</v>
      </c>
      <c r="B914" s="11">
        <v>45310</v>
      </c>
      <c r="C914" s="11">
        <v>45315</v>
      </c>
      <c r="D914" s="10" t="s">
        <v>381</v>
      </c>
      <c r="E914" s="10" t="s">
        <v>176</v>
      </c>
      <c r="F914" s="10" t="s">
        <v>43</v>
      </c>
      <c r="G914" s="10" t="s">
        <v>111</v>
      </c>
      <c r="H914" s="10" t="s">
        <v>21</v>
      </c>
      <c r="I914" s="10" t="s">
        <v>22</v>
      </c>
      <c r="J914" s="10" t="s">
        <v>38</v>
      </c>
      <c r="K914" s="10" t="s">
        <v>104</v>
      </c>
      <c r="L914" s="12">
        <v>4095</v>
      </c>
      <c r="M914" s="10">
        <v>7</v>
      </c>
      <c r="N914" s="13">
        <v>0.1</v>
      </c>
      <c r="O914" s="14">
        <v>935.74</v>
      </c>
      <c r="P914" s="10" t="s">
        <v>25</v>
      </c>
    </row>
    <row r="915" spans="1:16">
      <c r="A915" s="10" t="s">
        <v>1517</v>
      </c>
      <c r="B915" s="11">
        <v>45782</v>
      </c>
      <c r="C915" s="11">
        <v>45783</v>
      </c>
      <c r="D915" s="10" t="s">
        <v>535</v>
      </c>
      <c r="E915" s="10" t="s">
        <v>790</v>
      </c>
      <c r="F915" s="10" t="s">
        <v>43</v>
      </c>
      <c r="G915" s="10" t="s">
        <v>151</v>
      </c>
      <c r="H915" s="10" t="s">
        <v>151</v>
      </c>
      <c r="I915" s="10" t="s">
        <v>75</v>
      </c>
      <c r="J915" s="10" t="s">
        <v>76</v>
      </c>
      <c r="K915" s="10" t="s">
        <v>206</v>
      </c>
      <c r="L915" s="12">
        <v>5500</v>
      </c>
      <c r="M915" s="10">
        <v>5</v>
      </c>
      <c r="N915" s="13">
        <v>0</v>
      </c>
      <c r="O915" s="14">
        <v>1704.98</v>
      </c>
      <c r="P915" s="10" t="s">
        <v>56</v>
      </c>
    </row>
    <row r="916" spans="1:16">
      <c r="A916" s="10" t="s">
        <v>1518</v>
      </c>
      <c r="B916" s="11">
        <v>45619</v>
      </c>
      <c r="C916" s="11">
        <v>45620</v>
      </c>
      <c r="D916" s="10" t="s">
        <v>250</v>
      </c>
      <c r="E916" s="10" t="s">
        <v>512</v>
      </c>
      <c r="F916" s="10" t="s">
        <v>43</v>
      </c>
      <c r="G916" s="10" t="s">
        <v>97</v>
      </c>
      <c r="H916" s="10" t="s">
        <v>21</v>
      </c>
      <c r="I916" s="10" t="s">
        <v>22</v>
      </c>
      <c r="J916" s="10" t="s">
        <v>38</v>
      </c>
      <c r="K916" s="10" t="s">
        <v>104</v>
      </c>
      <c r="L916" s="12">
        <v>520</v>
      </c>
      <c r="M916" s="10">
        <v>1</v>
      </c>
      <c r="N916" s="13">
        <v>0.2</v>
      </c>
      <c r="O916" s="14">
        <v>81.31</v>
      </c>
      <c r="P916" s="10" t="s">
        <v>63</v>
      </c>
    </row>
    <row r="917" spans="1:16">
      <c r="A917" s="10" t="s">
        <v>1519</v>
      </c>
      <c r="B917" s="11">
        <v>45395</v>
      </c>
      <c r="C917" s="11">
        <v>45399</v>
      </c>
      <c r="D917" s="10" t="s">
        <v>1481</v>
      </c>
      <c r="E917" s="10" t="s">
        <v>815</v>
      </c>
      <c r="F917" s="10" t="s">
        <v>19</v>
      </c>
      <c r="G917" s="10" t="s">
        <v>97</v>
      </c>
      <c r="H917" s="10" t="s">
        <v>21</v>
      </c>
      <c r="I917" s="10" t="s">
        <v>22</v>
      </c>
      <c r="J917" s="10" t="s">
        <v>23</v>
      </c>
      <c r="K917" s="10" t="s">
        <v>293</v>
      </c>
      <c r="L917" s="12">
        <v>4275</v>
      </c>
      <c r="M917" s="10">
        <v>6</v>
      </c>
      <c r="N917" s="13">
        <v>0.05</v>
      </c>
      <c r="O917" s="14">
        <v>1254.1500000000001</v>
      </c>
      <c r="P917" s="10" t="s">
        <v>56</v>
      </c>
    </row>
    <row r="918" spans="1:16">
      <c r="A918" s="10" t="s">
        <v>1520</v>
      </c>
      <c r="B918" s="11">
        <v>45631</v>
      </c>
      <c r="C918" s="11">
        <v>45634</v>
      </c>
      <c r="D918" s="10" t="s">
        <v>824</v>
      </c>
      <c r="E918" s="10" t="s">
        <v>273</v>
      </c>
      <c r="F918" s="10" t="s">
        <v>29</v>
      </c>
      <c r="G918" s="10" t="s">
        <v>60</v>
      </c>
      <c r="H918" s="10" t="s">
        <v>61</v>
      </c>
      <c r="I918" s="10" t="s">
        <v>37</v>
      </c>
      <c r="J918" s="10" t="s">
        <v>23</v>
      </c>
      <c r="K918" s="10" t="s">
        <v>47</v>
      </c>
      <c r="L918" s="12">
        <v>18600</v>
      </c>
      <c r="M918" s="10">
        <v>6</v>
      </c>
      <c r="N918" s="13">
        <v>0</v>
      </c>
      <c r="O918" s="14">
        <v>3923.4</v>
      </c>
      <c r="P918" s="10" t="s">
        <v>48</v>
      </c>
    </row>
    <row r="919" spans="1:16">
      <c r="A919" s="10" t="s">
        <v>1521</v>
      </c>
      <c r="B919" s="11">
        <v>45425</v>
      </c>
      <c r="C919" s="11">
        <v>45431</v>
      </c>
      <c r="D919" s="10" t="s">
        <v>165</v>
      </c>
      <c r="E919" s="10" t="s">
        <v>691</v>
      </c>
      <c r="F919" s="10" t="s">
        <v>19</v>
      </c>
      <c r="G919" s="10" t="s">
        <v>60</v>
      </c>
      <c r="H919" s="10" t="s">
        <v>61</v>
      </c>
      <c r="I919" s="10" t="s">
        <v>37</v>
      </c>
      <c r="J919" s="10" t="s">
        <v>38</v>
      </c>
      <c r="K919" s="10" t="s">
        <v>104</v>
      </c>
      <c r="L919" s="12">
        <v>2600</v>
      </c>
      <c r="M919" s="10">
        <v>4</v>
      </c>
      <c r="N919" s="13">
        <v>0</v>
      </c>
      <c r="O919" s="14">
        <v>511.65</v>
      </c>
      <c r="P919" s="10" t="s">
        <v>63</v>
      </c>
    </row>
    <row r="920" spans="1:16">
      <c r="A920" s="10" t="s">
        <v>1522</v>
      </c>
      <c r="B920" s="11">
        <v>45643</v>
      </c>
      <c r="C920" s="11">
        <v>45646</v>
      </c>
      <c r="D920" s="10" t="s">
        <v>507</v>
      </c>
      <c r="E920" s="10" t="s">
        <v>147</v>
      </c>
      <c r="F920" s="10" t="s">
        <v>43</v>
      </c>
      <c r="G920" s="10" t="s">
        <v>60</v>
      </c>
      <c r="H920" s="10" t="s">
        <v>61</v>
      </c>
      <c r="I920" s="10" t="s">
        <v>37</v>
      </c>
      <c r="J920" s="10" t="s">
        <v>76</v>
      </c>
      <c r="K920" s="10" t="s">
        <v>131</v>
      </c>
      <c r="L920" s="12">
        <v>1050</v>
      </c>
      <c r="M920" s="10">
        <v>3</v>
      </c>
      <c r="N920" s="13">
        <v>0</v>
      </c>
      <c r="O920" s="14">
        <v>364.1</v>
      </c>
      <c r="P920" s="10" t="s">
        <v>63</v>
      </c>
    </row>
    <row r="921" spans="1:16">
      <c r="A921" s="10" t="s">
        <v>1523</v>
      </c>
      <c r="B921" s="11">
        <v>46290</v>
      </c>
      <c r="C921" s="11">
        <v>46293</v>
      </c>
      <c r="D921" s="10" t="s">
        <v>507</v>
      </c>
      <c r="E921" s="10" t="s">
        <v>705</v>
      </c>
      <c r="F921" s="10" t="s">
        <v>19</v>
      </c>
      <c r="G921" s="10" t="s">
        <v>101</v>
      </c>
      <c r="H921" s="10" t="s">
        <v>102</v>
      </c>
      <c r="I921" s="10" t="s">
        <v>103</v>
      </c>
      <c r="J921" s="10" t="s">
        <v>23</v>
      </c>
      <c r="K921" s="10" t="s">
        <v>293</v>
      </c>
      <c r="L921" s="12">
        <v>1350</v>
      </c>
      <c r="M921" s="10">
        <v>2</v>
      </c>
      <c r="N921" s="13">
        <v>0.1</v>
      </c>
      <c r="O921" s="14">
        <v>468.98</v>
      </c>
      <c r="P921" s="10" t="s">
        <v>48</v>
      </c>
    </row>
    <row r="922" spans="1:16">
      <c r="A922" s="10" t="s">
        <v>1524</v>
      </c>
      <c r="B922" s="11">
        <v>45462</v>
      </c>
      <c r="C922" s="11">
        <v>45467</v>
      </c>
      <c r="D922" s="10" t="s">
        <v>316</v>
      </c>
      <c r="E922" s="10" t="s">
        <v>106</v>
      </c>
      <c r="F922" s="10" t="s">
        <v>43</v>
      </c>
      <c r="G922" s="10" t="s">
        <v>179</v>
      </c>
      <c r="H922" s="10" t="s">
        <v>21</v>
      </c>
      <c r="I922" s="10" t="s">
        <v>22</v>
      </c>
      <c r="J922" s="10" t="s">
        <v>30</v>
      </c>
      <c r="K922" s="10" t="s">
        <v>173</v>
      </c>
      <c r="L922" s="12">
        <v>272</v>
      </c>
      <c r="M922" s="10">
        <v>1</v>
      </c>
      <c r="N922" s="13">
        <v>0.15</v>
      </c>
      <c r="O922" s="14">
        <v>92.94</v>
      </c>
      <c r="P922" s="10" t="s">
        <v>25</v>
      </c>
    </row>
    <row r="923" spans="1:16">
      <c r="A923" s="10" t="s">
        <v>1525</v>
      </c>
      <c r="B923" s="11">
        <v>45993</v>
      </c>
      <c r="C923" s="11">
        <v>45998</v>
      </c>
      <c r="D923" s="10" t="s">
        <v>439</v>
      </c>
      <c r="E923" s="10" t="s">
        <v>578</v>
      </c>
      <c r="F923" s="10" t="s">
        <v>19</v>
      </c>
      <c r="G923" s="10" t="s">
        <v>44</v>
      </c>
      <c r="H923" s="10" t="s">
        <v>45</v>
      </c>
      <c r="I923" s="10" t="s">
        <v>46</v>
      </c>
      <c r="J923" s="10" t="s">
        <v>38</v>
      </c>
      <c r="K923" s="10" t="s">
        <v>39</v>
      </c>
      <c r="L923" s="12">
        <v>6460</v>
      </c>
      <c r="M923" s="10">
        <v>8</v>
      </c>
      <c r="N923" s="13">
        <v>0.15</v>
      </c>
      <c r="O923" s="14">
        <v>1664.23</v>
      </c>
      <c r="P923" s="10" t="s">
        <v>69</v>
      </c>
    </row>
    <row r="924" spans="1:16">
      <c r="A924" s="10" t="s">
        <v>1526</v>
      </c>
      <c r="B924" s="11">
        <v>45503</v>
      </c>
      <c r="C924" s="11">
        <v>45505</v>
      </c>
      <c r="D924" s="10" t="s">
        <v>781</v>
      </c>
      <c r="E924" s="10" t="s">
        <v>520</v>
      </c>
      <c r="F924" s="10" t="s">
        <v>19</v>
      </c>
      <c r="G924" s="10" t="s">
        <v>135</v>
      </c>
      <c r="H924" s="10" t="s">
        <v>21</v>
      </c>
      <c r="I924" s="10" t="s">
        <v>22</v>
      </c>
      <c r="J924" s="10" t="s">
        <v>30</v>
      </c>
      <c r="K924" s="10" t="s">
        <v>93</v>
      </c>
      <c r="L924" s="12">
        <v>306</v>
      </c>
      <c r="M924" s="10">
        <v>4</v>
      </c>
      <c r="N924" s="13">
        <v>0.15</v>
      </c>
      <c r="O924" s="14">
        <v>53.96</v>
      </c>
      <c r="P924" s="10" t="s">
        <v>63</v>
      </c>
    </row>
    <row r="925" spans="1:16">
      <c r="A925" s="10" t="s">
        <v>1527</v>
      </c>
      <c r="B925" s="11">
        <v>45557</v>
      </c>
      <c r="C925" s="11">
        <v>45560</v>
      </c>
      <c r="D925" s="10" t="s">
        <v>279</v>
      </c>
      <c r="E925" s="10" t="s">
        <v>1320</v>
      </c>
      <c r="F925" s="10" t="s">
        <v>29</v>
      </c>
      <c r="G925" s="10" t="s">
        <v>44</v>
      </c>
      <c r="H925" s="10" t="s">
        <v>45</v>
      </c>
      <c r="I925" s="10" t="s">
        <v>46</v>
      </c>
      <c r="J925" s="10" t="s">
        <v>30</v>
      </c>
      <c r="K925" s="10" t="s">
        <v>173</v>
      </c>
      <c r="L925" s="12">
        <v>1360</v>
      </c>
      <c r="M925" s="10">
        <v>5</v>
      </c>
      <c r="N925" s="13">
        <v>0.15</v>
      </c>
      <c r="O925" s="14">
        <v>444.09</v>
      </c>
      <c r="P925" s="10" t="s">
        <v>69</v>
      </c>
    </row>
    <row r="926" spans="1:16">
      <c r="A926" s="10" t="s">
        <v>1528</v>
      </c>
      <c r="B926" s="11">
        <v>45332</v>
      </c>
      <c r="C926" s="11">
        <v>45338</v>
      </c>
      <c r="D926" s="10" t="s">
        <v>736</v>
      </c>
      <c r="E926" s="10" t="s">
        <v>1529</v>
      </c>
      <c r="F926" s="10" t="s">
        <v>29</v>
      </c>
      <c r="G926" s="10" t="s">
        <v>97</v>
      </c>
      <c r="H926" s="10" t="s">
        <v>21</v>
      </c>
      <c r="I926" s="10" t="s">
        <v>22</v>
      </c>
      <c r="J926" s="10" t="s">
        <v>23</v>
      </c>
      <c r="K926" s="10" t="s">
        <v>24</v>
      </c>
      <c r="L926" s="12">
        <v>32500</v>
      </c>
      <c r="M926" s="10">
        <v>5</v>
      </c>
      <c r="N926" s="13">
        <v>0</v>
      </c>
      <c r="O926" s="14">
        <v>6921.61</v>
      </c>
      <c r="P926" s="10" t="s">
        <v>48</v>
      </c>
    </row>
    <row r="927" spans="1:16">
      <c r="A927" s="10" t="s">
        <v>1530</v>
      </c>
      <c r="B927" s="11">
        <v>45956</v>
      </c>
      <c r="C927" s="11">
        <v>45959</v>
      </c>
      <c r="D927" s="10" t="s">
        <v>862</v>
      </c>
      <c r="E927" s="10" t="s">
        <v>119</v>
      </c>
      <c r="F927" s="10" t="s">
        <v>19</v>
      </c>
      <c r="G927" s="10" t="s">
        <v>167</v>
      </c>
      <c r="H927" s="10" t="s">
        <v>168</v>
      </c>
      <c r="I927" s="10" t="s">
        <v>37</v>
      </c>
      <c r="J927" s="10" t="s">
        <v>23</v>
      </c>
      <c r="K927" s="10" t="s">
        <v>89</v>
      </c>
      <c r="L927" s="12">
        <v>4480</v>
      </c>
      <c r="M927" s="10">
        <v>2</v>
      </c>
      <c r="N927" s="13">
        <v>0.2</v>
      </c>
      <c r="O927" s="14">
        <v>538.33000000000004</v>
      </c>
      <c r="P927" s="10" t="s">
        <v>69</v>
      </c>
    </row>
    <row r="928" spans="1:16">
      <c r="A928" s="10" t="s">
        <v>1531</v>
      </c>
      <c r="B928" s="11">
        <v>45624</v>
      </c>
      <c r="C928" s="11">
        <v>45625</v>
      </c>
      <c r="D928" s="10" t="s">
        <v>263</v>
      </c>
      <c r="E928" s="10" t="s">
        <v>285</v>
      </c>
      <c r="F928" s="10" t="s">
        <v>19</v>
      </c>
      <c r="G928" s="10" t="s">
        <v>167</v>
      </c>
      <c r="H928" s="10" t="s">
        <v>168</v>
      </c>
      <c r="I928" s="10" t="s">
        <v>37</v>
      </c>
      <c r="J928" s="10" t="s">
        <v>38</v>
      </c>
      <c r="K928" s="10" t="s">
        <v>169</v>
      </c>
      <c r="L928" s="12">
        <v>4640</v>
      </c>
      <c r="M928" s="10">
        <v>4</v>
      </c>
      <c r="N928" s="13">
        <v>0.2</v>
      </c>
      <c r="O928" s="14">
        <v>459.55</v>
      </c>
      <c r="P928" s="10" t="s">
        <v>63</v>
      </c>
    </row>
    <row r="929" spans="1:16">
      <c r="A929" s="10" t="s">
        <v>1532</v>
      </c>
      <c r="B929" s="11">
        <v>45400</v>
      </c>
      <c r="C929" s="11">
        <v>45406</v>
      </c>
      <c r="D929" s="10" t="s">
        <v>749</v>
      </c>
      <c r="E929" s="10" t="s">
        <v>572</v>
      </c>
      <c r="F929" s="10" t="s">
        <v>19</v>
      </c>
      <c r="G929" s="10" t="s">
        <v>60</v>
      </c>
      <c r="H929" s="10" t="s">
        <v>61</v>
      </c>
      <c r="I929" s="10" t="s">
        <v>37</v>
      </c>
      <c r="J929" s="10" t="s">
        <v>76</v>
      </c>
      <c r="K929" s="10" t="s">
        <v>229</v>
      </c>
      <c r="L929" s="12">
        <v>6840</v>
      </c>
      <c r="M929" s="10">
        <v>4</v>
      </c>
      <c r="N929" s="13">
        <v>0.1</v>
      </c>
      <c r="O929" s="14">
        <v>2104.2199999999998</v>
      </c>
      <c r="P929" s="10" t="s">
        <v>25</v>
      </c>
    </row>
    <row r="930" spans="1:16">
      <c r="A930" s="10" t="s">
        <v>1533</v>
      </c>
      <c r="B930" s="11">
        <v>45451</v>
      </c>
      <c r="C930" s="11">
        <v>45455</v>
      </c>
      <c r="D930" s="10" t="s">
        <v>428</v>
      </c>
      <c r="E930" s="10" t="s">
        <v>223</v>
      </c>
      <c r="F930" s="10" t="s">
        <v>29</v>
      </c>
      <c r="G930" s="10" t="s">
        <v>111</v>
      </c>
      <c r="H930" s="10" t="s">
        <v>21</v>
      </c>
      <c r="I930" s="10" t="s">
        <v>22</v>
      </c>
      <c r="J930" s="10" t="s">
        <v>76</v>
      </c>
      <c r="K930" s="10" t="s">
        <v>229</v>
      </c>
      <c r="L930" s="12">
        <v>5130</v>
      </c>
      <c r="M930" s="10">
        <v>3</v>
      </c>
      <c r="N930" s="13">
        <v>0.1</v>
      </c>
      <c r="O930" s="14">
        <v>1747.48</v>
      </c>
      <c r="P930" s="10" t="s">
        <v>56</v>
      </c>
    </row>
    <row r="931" spans="1:16">
      <c r="A931" s="10" t="s">
        <v>1534</v>
      </c>
      <c r="B931" s="11">
        <v>45875</v>
      </c>
      <c r="C931" s="11">
        <v>45879</v>
      </c>
      <c r="D931" s="10" t="s">
        <v>263</v>
      </c>
      <c r="E931" s="10" t="s">
        <v>191</v>
      </c>
      <c r="F931" s="10" t="s">
        <v>19</v>
      </c>
      <c r="G931" s="10" t="s">
        <v>60</v>
      </c>
      <c r="H931" s="10" t="s">
        <v>61</v>
      </c>
      <c r="I931" s="10" t="s">
        <v>37</v>
      </c>
      <c r="J931" s="10" t="s">
        <v>30</v>
      </c>
      <c r="K931" s="10" t="s">
        <v>173</v>
      </c>
      <c r="L931" s="12">
        <v>304</v>
      </c>
      <c r="M931" s="10">
        <v>1</v>
      </c>
      <c r="N931" s="13">
        <v>0.05</v>
      </c>
      <c r="O931" s="14">
        <v>100.36</v>
      </c>
      <c r="P931" s="10" t="s">
        <v>56</v>
      </c>
    </row>
    <row r="932" spans="1:16">
      <c r="A932" s="10" t="s">
        <v>1535</v>
      </c>
      <c r="B932" s="11">
        <v>45363</v>
      </c>
      <c r="C932" s="11">
        <v>45365</v>
      </c>
      <c r="D932" s="10" t="s">
        <v>143</v>
      </c>
      <c r="E932" s="10" t="s">
        <v>1536</v>
      </c>
      <c r="F932" s="10" t="s">
        <v>19</v>
      </c>
      <c r="G932" s="10" t="s">
        <v>20</v>
      </c>
      <c r="H932" s="10" t="s">
        <v>21</v>
      </c>
      <c r="I932" s="10" t="s">
        <v>22</v>
      </c>
      <c r="J932" s="10" t="s">
        <v>76</v>
      </c>
      <c r="K932" s="10" t="s">
        <v>131</v>
      </c>
      <c r="L932" s="12">
        <v>2240</v>
      </c>
      <c r="M932" s="10">
        <v>8</v>
      </c>
      <c r="N932" s="13">
        <v>0.2</v>
      </c>
      <c r="O932" s="14">
        <v>218.85</v>
      </c>
      <c r="P932" s="10" t="s">
        <v>48</v>
      </c>
    </row>
    <row r="933" spans="1:16">
      <c r="A933" s="10" t="s">
        <v>1537</v>
      </c>
      <c r="B933" s="11">
        <v>45909</v>
      </c>
      <c r="C933" s="11">
        <v>45910</v>
      </c>
      <c r="D933" s="10" t="s">
        <v>425</v>
      </c>
      <c r="E933" s="10" t="s">
        <v>929</v>
      </c>
      <c r="F933" s="10" t="s">
        <v>29</v>
      </c>
      <c r="G933" s="10" t="s">
        <v>81</v>
      </c>
      <c r="H933" s="10" t="s">
        <v>68</v>
      </c>
      <c r="I933" s="10" t="s">
        <v>22</v>
      </c>
      <c r="J933" s="10" t="s">
        <v>76</v>
      </c>
      <c r="K933" s="10" t="s">
        <v>206</v>
      </c>
      <c r="L933" s="12">
        <v>2200</v>
      </c>
      <c r="M933" s="10">
        <v>2</v>
      </c>
      <c r="N933" s="13">
        <v>0</v>
      </c>
      <c r="O933" s="14">
        <v>399.31</v>
      </c>
      <c r="P933" s="10" t="s">
        <v>48</v>
      </c>
    </row>
    <row r="934" spans="1:16">
      <c r="A934" s="10" t="s">
        <v>1538</v>
      </c>
      <c r="B934" s="11">
        <v>45566</v>
      </c>
      <c r="C934" s="11">
        <v>45568</v>
      </c>
      <c r="D934" s="10" t="s">
        <v>343</v>
      </c>
      <c r="E934" s="10" t="s">
        <v>1162</v>
      </c>
      <c r="F934" s="10" t="s">
        <v>29</v>
      </c>
      <c r="G934" s="10" t="s">
        <v>167</v>
      </c>
      <c r="H934" s="10" t="s">
        <v>168</v>
      </c>
      <c r="I934" s="10" t="s">
        <v>37</v>
      </c>
      <c r="J934" s="10" t="s">
        <v>38</v>
      </c>
      <c r="K934" s="10" t="s">
        <v>104</v>
      </c>
      <c r="L934" s="12">
        <v>1105</v>
      </c>
      <c r="M934" s="10">
        <v>2</v>
      </c>
      <c r="N934" s="13">
        <v>0.15</v>
      </c>
      <c r="O934" s="14">
        <v>183.55</v>
      </c>
      <c r="P934" s="10" t="s">
        <v>25</v>
      </c>
    </row>
    <row r="935" spans="1:16">
      <c r="A935" s="10" t="s">
        <v>1539</v>
      </c>
      <c r="B935" s="11">
        <v>46069</v>
      </c>
      <c r="C935" s="11">
        <v>46074</v>
      </c>
      <c r="D935" s="10" t="s">
        <v>612</v>
      </c>
      <c r="E935" s="10" t="s">
        <v>1320</v>
      </c>
      <c r="F935" s="10" t="s">
        <v>19</v>
      </c>
      <c r="G935" s="10" t="s">
        <v>101</v>
      </c>
      <c r="H935" s="10" t="s">
        <v>102</v>
      </c>
      <c r="I935" s="10" t="s">
        <v>103</v>
      </c>
      <c r="J935" s="10" t="s">
        <v>76</v>
      </c>
      <c r="K935" s="10" t="s">
        <v>131</v>
      </c>
      <c r="L935" s="12">
        <v>1662.5</v>
      </c>
      <c r="M935" s="10">
        <v>5</v>
      </c>
      <c r="N935" s="13">
        <v>0.05</v>
      </c>
      <c r="O935" s="14">
        <v>412.27</v>
      </c>
      <c r="P935" s="10" t="s">
        <v>69</v>
      </c>
    </row>
    <row r="936" spans="1:16">
      <c r="A936" s="10" t="s">
        <v>1540</v>
      </c>
      <c r="B936" s="11">
        <v>45934</v>
      </c>
      <c r="C936" s="11">
        <v>45939</v>
      </c>
      <c r="D936" s="10" t="s">
        <v>647</v>
      </c>
      <c r="E936" s="10" t="s">
        <v>1541</v>
      </c>
      <c r="F936" s="10" t="s">
        <v>29</v>
      </c>
      <c r="G936" s="10" t="s">
        <v>20</v>
      </c>
      <c r="H936" s="10" t="s">
        <v>21</v>
      </c>
      <c r="I936" s="10" t="s">
        <v>22</v>
      </c>
      <c r="J936" s="10" t="s">
        <v>38</v>
      </c>
      <c r="K936" s="10" t="s">
        <v>104</v>
      </c>
      <c r="L936" s="12">
        <v>1105</v>
      </c>
      <c r="M936" s="10">
        <v>2</v>
      </c>
      <c r="N936" s="13">
        <v>0.15</v>
      </c>
      <c r="O936" s="14">
        <v>309.77999999999997</v>
      </c>
      <c r="P936" s="10" t="s">
        <v>56</v>
      </c>
    </row>
    <row r="937" spans="1:16">
      <c r="A937" s="10" t="s">
        <v>1542</v>
      </c>
      <c r="B937" s="11">
        <v>45316</v>
      </c>
      <c r="C937" s="11">
        <v>45318</v>
      </c>
      <c r="D937" s="10" t="s">
        <v>529</v>
      </c>
      <c r="E937" s="10" t="s">
        <v>191</v>
      </c>
      <c r="F937" s="10" t="s">
        <v>19</v>
      </c>
      <c r="G937" s="10" t="s">
        <v>81</v>
      </c>
      <c r="H937" s="10" t="s">
        <v>68</v>
      </c>
      <c r="I937" s="10" t="s">
        <v>22</v>
      </c>
      <c r="J937" s="10" t="s">
        <v>76</v>
      </c>
      <c r="K937" s="10" t="s">
        <v>131</v>
      </c>
      <c r="L937" s="12">
        <v>1680</v>
      </c>
      <c r="M937" s="10">
        <v>6</v>
      </c>
      <c r="N937" s="13">
        <v>0.2</v>
      </c>
      <c r="O937" s="14">
        <v>462.71</v>
      </c>
      <c r="P937" s="10" t="s">
        <v>48</v>
      </c>
    </row>
    <row r="938" spans="1:16">
      <c r="A938" s="10" t="s">
        <v>1543</v>
      </c>
      <c r="B938" s="11">
        <v>45795</v>
      </c>
      <c r="C938" s="11">
        <v>45797</v>
      </c>
      <c r="D938" s="10" t="s">
        <v>309</v>
      </c>
      <c r="E938" s="10" t="s">
        <v>1080</v>
      </c>
      <c r="F938" s="10" t="s">
        <v>29</v>
      </c>
      <c r="G938" s="10" t="s">
        <v>20</v>
      </c>
      <c r="H938" s="10" t="s">
        <v>21</v>
      </c>
      <c r="I938" s="10" t="s">
        <v>22</v>
      </c>
      <c r="J938" s="10" t="s">
        <v>30</v>
      </c>
      <c r="K938" s="10" t="s">
        <v>261</v>
      </c>
      <c r="L938" s="12">
        <v>855</v>
      </c>
      <c r="M938" s="10">
        <v>5</v>
      </c>
      <c r="N938" s="13">
        <v>0.05</v>
      </c>
      <c r="O938" s="14">
        <v>301.52999999999997</v>
      </c>
      <c r="P938" s="10" t="s">
        <v>48</v>
      </c>
    </row>
    <row r="939" spans="1:16">
      <c r="A939" s="10" t="s">
        <v>1544</v>
      </c>
      <c r="B939" s="11">
        <v>45911</v>
      </c>
      <c r="C939" s="11">
        <v>45913</v>
      </c>
      <c r="D939" s="10" t="s">
        <v>948</v>
      </c>
      <c r="E939" s="10" t="s">
        <v>280</v>
      </c>
      <c r="F939" s="10" t="s">
        <v>19</v>
      </c>
      <c r="G939" s="10" t="s">
        <v>97</v>
      </c>
      <c r="H939" s="10" t="s">
        <v>21</v>
      </c>
      <c r="I939" s="10" t="s">
        <v>22</v>
      </c>
      <c r="J939" s="10" t="s">
        <v>76</v>
      </c>
      <c r="K939" s="10" t="s">
        <v>85</v>
      </c>
      <c r="L939" s="12">
        <v>1122</v>
      </c>
      <c r="M939" s="10">
        <v>6</v>
      </c>
      <c r="N939" s="13">
        <v>0.15</v>
      </c>
      <c r="O939" s="14">
        <v>348.21</v>
      </c>
      <c r="P939" s="10" t="s">
        <v>69</v>
      </c>
    </row>
    <row r="940" spans="1:16">
      <c r="A940" s="10" t="s">
        <v>1545</v>
      </c>
      <c r="B940" s="11">
        <v>45931</v>
      </c>
      <c r="C940" s="11">
        <v>45938</v>
      </c>
      <c r="D940" s="10" t="s">
        <v>162</v>
      </c>
      <c r="E940" s="10" t="s">
        <v>472</v>
      </c>
      <c r="F940" s="10" t="s">
        <v>19</v>
      </c>
      <c r="G940" s="10" t="s">
        <v>179</v>
      </c>
      <c r="H940" s="10" t="s">
        <v>21</v>
      </c>
      <c r="I940" s="10" t="s">
        <v>22</v>
      </c>
      <c r="J940" s="10" t="s">
        <v>23</v>
      </c>
      <c r="K940" s="10" t="s">
        <v>120</v>
      </c>
      <c r="L940" s="12">
        <v>18900</v>
      </c>
      <c r="M940" s="10">
        <v>5</v>
      </c>
      <c r="N940" s="13">
        <v>0.1</v>
      </c>
      <c r="O940" s="14">
        <v>3646.75</v>
      </c>
      <c r="P940" s="10" t="s">
        <v>48</v>
      </c>
    </row>
    <row r="941" spans="1:16">
      <c r="A941" s="10" t="s">
        <v>1546</v>
      </c>
      <c r="B941" s="11">
        <v>46099</v>
      </c>
      <c r="C941" s="11">
        <v>46100</v>
      </c>
      <c r="D941" s="10" t="s">
        <v>187</v>
      </c>
      <c r="E941" s="10" t="s">
        <v>530</v>
      </c>
      <c r="F941" s="10" t="s">
        <v>29</v>
      </c>
      <c r="G941" s="10" t="s">
        <v>44</v>
      </c>
      <c r="H941" s="10" t="s">
        <v>45</v>
      </c>
      <c r="I941" s="10" t="s">
        <v>46</v>
      </c>
      <c r="J941" s="10" t="s">
        <v>30</v>
      </c>
      <c r="K941" s="10" t="s">
        <v>31</v>
      </c>
      <c r="L941" s="12">
        <v>720</v>
      </c>
      <c r="M941" s="10">
        <v>6</v>
      </c>
      <c r="N941" s="13">
        <v>0</v>
      </c>
      <c r="O941" s="14">
        <v>200.48</v>
      </c>
      <c r="P941" s="10" t="s">
        <v>48</v>
      </c>
    </row>
    <row r="942" spans="1:16">
      <c r="A942" s="10" t="s">
        <v>1547</v>
      </c>
      <c r="B942" s="11">
        <v>45883</v>
      </c>
      <c r="C942" s="11">
        <v>45887</v>
      </c>
      <c r="D942" s="10" t="s">
        <v>428</v>
      </c>
      <c r="E942" s="10" t="s">
        <v>515</v>
      </c>
      <c r="F942" s="10" t="s">
        <v>43</v>
      </c>
      <c r="G942" s="10" t="s">
        <v>60</v>
      </c>
      <c r="H942" s="10" t="s">
        <v>61</v>
      </c>
      <c r="I942" s="10" t="s">
        <v>37</v>
      </c>
      <c r="J942" s="10" t="s">
        <v>23</v>
      </c>
      <c r="K942" s="10" t="s">
        <v>24</v>
      </c>
      <c r="L942" s="12">
        <v>12350</v>
      </c>
      <c r="M942" s="10">
        <v>2</v>
      </c>
      <c r="N942" s="13">
        <v>0.05</v>
      </c>
      <c r="O942" s="14">
        <v>1406.16</v>
      </c>
      <c r="P942" s="10" t="s">
        <v>25</v>
      </c>
    </row>
    <row r="943" spans="1:16">
      <c r="A943" s="10" t="s">
        <v>1548</v>
      </c>
      <c r="B943" s="11">
        <v>45726</v>
      </c>
      <c r="C943" s="11">
        <v>45730</v>
      </c>
      <c r="D943" s="10" t="s">
        <v>201</v>
      </c>
      <c r="E943" s="10" t="s">
        <v>687</v>
      </c>
      <c r="F943" s="10" t="s">
        <v>43</v>
      </c>
      <c r="G943" s="10" t="s">
        <v>60</v>
      </c>
      <c r="H943" s="10" t="s">
        <v>61</v>
      </c>
      <c r="I943" s="10" t="s">
        <v>37</v>
      </c>
      <c r="J943" s="10" t="s">
        <v>76</v>
      </c>
      <c r="K943" s="10" t="s">
        <v>85</v>
      </c>
      <c r="L943" s="12">
        <v>1320</v>
      </c>
      <c r="M943" s="10">
        <v>6</v>
      </c>
      <c r="N943" s="13">
        <v>0</v>
      </c>
      <c r="O943" s="14">
        <v>226.31</v>
      </c>
      <c r="P943" s="10" t="s">
        <v>63</v>
      </c>
    </row>
    <row r="944" spans="1:16">
      <c r="A944" s="10" t="s">
        <v>1549</v>
      </c>
      <c r="B944" s="11">
        <v>45801</v>
      </c>
      <c r="C944" s="11">
        <v>45806</v>
      </c>
      <c r="D944" s="10" t="s">
        <v>546</v>
      </c>
      <c r="E944" s="10" t="s">
        <v>643</v>
      </c>
      <c r="F944" s="10" t="s">
        <v>19</v>
      </c>
      <c r="G944" s="10" t="s">
        <v>151</v>
      </c>
      <c r="H944" s="10" t="s">
        <v>151</v>
      </c>
      <c r="I944" s="10" t="s">
        <v>75</v>
      </c>
      <c r="J944" s="10" t="s">
        <v>76</v>
      </c>
      <c r="K944" s="10" t="s">
        <v>85</v>
      </c>
      <c r="L944" s="12">
        <v>792</v>
      </c>
      <c r="M944" s="10">
        <v>4</v>
      </c>
      <c r="N944" s="13">
        <v>0.1</v>
      </c>
      <c r="O944" s="14">
        <v>271.86</v>
      </c>
      <c r="P944" s="10" t="s">
        <v>56</v>
      </c>
    </row>
    <row r="945" spans="1:16">
      <c r="A945" s="10" t="s">
        <v>1550</v>
      </c>
      <c r="B945" s="11">
        <v>46011</v>
      </c>
      <c r="C945" s="11">
        <v>46012</v>
      </c>
      <c r="D945" s="10" t="s">
        <v>519</v>
      </c>
      <c r="E945" s="10" t="s">
        <v>280</v>
      </c>
      <c r="F945" s="10" t="s">
        <v>29</v>
      </c>
      <c r="G945" s="10" t="s">
        <v>111</v>
      </c>
      <c r="H945" s="10" t="s">
        <v>21</v>
      </c>
      <c r="I945" s="10" t="s">
        <v>22</v>
      </c>
      <c r="J945" s="10" t="s">
        <v>23</v>
      </c>
      <c r="K945" s="10" t="s">
        <v>120</v>
      </c>
      <c r="L945" s="12">
        <v>16800</v>
      </c>
      <c r="M945" s="10">
        <v>4</v>
      </c>
      <c r="N945" s="13">
        <v>0</v>
      </c>
      <c r="O945" s="14">
        <v>4801.04</v>
      </c>
      <c r="P945" s="10" t="s">
        <v>48</v>
      </c>
    </row>
    <row r="946" spans="1:16">
      <c r="A946" s="10" t="s">
        <v>1551</v>
      </c>
      <c r="B946" s="11">
        <v>46225</v>
      </c>
      <c r="C946" s="11">
        <v>46228</v>
      </c>
      <c r="D946" s="10" t="s">
        <v>1283</v>
      </c>
      <c r="E946" s="10" t="s">
        <v>1348</v>
      </c>
      <c r="F946" s="10" t="s">
        <v>29</v>
      </c>
      <c r="G946" s="10" t="s">
        <v>67</v>
      </c>
      <c r="H946" s="10" t="s">
        <v>68</v>
      </c>
      <c r="I946" s="10" t="s">
        <v>22</v>
      </c>
      <c r="J946" s="10" t="s">
        <v>30</v>
      </c>
      <c r="K946" s="10" t="s">
        <v>173</v>
      </c>
      <c r="L946" s="12">
        <v>2560</v>
      </c>
      <c r="M946" s="10">
        <v>8</v>
      </c>
      <c r="N946" s="13">
        <v>0</v>
      </c>
      <c r="O946" s="14">
        <v>416.86</v>
      </c>
      <c r="P946" s="10" t="s">
        <v>56</v>
      </c>
    </row>
    <row r="947" spans="1:16">
      <c r="A947" s="10" t="s">
        <v>1552</v>
      </c>
      <c r="B947" s="11">
        <v>45349</v>
      </c>
      <c r="C947" s="11">
        <v>45355</v>
      </c>
      <c r="D947" s="10" t="s">
        <v>245</v>
      </c>
      <c r="E947" s="10" t="s">
        <v>1223</v>
      </c>
      <c r="F947" s="10" t="s">
        <v>29</v>
      </c>
      <c r="G947" s="10" t="s">
        <v>97</v>
      </c>
      <c r="H947" s="10" t="s">
        <v>21</v>
      </c>
      <c r="I947" s="10" t="s">
        <v>22</v>
      </c>
      <c r="J947" s="10" t="s">
        <v>38</v>
      </c>
      <c r="K947" s="10" t="s">
        <v>39</v>
      </c>
      <c r="L947" s="12">
        <v>5320</v>
      </c>
      <c r="M947" s="10">
        <v>7</v>
      </c>
      <c r="N947" s="13">
        <v>0.2</v>
      </c>
      <c r="O947" s="14">
        <v>1825.56</v>
      </c>
      <c r="P947" s="10" t="s">
        <v>48</v>
      </c>
    </row>
    <row r="948" spans="1:16">
      <c r="A948" s="10" t="s">
        <v>1553</v>
      </c>
      <c r="B948" s="11">
        <v>45970</v>
      </c>
      <c r="C948" s="11">
        <v>45975</v>
      </c>
      <c r="D948" s="10" t="s">
        <v>588</v>
      </c>
      <c r="E948" s="10" t="s">
        <v>1162</v>
      </c>
      <c r="F948" s="10" t="s">
        <v>29</v>
      </c>
      <c r="G948" s="10" t="s">
        <v>20</v>
      </c>
      <c r="H948" s="10" t="s">
        <v>21</v>
      </c>
      <c r="I948" s="10" t="s">
        <v>22</v>
      </c>
      <c r="J948" s="10" t="s">
        <v>76</v>
      </c>
      <c r="K948" s="10" t="s">
        <v>85</v>
      </c>
      <c r="L948" s="12">
        <v>660</v>
      </c>
      <c r="M948" s="10">
        <v>3</v>
      </c>
      <c r="N948" s="13">
        <v>0</v>
      </c>
      <c r="O948" s="14">
        <v>225.59</v>
      </c>
      <c r="P948" s="10" t="s">
        <v>48</v>
      </c>
    </row>
    <row r="949" spans="1:16">
      <c r="A949" s="10" t="s">
        <v>1554</v>
      </c>
      <c r="B949" s="11">
        <v>45874</v>
      </c>
      <c r="C949" s="11">
        <v>45881</v>
      </c>
      <c r="D949" s="10" t="s">
        <v>1555</v>
      </c>
      <c r="E949" s="10" t="s">
        <v>1189</v>
      </c>
      <c r="F949" s="10" t="s">
        <v>43</v>
      </c>
      <c r="G949" s="10" t="s">
        <v>44</v>
      </c>
      <c r="H949" s="10" t="s">
        <v>45</v>
      </c>
      <c r="I949" s="10" t="s">
        <v>46</v>
      </c>
      <c r="J949" s="10" t="s">
        <v>76</v>
      </c>
      <c r="K949" s="10" t="s">
        <v>131</v>
      </c>
      <c r="L949" s="12">
        <v>945</v>
      </c>
      <c r="M949" s="10">
        <v>3</v>
      </c>
      <c r="N949" s="13">
        <v>0.1</v>
      </c>
      <c r="O949" s="14">
        <v>162.22999999999999</v>
      </c>
      <c r="P949" s="10" t="s">
        <v>25</v>
      </c>
    </row>
    <row r="950" spans="1:16">
      <c r="A950" s="10" t="s">
        <v>1556</v>
      </c>
      <c r="B950" s="11">
        <v>45713</v>
      </c>
      <c r="C950" s="11">
        <v>45719</v>
      </c>
      <c r="D950" s="10" t="s">
        <v>781</v>
      </c>
      <c r="E950" s="10" t="s">
        <v>1414</v>
      </c>
      <c r="F950" s="10" t="s">
        <v>29</v>
      </c>
      <c r="G950" s="10" t="s">
        <v>67</v>
      </c>
      <c r="H950" s="10" t="s">
        <v>68</v>
      </c>
      <c r="I950" s="10" t="s">
        <v>22</v>
      </c>
      <c r="J950" s="10" t="s">
        <v>76</v>
      </c>
      <c r="K950" s="10" t="s">
        <v>206</v>
      </c>
      <c r="L950" s="12">
        <v>5500</v>
      </c>
      <c r="M950" s="10">
        <v>5</v>
      </c>
      <c r="N950" s="13">
        <v>0</v>
      </c>
      <c r="O950" s="14">
        <v>1867.08</v>
      </c>
      <c r="P950" s="10" t="s">
        <v>63</v>
      </c>
    </row>
    <row r="951" spans="1:16">
      <c r="A951" s="10" t="s">
        <v>1557</v>
      </c>
      <c r="B951" s="11">
        <v>45456</v>
      </c>
      <c r="C951" s="11">
        <v>45457</v>
      </c>
      <c r="D951" s="10" t="s">
        <v>639</v>
      </c>
      <c r="E951" s="10" t="s">
        <v>687</v>
      </c>
      <c r="F951" s="10" t="s">
        <v>29</v>
      </c>
      <c r="G951" s="10" t="s">
        <v>81</v>
      </c>
      <c r="H951" s="10" t="s">
        <v>68</v>
      </c>
      <c r="I951" s="10" t="s">
        <v>22</v>
      </c>
      <c r="J951" s="10" t="s">
        <v>76</v>
      </c>
      <c r="K951" s="10" t="s">
        <v>77</v>
      </c>
      <c r="L951" s="12">
        <v>6800</v>
      </c>
      <c r="M951" s="10">
        <v>5</v>
      </c>
      <c r="N951" s="13">
        <v>0.15</v>
      </c>
      <c r="O951" s="14">
        <v>1543.69</v>
      </c>
      <c r="P951" s="10" t="s">
        <v>69</v>
      </c>
    </row>
    <row r="952" spans="1:16">
      <c r="A952" s="10" t="s">
        <v>1558</v>
      </c>
      <c r="B952" s="11">
        <v>46288</v>
      </c>
      <c r="C952" s="11">
        <v>46289</v>
      </c>
      <c r="D952" s="10" t="s">
        <v>255</v>
      </c>
      <c r="E952" s="10" t="s">
        <v>1559</v>
      </c>
      <c r="F952" s="10" t="s">
        <v>19</v>
      </c>
      <c r="G952" s="10" t="s">
        <v>151</v>
      </c>
      <c r="H952" s="10" t="s">
        <v>151</v>
      </c>
      <c r="I952" s="10" t="s">
        <v>75</v>
      </c>
      <c r="J952" s="10" t="s">
        <v>76</v>
      </c>
      <c r="K952" s="10" t="s">
        <v>131</v>
      </c>
      <c r="L952" s="12">
        <v>1260</v>
      </c>
      <c r="M952" s="10">
        <v>4</v>
      </c>
      <c r="N952" s="13">
        <v>0.1</v>
      </c>
      <c r="O952" s="14">
        <v>257.10000000000002</v>
      </c>
      <c r="P952" s="10" t="s">
        <v>63</v>
      </c>
    </row>
    <row r="953" spans="1:16">
      <c r="A953" s="10" t="s">
        <v>1560</v>
      </c>
      <c r="B953" s="11">
        <v>45911</v>
      </c>
      <c r="C953" s="11">
        <v>45918</v>
      </c>
      <c r="D953" s="10" t="s">
        <v>370</v>
      </c>
      <c r="E953" s="10" t="s">
        <v>1559</v>
      </c>
      <c r="F953" s="10" t="s">
        <v>29</v>
      </c>
      <c r="G953" s="10" t="s">
        <v>20</v>
      </c>
      <c r="H953" s="10" t="s">
        <v>21</v>
      </c>
      <c r="I953" s="10" t="s">
        <v>22</v>
      </c>
      <c r="J953" s="10" t="s">
        <v>76</v>
      </c>
      <c r="K953" s="10" t="s">
        <v>77</v>
      </c>
      <c r="L953" s="12">
        <v>7680</v>
      </c>
      <c r="M953" s="10">
        <v>6</v>
      </c>
      <c r="N953" s="13">
        <v>0.2</v>
      </c>
      <c r="O953" s="14">
        <v>1406.27</v>
      </c>
      <c r="P953" s="10" t="s">
        <v>69</v>
      </c>
    </row>
    <row r="954" spans="1:16">
      <c r="A954" s="10" t="s">
        <v>1561</v>
      </c>
      <c r="B954" s="11">
        <v>45954</v>
      </c>
      <c r="C954" s="11">
        <v>45958</v>
      </c>
      <c r="D954" s="10" t="s">
        <v>439</v>
      </c>
      <c r="E954" s="10" t="s">
        <v>108</v>
      </c>
      <c r="F954" s="10" t="s">
        <v>29</v>
      </c>
      <c r="G954" s="10" t="s">
        <v>111</v>
      </c>
      <c r="H954" s="10" t="s">
        <v>21</v>
      </c>
      <c r="I954" s="10" t="s">
        <v>22</v>
      </c>
      <c r="J954" s="10" t="s">
        <v>23</v>
      </c>
      <c r="K954" s="10" t="s">
        <v>120</v>
      </c>
      <c r="L954" s="12">
        <v>8400</v>
      </c>
      <c r="M954" s="10">
        <v>2</v>
      </c>
      <c r="N954" s="13">
        <v>0</v>
      </c>
      <c r="O954" s="14">
        <v>2399.86</v>
      </c>
      <c r="P954" s="10" t="s">
        <v>69</v>
      </c>
    </row>
    <row r="955" spans="1:16">
      <c r="A955" s="10" t="s">
        <v>1562</v>
      </c>
      <c r="B955" s="11">
        <v>45458</v>
      </c>
      <c r="C955" s="11">
        <v>45463</v>
      </c>
      <c r="D955" s="10" t="s">
        <v>635</v>
      </c>
      <c r="E955" s="10" t="s">
        <v>707</v>
      </c>
      <c r="F955" s="10" t="s">
        <v>43</v>
      </c>
      <c r="G955" s="10" t="s">
        <v>20</v>
      </c>
      <c r="H955" s="10" t="s">
        <v>21</v>
      </c>
      <c r="I955" s="10" t="s">
        <v>22</v>
      </c>
      <c r="J955" s="10" t="s">
        <v>38</v>
      </c>
      <c r="K955" s="10" t="s">
        <v>39</v>
      </c>
      <c r="L955" s="12">
        <v>902.5</v>
      </c>
      <c r="M955" s="10">
        <v>1</v>
      </c>
      <c r="N955" s="13">
        <v>0.05</v>
      </c>
      <c r="O955" s="14">
        <v>292.13</v>
      </c>
      <c r="P955" s="10" t="s">
        <v>48</v>
      </c>
    </row>
    <row r="956" spans="1:16">
      <c r="A956" s="10" t="s">
        <v>1563</v>
      </c>
      <c r="B956" s="11">
        <v>46292</v>
      </c>
      <c r="C956" s="11">
        <v>46297</v>
      </c>
      <c r="D956" s="10" t="s">
        <v>1077</v>
      </c>
      <c r="E956" s="10" t="s">
        <v>264</v>
      </c>
      <c r="F956" s="10" t="s">
        <v>43</v>
      </c>
      <c r="G956" s="10" t="s">
        <v>224</v>
      </c>
      <c r="H956" s="10" t="s">
        <v>225</v>
      </c>
      <c r="I956" s="10" t="s">
        <v>75</v>
      </c>
      <c r="J956" s="10" t="s">
        <v>38</v>
      </c>
      <c r="K956" s="10" t="s">
        <v>62</v>
      </c>
      <c r="L956" s="12">
        <v>68000</v>
      </c>
      <c r="M956" s="10">
        <v>8</v>
      </c>
      <c r="N956" s="13">
        <v>0</v>
      </c>
      <c r="O956" s="14">
        <v>24990.5</v>
      </c>
      <c r="P956" s="10" t="s">
        <v>69</v>
      </c>
    </row>
    <row r="957" spans="1:16">
      <c r="A957" s="10" t="s">
        <v>1564</v>
      </c>
      <c r="B957" s="11">
        <v>46273</v>
      </c>
      <c r="C957" s="11">
        <v>46277</v>
      </c>
      <c r="D957" s="10" t="s">
        <v>1074</v>
      </c>
      <c r="E957" s="10" t="s">
        <v>1080</v>
      </c>
      <c r="F957" s="10" t="s">
        <v>43</v>
      </c>
      <c r="G957" s="10" t="s">
        <v>151</v>
      </c>
      <c r="H957" s="10" t="s">
        <v>151</v>
      </c>
      <c r="I957" s="10" t="s">
        <v>75</v>
      </c>
      <c r="J957" s="10" t="s">
        <v>30</v>
      </c>
      <c r="K957" s="10" t="s">
        <v>173</v>
      </c>
      <c r="L957" s="12">
        <v>1792</v>
      </c>
      <c r="M957" s="10">
        <v>7</v>
      </c>
      <c r="N957" s="13">
        <v>0.2</v>
      </c>
      <c r="O957" s="14">
        <v>461.41</v>
      </c>
      <c r="P957" s="10" t="s">
        <v>63</v>
      </c>
    </row>
    <row r="958" spans="1:16">
      <c r="A958" s="10" t="s">
        <v>1565</v>
      </c>
      <c r="B958" s="11">
        <v>45395</v>
      </c>
      <c r="C958" s="11">
        <v>45400</v>
      </c>
      <c r="D958" s="10" t="s">
        <v>414</v>
      </c>
      <c r="E958" s="10" t="s">
        <v>575</v>
      </c>
      <c r="F958" s="10" t="s">
        <v>29</v>
      </c>
      <c r="G958" s="10" t="s">
        <v>35</v>
      </c>
      <c r="H958" s="10" t="s">
        <v>36</v>
      </c>
      <c r="I958" s="10" t="s">
        <v>37</v>
      </c>
      <c r="J958" s="10" t="s">
        <v>30</v>
      </c>
      <c r="K958" s="10" t="s">
        <v>261</v>
      </c>
      <c r="L958" s="12">
        <v>1134</v>
      </c>
      <c r="M958" s="10">
        <v>7</v>
      </c>
      <c r="N958" s="13">
        <v>0.1</v>
      </c>
      <c r="O958" s="14">
        <v>241.03</v>
      </c>
      <c r="P958" s="10" t="s">
        <v>56</v>
      </c>
    </row>
    <row r="959" spans="1:16">
      <c r="A959" s="10" t="s">
        <v>1566</v>
      </c>
      <c r="B959" s="11">
        <v>45990</v>
      </c>
      <c r="C959" s="11">
        <v>45994</v>
      </c>
      <c r="D959" s="10" t="s">
        <v>392</v>
      </c>
      <c r="E959" s="10" t="s">
        <v>909</v>
      </c>
      <c r="F959" s="10" t="s">
        <v>19</v>
      </c>
      <c r="G959" s="10" t="s">
        <v>20</v>
      </c>
      <c r="H959" s="10" t="s">
        <v>21</v>
      </c>
      <c r="I959" s="10" t="s">
        <v>22</v>
      </c>
      <c r="J959" s="10" t="s">
        <v>38</v>
      </c>
      <c r="K959" s="10" t="s">
        <v>39</v>
      </c>
      <c r="L959" s="12">
        <v>3040</v>
      </c>
      <c r="M959" s="10">
        <v>4</v>
      </c>
      <c r="N959" s="13">
        <v>0.2</v>
      </c>
      <c r="O959" s="14">
        <v>546.9</v>
      </c>
      <c r="P959" s="10" t="s">
        <v>63</v>
      </c>
    </row>
    <row r="960" spans="1:16">
      <c r="A960" s="10" t="s">
        <v>1567</v>
      </c>
      <c r="B960" s="11">
        <v>45959</v>
      </c>
      <c r="C960" s="11">
        <v>45964</v>
      </c>
      <c r="D960" s="10" t="s">
        <v>295</v>
      </c>
      <c r="E960" s="10" t="s">
        <v>1416</v>
      </c>
      <c r="F960" s="10" t="s">
        <v>19</v>
      </c>
      <c r="G960" s="10" t="s">
        <v>101</v>
      </c>
      <c r="H960" s="10" t="s">
        <v>102</v>
      </c>
      <c r="I960" s="10" t="s">
        <v>103</v>
      </c>
      <c r="J960" s="10" t="s">
        <v>23</v>
      </c>
      <c r="K960" s="10" t="s">
        <v>293</v>
      </c>
      <c r="L960" s="12">
        <v>2137.5</v>
      </c>
      <c r="M960" s="10">
        <v>3</v>
      </c>
      <c r="N960" s="13">
        <v>0.05</v>
      </c>
      <c r="O960" s="14">
        <v>634.58000000000004</v>
      </c>
      <c r="P960" s="10" t="s">
        <v>25</v>
      </c>
    </row>
    <row r="961" spans="1:16">
      <c r="A961" s="10" t="s">
        <v>1568</v>
      </c>
      <c r="B961" s="11">
        <v>45536</v>
      </c>
      <c r="C961" s="11">
        <v>45538</v>
      </c>
      <c r="D961" s="10" t="s">
        <v>588</v>
      </c>
      <c r="E961" s="10" t="s">
        <v>188</v>
      </c>
      <c r="F961" s="10" t="s">
        <v>29</v>
      </c>
      <c r="G961" s="10" t="s">
        <v>224</v>
      </c>
      <c r="H961" s="10" t="s">
        <v>225</v>
      </c>
      <c r="I961" s="10" t="s">
        <v>75</v>
      </c>
      <c r="J961" s="10" t="s">
        <v>38</v>
      </c>
      <c r="K961" s="10" t="s">
        <v>39</v>
      </c>
      <c r="L961" s="12">
        <v>7600</v>
      </c>
      <c r="M961" s="10">
        <v>8</v>
      </c>
      <c r="N961" s="13">
        <v>0</v>
      </c>
      <c r="O961" s="14">
        <v>1297.8599999999999</v>
      </c>
      <c r="P961" s="10" t="s">
        <v>25</v>
      </c>
    </row>
    <row r="962" spans="1:16">
      <c r="A962" s="10" t="s">
        <v>1569</v>
      </c>
      <c r="B962" s="11">
        <v>45388</v>
      </c>
      <c r="C962" s="11">
        <v>45392</v>
      </c>
      <c r="D962" s="10" t="s">
        <v>53</v>
      </c>
      <c r="E962" s="10" t="s">
        <v>565</v>
      </c>
      <c r="F962" s="10" t="s">
        <v>29</v>
      </c>
      <c r="G962" s="10" t="s">
        <v>67</v>
      </c>
      <c r="H962" s="10" t="s">
        <v>68</v>
      </c>
      <c r="I962" s="10" t="s">
        <v>22</v>
      </c>
      <c r="J962" s="10" t="s">
        <v>30</v>
      </c>
      <c r="K962" s="10" t="s">
        <v>173</v>
      </c>
      <c r="L962" s="12">
        <v>960</v>
      </c>
      <c r="M962" s="10">
        <v>3</v>
      </c>
      <c r="N962" s="13">
        <v>0</v>
      </c>
      <c r="O962" s="14">
        <v>294.88</v>
      </c>
      <c r="P962" s="10" t="s">
        <v>56</v>
      </c>
    </row>
    <row r="963" spans="1:16">
      <c r="A963" s="10" t="s">
        <v>1570</v>
      </c>
      <c r="B963" s="11">
        <v>46019</v>
      </c>
      <c r="C963" s="11">
        <v>46026</v>
      </c>
      <c r="D963" s="10" t="s">
        <v>543</v>
      </c>
      <c r="E963" s="10" t="s">
        <v>544</v>
      </c>
      <c r="F963" s="10" t="s">
        <v>43</v>
      </c>
      <c r="G963" s="10" t="s">
        <v>73</v>
      </c>
      <c r="H963" s="10" t="s">
        <v>74</v>
      </c>
      <c r="I963" s="10" t="s">
        <v>75</v>
      </c>
      <c r="J963" s="10" t="s">
        <v>23</v>
      </c>
      <c r="K963" s="10" t="s">
        <v>293</v>
      </c>
      <c r="L963" s="12">
        <v>3375</v>
      </c>
      <c r="M963" s="10">
        <v>5</v>
      </c>
      <c r="N963" s="13">
        <v>0.1</v>
      </c>
      <c r="O963" s="14">
        <v>661.24</v>
      </c>
      <c r="P963" s="10" t="s">
        <v>48</v>
      </c>
    </row>
    <row r="964" spans="1:16">
      <c r="A964" s="10" t="s">
        <v>1571</v>
      </c>
      <c r="B964" s="11">
        <v>45664</v>
      </c>
      <c r="C964" s="11">
        <v>45671</v>
      </c>
      <c r="D964" s="10" t="s">
        <v>606</v>
      </c>
      <c r="E964" s="10" t="s">
        <v>409</v>
      </c>
      <c r="F964" s="10" t="s">
        <v>43</v>
      </c>
      <c r="G964" s="10" t="s">
        <v>179</v>
      </c>
      <c r="H964" s="10" t="s">
        <v>21</v>
      </c>
      <c r="I964" s="10" t="s">
        <v>22</v>
      </c>
      <c r="J964" s="10" t="s">
        <v>76</v>
      </c>
      <c r="K964" s="10" t="s">
        <v>77</v>
      </c>
      <c r="L964" s="12">
        <v>4320</v>
      </c>
      <c r="M964" s="10">
        <v>3</v>
      </c>
      <c r="N964" s="13">
        <v>0.1</v>
      </c>
      <c r="O964" s="14">
        <v>1164.8900000000001</v>
      </c>
      <c r="P964" s="10" t="s">
        <v>48</v>
      </c>
    </row>
    <row r="965" spans="1:16">
      <c r="A965" s="10" t="s">
        <v>1572</v>
      </c>
      <c r="B965" s="11">
        <v>45990</v>
      </c>
      <c r="C965" s="11">
        <v>45994</v>
      </c>
      <c r="D965" s="10" t="s">
        <v>129</v>
      </c>
      <c r="E965" s="10" t="s">
        <v>253</v>
      </c>
      <c r="F965" s="10" t="s">
        <v>19</v>
      </c>
      <c r="G965" s="10" t="s">
        <v>151</v>
      </c>
      <c r="H965" s="10" t="s">
        <v>151</v>
      </c>
      <c r="I965" s="10" t="s">
        <v>75</v>
      </c>
      <c r="J965" s="10" t="s">
        <v>76</v>
      </c>
      <c r="K965" s="10" t="s">
        <v>229</v>
      </c>
      <c r="L965" s="12">
        <v>1615</v>
      </c>
      <c r="M965" s="10">
        <v>1</v>
      </c>
      <c r="N965" s="13">
        <v>0.15</v>
      </c>
      <c r="O965" s="14">
        <v>166.94</v>
      </c>
      <c r="P965" s="10" t="s">
        <v>48</v>
      </c>
    </row>
    <row r="966" spans="1:16">
      <c r="A966" s="10" t="s">
        <v>1573</v>
      </c>
      <c r="B966" s="11">
        <v>45450</v>
      </c>
      <c r="C966" s="11">
        <v>45457</v>
      </c>
      <c r="D966" s="10" t="s">
        <v>1574</v>
      </c>
      <c r="E966" s="10" t="s">
        <v>687</v>
      </c>
      <c r="F966" s="10" t="s">
        <v>43</v>
      </c>
      <c r="G966" s="10" t="s">
        <v>20</v>
      </c>
      <c r="H966" s="10" t="s">
        <v>21</v>
      </c>
      <c r="I966" s="10" t="s">
        <v>22</v>
      </c>
      <c r="J966" s="10" t="s">
        <v>23</v>
      </c>
      <c r="K966" s="10" t="s">
        <v>293</v>
      </c>
      <c r="L966" s="12">
        <v>1912.5</v>
      </c>
      <c r="M966" s="10">
        <v>3</v>
      </c>
      <c r="N966" s="13">
        <v>0.15</v>
      </c>
      <c r="O966" s="14">
        <v>485.18</v>
      </c>
      <c r="P966" s="10" t="s">
        <v>48</v>
      </c>
    </row>
    <row r="967" spans="1:16">
      <c r="A967" s="10" t="s">
        <v>1575</v>
      </c>
      <c r="B967" s="11">
        <v>45649</v>
      </c>
      <c r="C967" s="11">
        <v>45653</v>
      </c>
      <c r="D967" s="10" t="s">
        <v>447</v>
      </c>
      <c r="E967" s="10" t="s">
        <v>592</v>
      </c>
      <c r="F967" s="10" t="s">
        <v>43</v>
      </c>
      <c r="G967" s="10" t="s">
        <v>73</v>
      </c>
      <c r="H967" s="10" t="s">
        <v>74</v>
      </c>
      <c r="I967" s="10" t="s">
        <v>75</v>
      </c>
      <c r="J967" s="10" t="s">
        <v>76</v>
      </c>
      <c r="K967" s="10" t="s">
        <v>206</v>
      </c>
      <c r="L967" s="12">
        <v>2200</v>
      </c>
      <c r="M967" s="10">
        <v>2</v>
      </c>
      <c r="N967" s="13">
        <v>0</v>
      </c>
      <c r="O967" s="14">
        <v>417.42</v>
      </c>
      <c r="P967" s="10" t="s">
        <v>56</v>
      </c>
    </row>
    <row r="968" spans="1:16">
      <c r="A968" s="10" t="s">
        <v>1576</v>
      </c>
      <c r="B968" s="11">
        <v>45703</v>
      </c>
      <c r="C968" s="11">
        <v>45706</v>
      </c>
      <c r="D968" s="10" t="s">
        <v>519</v>
      </c>
      <c r="E968" s="10" t="s">
        <v>650</v>
      </c>
      <c r="F968" s="10" t="s">
        <v>43</v>
      </c>
      <c r="G968" s="10" t="s">
        <v>20</v>
      </c>
      <c r="H968" s="10" t="s">
        <v>21</v>
      </c>
      <c r="I968" s="10" t="s">
        <v>22</v>
      </c>
      <c r="J968" s="10" t="s">
        <v>23</v>
      </c>
      <c r="K968" s="10" t="s">
        <v>89</v>
      </c>
      <c r="L968" s="12">
        <v>22400</v>
      </c>
      <c r="M968" s="10">
        <v>8</v>
      </c>
      <c r="N968" s="13">
        <v>0</v>
      </c>
      <c r="O968" s="14">
        <v>4421.8599999999997</v>
      </c>
      <c r="P968" s="10" t="s">
        <v>48</v>
      </c>
    </row>
    <row r="969" spans="1:16">
      <c r="A969" s="10" t="s">
        <v>1577</v>
      </c>
      <c r="B969" s="11">
        <v>45850</v>
      </c>
      <c r="C969" s="11">
        <v>45852</v>
      </c>
      <c r="D969" s="10" t="s">
        <v>1422</v>
      </c>
      <c r="E969" s="10" t="s">
        <v>1287</v>
      </c>
      <c r="F969" s="10" t="s">
        <v>43</v>
      </c>
      <c r="G969" s="10" t="s">
        <v>73</v>
      </c>
      <c r="H969" s="10" t="s">
        <v>74</v>
      </c>
      <c r="I969" s="10" t="s">
        <v>75</v>
      </c>
      <c r="J969" s="10" t="s">
        <v>30</v>
      </c>
      <c r="K969" s="10" t="s">
        <v>31</v>
      </c>
      <c r="L969" s="12">
        <v>612</v>
      </c>
      <c r="M969" s="10">
        <v>6</v>
      </c>
      <c r="N969" s="13">
        <v>0.15</v>
      </c>
      <c r="O969" s="14">
        <v>213.81</v>
      </c>
      <c r="P969" s="10" t="s">
        <v>25</v>
      </c>
    </row>
    <row r="970" spans="1:16">
      <c r="A970" s="10" t="s">
        <v>1578</v>
      </c>
      <c r="B970" s="11">
        <v>45776</v>
      </c>
      <c r="C970" s="11">
        <v>45778</v>
      </c>
      <c r="D970" s="10" t="s">
        <v>263</v>
      </c>
      <c r="E970" s="10" t="s">
        <v>734</v>
      </c>
      <c r="F970" s="10" t="s">
        <v>29</v>
      </c>
      <c r="G970" s="10" t="s">
        <v>135</v>
      </c>
      <c r="H970" s="10" t="s">
        <v>21</v>
      </c>
      <c r="I970" s="10" t="s">
        <v>22</v>
      </c>
      <c r="J970" s="10" t="s">
        <v>30</v>
      </c>
      <c r="K970" s="10" t="s">
        <v>261</v>
      </c>
      <c r="L970" s="12">
        <v>1197</v>
      </c>
      <c r="M970" s="10">
        <v>7</v>
      </c>
      <c r="N970" s="13">
        <v>0.05</v>
      </c>
      <c r="O970" s="14">
        <v>367.43</v>
      </c>
      <c r="P970" s="10" t="s">
        <v>69</v>
      </c>
    </row>
    <row r="971" spans="1:16">
      <c r="A971" s="10" t="s">
        <v>1579</v>
      </c>
      <c r="B971" s="11">
        <v>45706</v>
      </c>
      <c r="C971" s="11">
        <v>45707</v>
      </c>
      <c r="D971" s="10" t="s">
        <v>665</v>
      </c>
      <c r="E971" s="10" t="s">
        <v>835</v>
      </c>
      <c r="F971" s="10" t="s">
        <v>43</v>
      </c>
      <c r="G971" s="10" t="s">
        <v>179</v>
      </c>
      <c r="H971" s="10" t="s">
        <v>21</v>
      </c>
      <c r="I971" s="10" t="s">
        <v>22</v>
      </c>
      <c r="J971" s="10" t="s">
        <v>76</v>
      </c>
      <c r="K971" s="10" t="s">
        <v>77</v>
      </c>
      <c r="L971" s="12">
        <v>5120</v>
      </c>
      <c r="M971" s="10">
        <v>4</v>
      </c>
      <c r="N971" s="13">
        <v>0.2</v>
      </c>
      <c r="O971" s="14">
        <v>603.14</v>
      </c>
      <c r="P971" s="10" t="s">
        <v>69</v>
      </c>
    </row>
    <row r="972" spans="1:16">
      <c r="A972" s="10" t="s">
        <v>1580</v>
      </c>
      <c r="B972" s="11">
        <v>46278</v>
      </c>
      <c r="C972" s="11">
        <v>46285</v>
      </c>
      <c r="D972" s="10" t="s">
        <v>41</v>
      </c>
      <c r="E972" s="10" t="s">
        <v>756</v>
      </c>
      <c r="F972" s="10" t="s">
        <v>43</v>
      </c>
      <c r="G972" s="10" t="s">
        <v>179</v>
      </c>
      <c r="H972" s="10" t="s">
        <v>21</v>
      </c>
      <c r="I972" s="10" t="s">
        <v>22</v>
      </c>
      <c r="J972" s="10" t="s">
        <v>30</v>
      </c>
      <c r="K972" s="10" t="s">
        <v>31</v>
      </c>
      <c r="L972" s="12">
        <v>648</v>
      </c>
      <c r="M972" s="10">
        <v>6</v>
      </c>
      <c r="N972" s="13">
        <v>0.1</v>
      </c>
      <c r="O972" s="14">
        <v>155.38</v>
      </c>
      <c r="P972" s="10" t="s">
        <v>69</v>
      </c>
    </row>
    <row r="973" spans="1:16">
      <c r="A973" s="10" t="s">
        <v>1581</v>
      </c>
      <c r="B973" s="11">
        <v>46226</v>
      </c>
      <c r="C973" s="11">
        <v>46232</v>
      </c>
      <c r="D973" s="10" t="s">
        <v>1364</v>
      </c>
      <c r="E973" s="10" t="s">
        <v>1478</v>
      </c>
      <c r="F973" s="10" t="s">
        <v>43</v>
      </c>
      <c r="G973" s="10" t="s">
        <v>224</v>
      </c>
      <c r="H973" s="10" t="s">
        <v>225</v>
      </c>
      <c r="I973" s="10" t="s">
        <v>75</v>
      </c>
      <c r="J973" s="10" t="s">
        <v>76</v>
      </c>
      <c r="K973" s="10" t="s">
        <v>206</v>
      </c>
      <c r="L973" s="12">
        <v>4400</v>
      </c>
      <c r="M973" s="10">
        <v>4</v>
      </c>
      <c r="N973" s="13">
        <v>0</v>
      </c>
      <c r="O973" s="14">
        <v>845.2</v>
      </c>
      <c r="P973" s="10" t="s">
        <v>69</v>
      </c>
    </row>
    <row r="974" spans="1:16">
      <c r="A974" s="10" t="s">
        <v>1582</v>
      </c>
      <c r="B974" s="11">
        <v>45306</v>
      </c>
      <c r="C974" s="11">
        <v>45308</v>
      </c>
      <c r="D974" s="10" t="s">
        <v>316</v>
      </c>
      <c r="E974" s="10" t="s">
        <v>228</v>
      </c>
      <c r="F974" s="10" t="s">
        <v>19</v>
      </c>
      <c r="G974" s="10" t="s">
        <v>101</v>
      </c>
      <c r="H974" s="10" t="s">
        <v>102</v>
      </c>
      <c r="I974" s="10" t="s">
        <v>103</v>
      </c>
      <c r="J974" s="10" t="s">
        <v>76</v>
      </c>
      <c r="K974" s="10" t="s">
        <v>131</v>
      </c>
      <c r="L974" s="12">
        <v>2660</v>
      </c>
      <c r="M974" s="10">
        <v>8</v>
      </c>
      <c r="N974" s="13">
        <v>0.05</v>
      </c>
      <c r="O974" s="14">
        <v>912.28</v>
      </c>
      <c r="P974" s="10" t="s">
        <v>48</v>
      </c>
    </row>
    <row r="975" spans="1:16">
      <c r="A975" s="10" t="s">
        <v>1583</v>
      </c>
      <c r="B975" s="11">
        <v>45753</v>
      </c>
      <c r="C975" s="11">
        <v>45760</v>
      </c>
      <c r="D975" s="10" t="s">
        <v>356</v>
      </c>
      <c r="E975" s="10" t="s">
        <v>1179</v>
      </c>
      <c r="F975" s="10" t="s">
        <v>19</v>
      </c>
      <c r="G975" s="10" t="s">
        <v>44</v>
      </c>
      <c r="H975" s="10" t="s">
        <v>45</v>
      </c>
      <c r="I975" s="10" t="s">
        <v>46</v>
      </c>
      <c r="J975" s="10" t="s">
        <v>30</v>
      </c>
      <c r="K975" s="10" t="s">
        <v>127</v>
      </c>
      <c r="L975" s="12">
        <v>300</v>
      </c>
      <c r="M975" s="10">
        <v>2</v>
      </c>
      <c r="N975" s="13">
        <v>0</v>
      </c>
      <c r="O975" s="14">
        <v>96.95</v>
      </c>
      <c r="P975" s="10" t="s">
        <v>56</v>
      </c>
    </row>
    <row r="976" spans="1:16">
      <c r="A976" s="10" t="s">
        <v>1584</v>
      </c>
      <c r="B976" s="11">
        <v>45907</v>
      </c>
      <c r="C976" s="11">
        <v>45911</v>
      </c>
      <c r="D976" s="10" t="s">
        <v>242</v>
      </c>
      <c r="E976" s="10" t="s">
        <v>856</v>
      </c>
      <c r="F976" s="10" t="s">
        <v>43</v>
      </c>
      <c r="G976" s="10" t="s">
        <v>111</v>
      </c>
      <c r="H976" s="10" t="s">
        <v>21</v>
      </c>
      <c r="I976" s="10" t="s">
        <v>22</v>
      </c>
      <c r="J976" s="10" t="s">
        <v>23</v>
      </c>
      <c r="K976" s="10" t="s">
        <v>24</v>
      </c>
      <c r="L976" s="12">
        <v>20800</v>
      </c>
      <c r="M976" s="10">
        <v>4</v>
      </c>
      <c r="N976" s="13">
        <v>0.2</v>
      </c>
      <c r="O976" s="14">
        <v>4160.47</v>
      </c>
      <c r="P976" s="10" t="s">
        <v>48</v>
      </c>
    </row>
    <row r="977" spans="1:16">
      <c r="A977" s="10" t="s">
        <v>1585</v>
      </c>
      <c r="B977" s="11">
        <v>45601</v>
      </c>
      <c r="C977" s="11">
        <v>45604</v>
      </c>
      <c r="D977" s="10" t="s">
        <v>411</v>
      </c>
      <c r="E977" s="10" t="s">
        <v>28</v>
      </c>
      <c r="F977" s="10" t="s">
        <v>19</v>
      </c>
      <c r="G977" s="10" t="s">
        <v>151</v>
      </c>
      <c r="H977" s="10" t="s">
        <v>151</v>
      </c>
      <c r="I977" s="10" t="s">
        <v>75</v>
      </c>
      <c r="J977" s="10" t="s">
        <v>38</v>
      </c>
      <c r="K977" s="10" t="s">
        <v>55</v>
      </c>
      <c r="L977" s="12">
        <v>3960</v>
      </c>
      <c r="M977" s="10">
        <v>8</v>
      </c>
      <c r="N977" s="13">
        <v>0.1</v>
      </c>
      <c r="O977" s="14">
        <v>1022.87</v>
      </c>
      <c r="P977" s="10" t="s">
        <v>69</v>
      </c>
    </row>
    <row r="978" spans="1:16">
      <c r="A978" s="10" t="s">
        <v>1586</v>
      </c>
      <c r="B978" s="11">
        <v>45408</v>
      </c>
      <c r="C978" s="11">
        <v>45410</v>
      </c>
      <c r="D978" s="10" t="s">
        <v>122</v>
      </c>
      <c r="E978" s="10" t="s">
        <v>1587</v>
      </c>
      <c r="F978" s="10" t="s">
        <v>43</v>
      </c>
      <c r="G978" s="10" t="s">
        <v>73</v>
      </c>
      <c r="H978" s="10" t="s">
        <v>74</v>
      </c>
      <c r="I978" s="10" t="s">
        <v>75</v>
      </c>
      <c r="J978" s="10" t="s">
        <v>76</v>
      </c>
      <c r="K978" s="10" t="s">
        <v>229</v>
      </c>
      <c r="L978" s="12">
        <v>4845</v>
      </c>
      <c r="M978" s="10">
        <v>3</v>
      </c>
      <c r="N978" s="13">
        <v>0.15</v>
      </c>
      <c r="O978" s="14">
        <v>982.7</v>
      </c>
      <c r="P978" s="10" t="s">
        <v>25</v>
      </c>
    </row>
    <row r="979" spans="1:16">
      <c r="A979" s="10" t="s">
        <v>1588</v>
      </c>
      <c r="B979" s="11">
        <v>45941</v>
      </c>
      <c r="C979" s="11">
        <v>45944</v>
      </c>
      <c r="D979" s="10" t="s">
        <v>522</v>
      </c>
      <c r="E979" s="10" t="s">
        <v>443</v>
      </c>
      <c r="F979" s="10" t="s">
        <v>43</v>
      </c>
      <c r="G979" s="10" t="s">
        <v>60</v>
      </c>
      <c r="H979" s="10" t="s">
        <v>61</v>
      </c>
      <c r="I979" s="10" t="s">
        <v>37</v>
      </c>
      <c r="J979" s="10" t="s">
        <v>38</v>
      </c>
      <c r="K979" s="10" t="s">
        <v>104</v>
      </c>
      <c r="L979" s="12">
        <v>1300</v>
      </c>
      <c r="M979" s="10">
        <v>2</v>
      </c>
      <c r="N979" s="13">
        <v>0</v>
      </c>
      <c r="O979" s="14">
        <v>274.43</v>
      </c>
      <c r="P979" s="10" t="s">
        <v>63</v>
      </c>
    </row>
    <row r="980" spans="1:16">
      <c r="A980" s="10" t="s">
        <v>1589</v>
      </c>
      <c r="B980" s="11">
        <v>46241</v>
      </c>
      <c r="C980" s="11">
        <v>46246</v>
      </c>
      <c r="D980" s="10" t="s">
        <v>507</v>
      </c>
      <c r="E980" s="10" t="s">
        <v>1380</v>
      </c>
      <c r="F980" s="10" t="s">
        <v>43</v>
      </c>
      <c r="G980" s="10" t="s">
        <v>20</v>
      </c>
      <c r="H980" s="10" t="s">
        <v>21</v>
      </c>
      <c r="I980" s="10" t="s">
        <v>22</v>
      </c>
      <c r="J980" s="10" t="s">
        <v>76</v>
      </c>
      <c r="K980" s="10" t="s">
        <v>85</v>
      </c>
      <c r="L980" s="12">
        <v>176</v>
      </c>
      <c r="M980" s="10">
        <v>1</v>
      </c>
      <c r="N980" s="13">
        <v>0.2</v>
      </c>
      <c r="O980" s="14">
        <v>48.33</v>
      </c>
      <c r="P980" s="10" t="s">
        <v>63</v>
      </c>
    </row>
    <row r="981" spans="1:16">
      <c r="A981" s="10" t="s">
        <v>1590</v>
      </c>
      <c r="B981" s="11">
        <v>45682</v>
      </c>
      <c r="C981" s="11">
        <v>45683</v>
      </c>
      <c r="D981" s="10" t="s">
        <v>175</v>
      </c>
      <c r="E981" s="10" t="s">
        <v>1287</v>
      </c>
      <c r="F981" s="10" t="s">
        <v>43</v>
      </c>
      <c r="G981" s="10" t="s">
        <v>111</v>
      </c>
      <c r="H981" s="10" t="s">
        <v>21</v>
      </c>
      <c r="I981" s="10" t="s">
        <v>22</v>
      </c>
      <c r="J981" s="10" t="s">
        <v>76</v>
      </c>
      <c r="K981" s="10" t="s">
        <v>206</v>
      </c>
      <c r="L981" s="12">
        <v>5940</v>
      </c>
      <c r="M981" s="10">
        <v>6</v>
      </c>
      <c r="N981" s="13">
        <v>0.1</v>
      </c>
      <c r="O981" s="14">
        <v>1530.36</v>
      </c>
      <c r="P981" s="10" t="s">
        <v>56</v>
      </c>
    </row>
    <row r="982" spans="1:16">
      <c r="A982" s="10" t="s">
        <v>1591</v>
      </c>
      <c r="B982" s="11">
        <v>45811</v>
      </c>
      <c r="C982" s="11">
        <v>45814</v>
      </c>
      <c r="D982" s="10" t="s">
        <v>801</v>
      </c>
      <c r="E982" s="10" t="s">
        <v>1416</v>
      </c>
      <c r="F982" s="10" t="s">
        <v>29</v>
      </c>
      <c r="G982" s="10" t="s">
        <v>179</v>
      </c>
      <c r="H982" s="10" t="s">
        <v>21</v>
      </c>
      <c r="I982" s="10" t="s">
        <v>22</v>
      </c>
      <c r="J982" s="10" t="s">
        <v>23</v>
      </c>
      <c r="K982" s="10" t="s">
        <v>89</v>
      </c>
      <c r="L982" s="12">
        <v>15680</v>
      </c>
      <c r="M982" s="10">
        <v>7</v>
      </c>
      <c r="N982" s="13">
        <v>0.2</v>
      </c>
      <c r="O982" s="14">
        <v>4503.2299999999996</v>
      </c>
      <c r="P982" s="10" t="s">
        <v>48</v>
      </c>
    </row>
    <row r="983" spans="1:16">
      <c r="A983" s="10" t="s">
        <v>1592</v>
      </c>
      <c r="B983" s="11">
        <v>45449</v>
      </c>
      <c r="C983" s="11">
        <v>45456</v>
      </c>
      <c r="D983" s="10" t="s">
        <v>140</v>
      </c>
      <c r="E983" s="10" t="s">
        <v>28</v>
      </c>
      <c r="F983" s="10" t="s">
        <v>29</v>
      </c>
      <c r="G983" s="10" t="s">
        <v>67</v>
      </c>
      <c r="H983" s="10" t="s">
        <v>68</v>
      </c>
      <c r="I983" s="10" t="s">
        <v>22</v>
      </c>
      <c r="J983" s="10" t="s">
        <v>23</v>
      </c>
      <c r="K983" s="10" t="s">
        <v>89</v>
      </c>
      <c r="L983" s="12">
        <v>7140</v>
      </c>
      <c r="M983" s="10">
        <v>3</v>
      </c>
      <c r="N983" s="13">
        <v>0.15</v>
      </c>
      <c r="O983" s="14">
        <v>709.46</v>
      </c>
      <c r="P983" s="10" t="s">
        <v>63</v>
      </c>
    </row>
    <row r="984" spans="1:16">
      <c r="A984" s="10" t="s">
        <v>1593</v>
      </c>
      <c r="B984" s="11">
        <v>45951</v>
      </c>
      <c r="C984" s="11">
        <v>45955</v>
      </c>
      <c r="D984" s="10" t="s">
        <v>125</v>
      </c>
      <c r="E984" s="10" t="s">
        <v>1315</v>
      </c>
      <c r="F984" s="10" t="s">
        <v>43</v>
      </c>
      <c r="G984" s="10" t="s">
        <v>44</v>
      </c>
      <c r="H984" s="10" t="s">
        <v>45</v>
      </c>
      <c r="I984" s="10" t="s">
        <v>46</v>
      </c>
      <c r="J984" s="10" t="s">
        <v>38</v>
      </c>
      <c r="K984" s="10" t="s">
        <v>62</v>
      </c>
      <c r="L984" s="12">
        <v>59500</v>
      </c>
      <c r="M984" s="10">
        <v>7</v>
      </c>
      <c r="N984" s="13">
        <v>0</v>
      </c>
      <c r="O984" s="14">
        <v>8077.61</v>
      </c>
      <c r="P984" s="10" t="s">
        <v>63</v>
      </c>
    </row>
    <row r="985" spans="1:16">
      <c r="A985" s="10" t="s">
        <v>1594</v>
      </c>
      <c r="B985" s="11">
        <v>45454</v>
      </c>
      <c r="C985" s="11">
        <v>45458</v>
      </c>
      <c r="D985" s="10" t="s">
        <v>661</v>
      </c>
      <c r="E985" s="10" t="s">
        <v>307</v>
      </c>
      <c r="F985" s="10" t="s">
        <v>19</v>
      </c>
      <c r="G985" s="10" t="s">
        <v>111</v>
      </c>
      <c r="H985" s="10" t="s">
        <v>21</v>
      </c>
      <c r="I985" s="10" t="s">
        <v>22</v>
      </c>
      <c r="J985" s="10" t="s">
        <v>38</v>
      </c>
      <c r="K985" s="10" t="s">
        <v>39</v>
      </c>
      <c r="L985" s="12">
        <v>1520</v>
      </c>
      <c r="M985" s="10">
        <v>2</v>
      </c>
      <c r="N985" s="13">
        <v>0.2</v>
      </c>
      <c r="O985" s="14">
        <v>304</v>
      </c>
      <c r="P985" s="10" t="s">
        <v>56</v>
      </c>
    </row>
    <row r="986" spans="1:16">
      <c r="A986" s="10" t="s">
        <v>1595</v>
      </c>
      <c r="B986" s="11">
        <v>46263</v>
      </c>
      <c r="C986" s="11">
        <v>46266</v>
      </c>
      <c r="D986" s="10" t="s">
        <v>156</v>
      </c>
      <c r="E986" s="10" t="s">
        <v>887</v>
      </c>
      <c r="F986" s="10" t="s">
        <v>29</v>
      </c>
      <c r="G986" s="10" t="s">
        <v>111</v>
      </c>
      <c r="H986" s="10" t="s">
        <v>21</v>
      </c>
      <c r="I986" s="10" t="s">
        <v>22</v>
      </c>
      <c r="J986" s="10" t="s">
        <v>38</v>
      </c>
      <c r="K986" s="10" t="s">
        <v>104</v>
      </c>
      <c r="L986" s="12">
        <v>585</v>
      </c>
      <c r="M986" s="10">
        <v>1</v>
      </c>
      <c r="N986" s="13">
        <v>0.1</v>
      </c>
      <c r="O986" s="14">
        <v>211.77</v>
      </c>
      <c r="P986" s="10" t="s">
        <v>63</v>
      </c>
    </row>
    <row r="987" spans="1:16">
      <c r="A987" s="10" t="s">
        <v>1596</v>
      </c>
      <c r="B987" s="11">
        <v>46016</v>
      </c>
      <c r="C987" s="11">
        <v>46021</v>
      </c>
      <c r="D987" s="10" t="s">
        <v>1074</v>
      </c>
      <c r="E987" s="10" t="s">
        <v>205</v>
      </c>
      <c r="F987" s="10" t="s">
        <v>19</v>
      </c>
      <c r="G987" s="10" t="s">
        <v>101</v>
      </c>
      <c r="H987" s="10" t="s">
        <v>102</v>
      </c>
      <c r="I987" s="10" t="s">
        <v>103</v>
      </c>
      <c r="J987" s="10" t="s">
        <v>38</v>
      </c>
      <c r="K987" s="10" t="s">
        <v>62</v>
      </c>
      <c r="L987" s="12">
        <v>59500</v>
      </c>
      <c r="M987" s="10">
        <v>7</v>
      </c>
      <c r="N987" s="13">
        <v>0</v>
      </c>
      <c r="O987" s="14">
        <v>11126.01</v>
      </c>
      <c r="P987" s="10" t="s">
        <v>69</v>
      </c>
    </row>
    <row r="988" spans="1:16">
      <c r="A988" s="10" t="s">
        <v>1597</v>
      </c>
      <c r="B988" s="11">
        <v>45483</v>
      </c>
      <c r="C988" s="11">
        <v>45485</v>
      </c>
      <c r="D988" s="10" t="s">
        <v>1598</v>
      </c>
      <c r="E988" s="10" t="s">
        <v>592</v>
      </c>
      <c r="F988" s="10" t="s">
        <v>43</v>
      </c>
      <c r="G988" s="10" t="s">
        <v>167</v>
      </c>
      <c r="H988" s="10" t="s">
        <v>168</v>
      </c>
      <c r="I988" s="10" t="s">
        <v>37</v>
      </c>
      <c r="J988" s="10" t="s">
        <v>30</v>
      </c>
      <c r="K988" s="10" t="s">
        <v>173</v>
      </c>
      <c r="L988" s="12">
        <v>1088</v>
      </c>
      <c r="M988" s="10">
        <v>4</v>
      </c>
      <c r="N988" s="13">
        <v>0.15</v>
      </c>
      <c r="O988" s="14">
        <v>151.21</v>
      </c>
      <c r="P988" s="10" t="s">
        <v>48</v>
      </c>
    </row>
    <row r="989" spans="1:16">
      <c r="A989" s="10" t="s">
        <v>1599</v>
      </c>
      <c r="B989" s="11">
        <v>45573</v>
      </c>
      <c r="C989" s="11">
        <v>45574</v>
      </c>
      <c r="D989" s="10" t="s">
        <v>697</v>
      </c>
      <c r="E989" s="10" t="s">
        <v>691</v>
      </c>
      <c r="F989" s="10" t="s">
        <v>29</v>
      </c>
      <c r="G989" s="10" t="s">
        <v>101</v>
      </c>
      <c r="H989" s="10" t="s">
        <v>102</v>
      </c>
      <c r="I989" s="10" t="s">
        <v>103</v>
      </c>
      <c r="J989" s="10" t="s">
        <v>30</v>
      </c>
      <c r="K989" s="10" t="s">
        <v>261</v>
      </c>
      <c r="L989" s="12">
        <v>360</v>
      </c>
      <c r="M989" s="10">
        <v>2</v>
      </c>
      <c r="N989" s="13">
        <v>0</v>
      </c>
      <c r="O989" s="14">
        <v>93.83</v>
      </c>
      <c r="P989" s="10" t="s">
        <v>69</v>
      </c>
    </row>
    <row r="990" spans="1:16">
      <c r="A990" s="10" t="s">
        <v>1600</v>
      </c>
      <c r="B990" s="11">
        <v>45560</v>
      </c>
      <c r="C990" s="11">
        <v>45562</v>
      </c>
      <c r="D990" s="10" t="s">
        <v>484</v>
      </c>
      <c r="E990" s="10" t="s">
        <v>1357</v>
      </c>
      <c r="F990" s="10" t="s">
        <v>29</v>
      </c>
      <c r="G990" s="10" t="s">
        <v>20</v>
      </c>
      <c r="H990" s="10" t="s">
        <v>21</v>
      </c>
      <c r="I990" s="10" t="s">
        <v>22</v>
      </c>
      <c r="J990" s="10" t="s">
        <v>38</v>
      </c>
      <c r="K990" s="10" t="s">
        <v>55</v>
      </c>
      <c r="L990" s="12">
        <v>3300</v>
      </c>
      <c r="M990" s="10">
        <v>6</v>
      </c>
      <c r="N990" s="13">
        <v>0</v>
      </c>
      <c r="O990" s="14">
        <v>918.69</v>
      </c>
      <c r="P990" s="10" t="s">
        <v>25</v>
      </c>
    </row>
    <row r="991" spans="1:16">
      <c r="A991" s="10" t="s">
        <v>1601</v>
      </c>
      <c r="B991" s="11">
        <v>46274</v>
      </c>
      <c r="C991" s="11">
        <v>46280</v>
      </c>
      <c r="D991" s="10" t="s">
        <v>248</v>
      </c>
      <c r="E991" s="10" t="s">
        <v>881</v>
      </c>
      <c r="F991" s="10" t="s">
        <v>43</v>
      </c>
      <c r="G991" s="10" t="s">
        <v>20</v>
      </c>
      <c r="H991" s="10" t="s">
        <v>21</v>
      </c>
      <c r="I991" s="10" t="s">
        <v>22</v>
      </c>
      <c r="J991" s="10" t="s">
        <v>30</v>
      </c>
      <c r="K991" s="10" t="s">
        <v>127</v>
      </c>
      <c r="L991" s="12">
        <v>997.5</v>
      </c>
      <c r="M991" s="10">
        <v>7</v>
      </c>
      <c r="N991" s="13">
        <v>0.05</v>
      </c>
      <c r="O991" s="14">
        <v>207.26</v>
      </c>
      <c r="P991" s="10" t="s">
        <v>48</v>
      </c>
    </row>
    <row r="992" spans="1:16">
      <c r="A992" s="10" t="s">
        <v>1602</v>
      </c>
      <c r="B992" s="11">
        <v>46217</v>
      </c>
      <c r="C992" s="11">
        <v>46219</v>
      </c>
      <c r="D992" s="10" t="s">
        <v>522</v>
      </c>
      <c r="E992" s="10" t="s">
        <v>450</v>
      </c>
      <c r="F992" s="10" t="s">
        <v>29</v>
      </c>
      <c r="G992" s="10" t="s">
        <v>167</v>
      </c>
      <c r="H992" s="10" t="s">
        <v>168</v>
      </c>
      <c r="I992" s="10" t="s">
        <v>37</v>
      </c>
      <c r="J992" s="10" t="s">
        <v>38</v>
      </c>
      <c r="K992" s="10" t="s">
        <v>104</v>
      </c>
      <c r="L992" s="12">
        <v>3705</v>
      </c>
      <c r="M992" s="10">
        <v>6</v>
      </c>
      <c r="N992" s="13">
        <v>0.05</v>
      </c>
      <c r="O992" s="14">
        <v>913.96</v>
      </c>
      <c r="P992" s="10" t="s">
        <v>56</v>
      </c>
    </row>
    <row r="993" spans="1:16">
      <c r="A993" s="10" t="s">
        <v>1603</v>
      </c>
      <c r="B993" s="11">
        <v>45826</v>
      </c>
      <c r="C993" s="11">
        <v>45832</v>
      </c>
      <c r="D993" s="10" t="s">
        <v>569</v>
      </c>
      <c r="E993" s="10" t="s">
        <v>488</v>
      </c>
      <c r="F993" s="10" t="s">
        <v>43</v>
      </c>
      <c r="G993" s="10" t="s">
        <v>179</v>
      </c>
      <c r="H993" s="10" t="s">
        <v>21</v>
      </c>
      <c r="I993" s="10" t="s">
        <v>22</v>
      </c>
      <c r="J993" s="10" t="s">
        <v>38</v>
      </c>
      <c r="K993" s="10" t="s">
        <v>39</v>
      </c>
      <c r="L993" s="12">
        <v>807.5</v>
      </c>
      <c r="M993" s="10">
        <v>1</v>
      </c>
      <c r="N993" s="13">
        <v>0.15</v>
      </c>
      <c r="O993" s="14">
        <v>283.83999999999997</v>
      </c>
      <c r="P993" s="10" t="s">
        <v>48</v>
      </c>
    </row>
    <row r="994" spans="1:16">
      <c r="A994" s="10" t="s">
        <v>1604</v>
      </c>
      <c r="B994" s="11">
        <v>46212</v>
      </c>
      <c r="C994" s="11">
        <v>46214</v>
      </c>
      <c r="D994" s="10" t="s">
        <v>190</v>
      </c>
      <c r="E994" s="10" t="s">
        <v>150</v>
      </c>
      <c r="F994" s="10" t="s">
        <v>43</v>
      </c>
      <c r="G994" s="10" t="s">
        <v>135</v>
      </c>
      <c r="H994" s="10" t="s">
        <v>21</v>
      </c>
      <c r="I994" s="10" t="s">
        <v>22</v>
      </c>
      <c r="J994" s="10" t="s">
        <v>23</v>
      </c>
      <c r="K994" s="10" t="s">
        <v>24</v>
      </c>
      <c r="L994" s="12">
        <v>26000</v>
      </c>
      <c r="M994" s="10">
        <v>4</v>
      </c>
      <c r="N994" s="13">
        <v>0</v>
      </c>
      <c r="O994" s="14">
        <v>4960.45</v>
      </c>
      <c r="P994" s="10" t="s">
        <v>25</v>
      </c>
    </row>
    <row r="995" spans="1:16">
      <c r="A995" s="10" t="s">
        <v>1605</v>
      </c>
      <c r="B995" s="11">
        <v>45496</v>
      </c>
      <c r="C995" s="11">
        <v>45497</v>
      </c>
      <c r="D995" s="10" t="s">
        <v>1314</v>
      </c>
      <c r="E995" s="10" t="s">
        <v>1124</v>
      </c>
      <c r="F995" s="10" t="s">
        <v>29</v>
      </c>
      <c r="G995" s="10" t="s">
        <v>67</v>
      </c>
      <c r="H995" s="10" t="s">
        <v>68</v>
      </c>
      <c r="I995" s="10" t="s">
        <v>22</v>
      </c>
      <c r="J995" s="10" t="s">
        <v>23</v>
      </c>
      <c r="K995" s="10" t="s">
        <v>293</v>
      </c>
      <c r="L995" s="12">
        <v>5400</v>
      </c>
      <c r="M995" s="10">
        <v>8</v>
      </c>
      <c r="N995" s="13">
        <v>0.1</v>
      </c>
      <c r="O995" s="14">
        <v>1251.23</v>
      </c>
      <c r="P995" s="10" t="s">
        <v>56</v>
      </c>
    </row>
    <row r="996" spans="1:16">
      <c r="A996" s="10" t="s">
        <v>1606</v>
      </c>
      <c r="B996" s="11">
        <v>45995</v>
      </c>
      <c r="C996" s="11">
        <v>46002</v>
      </c>
      <c r="D996" s="10" t="s">
        <v>401</v>
      </c>
      <c r="E996" s="10" t="s">
        <v>758</v>
      </c>
      <c r="F996" s="10" t="s">
        <v>29</v>
      </c>
      <c r="G996" s="10" t="s">
        <v>101</v>
      </c>
      <c r="H996" s="10" t="s">
        <v>102</v>
      </c>
      <c r="I996" s="10" t="s">
        <v>103</v>
      </c>
      <c r="J996" s="10" t="s">
        <v>23</v>
      </c>
      <c r="K996" s="10" t="s">
        <v>293</v>
      </c>
      <c r="L996" s="12">
        <v>1275</v>
      </c>
      <c r="M996" s="10">
        <v>2</v>
      </c>
      <c r="N996" s="13">
        <v>0.15</v>
      </c>
      <c r="O996" s="14">
        <v>192.88</v>
      </c>
      <c r="P996" s="10" t="s">
        <v>25</v>
      </c>
    </row>
    <row r="997" spans="1:16">
      <c r="A997" s="10" t="s">
        <v>1607</v>
      </c>
      <c r="B997" s="11">
        <v>45735</v>
      </c>
      <c r="C997" s="11">
        <v>45739</v>
      </c>
      <c r="D997" s="10" t="s">
        <v>635</v>
      </c>
      <c r="E997" s="10" t="s">
        <v>314</v>
      </c>
      <c r="F997" s="10" t="s">
        <v>43</v>
      </c>
      <c r="G997" s="10" t="s">
        <v>81</v>
      </c>
      <c r="H997" s="10" t="s">
        <v>68</v>
      </c>
      <c r="I997" s="10" t="s">
        <v>22</v>
      </c>
      <c r="J997" s="10" t="s">
        <v>23</v>
      </c>
      <c r="K997" s="10" t="s">
        <v>89</v>
      </c>
      <c r="L997" s="12">
        <v>4760</v>
      </c>
      <c r="M997" s="10">
        <v>2</v>
      </c>
      <c r="N997" s="13">
        <v>0.15</v>
      </c>
      <c r="O997" s="14">
        <v>1227.6400000000001</v>
      </c>
      <c r="P997" s="10" t="s">
        <v>48</v>
      </c>
    </row>
    <row r="998" spans="1:16">
      <c r="A998" s="10" t="s">
        <v>1608</v>
      </c>
      <c r="B998" s="11">
        <v>45752</v>
      </c>
      <c r="C998" s="11">
        <v>45754</v>
      </c>
      <c r="D998" s="10" t="s">
        <v>284</v>
      </c>
      <c r="E998" s="10" t="s">
        <v>1181</v>
      </c>
      <c r="F998" s="10" t="s">
        <v>43</v>
      </c>
      <c r="G998" s="10" t="s">
        <v>101</v>
      </c>
      <c r="H998" s="10" t="s">
        <v>102</v>
      </c>
      <c r="I998" s="10" t="s">
        <v>103</v>
      </c>
      <c r="J998" s="10" t="s">
        <v>38</v>
      </c>
      <c r="K998" s="10" t="s">
        <v>62</v>
      </c>
      <c r="L998" s="12">
        <v>36125</v>
      </c>
      <c r="M998" s="10">
        <v>5</v>
      </c>
      <c r="N998" s="13">
        <v>0.15</v>
      </c>
      <c r="O998" s="14">
        <v>9065.56</v>
      </c>
      <c r="P998" s="10" t="s">
        <v>48</v>
      </c>
    </row>
    <row r="999" spans="1:16">
      <c r="A999" s="10" t="s">
        <v>1609</v>
      </c>
      <c r="B999" s="11">
        <v>45409</v>
      </c>
      <c r="C999" s="11">
        <v>45411</v>
      </c>
      <c r="D999" s="10" t="s">
        <v>33</v>
      </c>
      <c r="E999" s="10" t="s">
        <v>326</v>
      </c>
      <c r="F999" s="10" t="s">
        <v>29</v>
      </c>
      <c r="G999" s="10" t="s">
        <v>35</v>
      </c>
      <c r="H999" s="10" t="s">
        <v>36</v>
      </c>
      <c r="I999" s="10" t="s">
        <v>37</v>
      </c>
      <c r="J999" s="10" t="s">
        <v>23</v>
      </c>
      <c r="K999" s="10" t="s">
        <v>293</v>
      </c>
      <c r="L999" s="12">
        <v>2137.5</v>
      </c>
      <c r="M999" s="10">
        <v>3</v>
      </c>
      <c r="N999" s="13">
        <v>0.05</v>
      </c>
      <c r="O999" s="14">
        <v>659.88</v>
      </c>
      <c r="P999" s="10" t="s">
        <v>69</v>
      </c>
    </row>
    <row r="1000" spans="1:16">
      <c r="A1000" s="10" t="s">
        <v>1610</v>
      </c>
      <c r="B1000" s="11">
        <v>45417</v>
      </c>
      <c r="C1000" s="11">
        <v>45418</v>
      </c>
      <c r="D1000" s="10" t="s">
        <v>289</v>
      </c>
      <c r="E1000" s="10" t="s">
        <v>395</v>
      </c>
      <c r="F1000" s="10" t="s">
        <v>29</v>
      </c>
      <c r="G1000" s="10" t="s">
        <v>67</v>
      </c>
      <c r="H1000" s="10" t="s">
        <v>68</v>
      </c>
      <c r="I1000" s="10" t="s">
        <v>22</v>
      </c>
      <c r="J1000" s="10" t="s">
        <v>38</v>
      </c>
      <c r="K1000" s="10" t="s">
        <v>169</v>
      </c>
      <c r="L1000" s="12">
        <v>5220</v>
      </c>
      <c r="M1000" s="10">
        <v>4</v>
      </c>
      <c r="N1000" s="13">
        <v>0.1</v>
      </c>
      <c r="O1000" s="14">
        <v>1135.1300000000001</v>
      </c>
      <c r="P1000" s="10" t="s">
        <v>25</v>
      </c>
    </row>
    <row r="1001" spans="1:16">
      <c r="A1001" s="10" t="s">
        <v>1611</v>
      </c>
      <c r="B1001" s="11">
        <v>45582</v>
      </c>
      <c r="C1001" s="11">
        <v>45587</v>
      </c>
      <c r="D1001" s="10" t="s">
        <v>159</v>
      </c>
      <c r="E1001" s="10" t="s">
        <v>415</v>
      </c>
      <c r="F1001" s="10" t="s">
        <v>19</v>
      </c>
      <c r="G1001" s="10" t="s">
        <v>111</v>
      </c>
      <c r="H1001" s="10" t="s">
        <v>21</v>
      </c>
      <c r="I1001" s="10" t="s">
        <v>22</v>
      </c>
      <c r="J1001" s="10" t="s">
        <v>30</v>
      </c>
      <c r="K1001" s="10" t="s">
        <v>261</v>
      </c>
      <c r="L1001" s="12">
        <v>720</v>
      </c>
      <c r="M1001" s="10">
        <v>5</v>
      </c>
      <c r="N1001" s="13">
        <v>0.2</v>
      </c>
      <c r="O1001" s="14">
        <v>138.19999999999999</v>
      </c>
      <c r="P1001" s="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87FB-1A69-45E7-9A20-420FCEB91880}">
  <dimension ref="C2:AQ59"/>
  <sheetViews>
    <sheetView topLeftCell="F1" workbookViewId="0">
      <selection activeCell="T38" sqref="T38"/>
    </sheetView>
  </sheetViews>
  <sheetFormatPr defaultRowHeight="15"/>
  <cols>
    <col min="3" max="3" width="11.7109375" bestFit="1" customWidth="1"/>
    <col min="4" max="4" width="12.5703125" bestFit="1" customWidth="1"/>
    <col min="10" max="10" width="15.85546875" bestFit="1" customWidth="1"/>
    <col min="11" max="11" width="12.5703125" bestFit="1" customWidth="1"/>
    <col min="12" max="12" width="10.28515625" bestFit="1" customWidth="1"/>
    <col min="13" max="13" width="10.28515625" customWidth="1"/>
    <col min="14" max="14" width="14.140625" customWidth="1"/>
    <col min="15" max="15" width="13.7109375" customWidth="1"/>
    <col min="16" max="16" width="10.28515625" customWidth="1"/>
    <col min="17" max="17" width="11.7109375" bestFit="1" customWidth="1"/>
    <col min="18" max="18" width="12.5703125" bestFit="1" customWidth="1"/>
    <col min="19" max="19" width="10" bestFit="1" customWidth="1"/>
    <col min="20" max="20" width="12.140625" bestFit="1" customWidth="1"/>
    <col min="21" max="21" width="12.7109375" bestFit="1" customWidth="1"/>
    <col min="22" max="22" width="13.7109375" bestFit="1" customWidth="1"/>
    <col min="23" max="23" width="14.140625" bestFit="1" customWidth="1"/>
    <col min="24" max="24" width="12.5703125" bestFit="1" customWidth="1"/>
    <col min="26" max="26" width="11.7109375" bestFit="1" customWidth="1"/>
    <col min="27" max="27" width="20" bestFit="1" customWidth="1"/>
    <col min="28" max="28" width="25.28515625" bestFit="1" customWidth="1"/>
    <col min="29" max="29" width="14.140625" bestFit="1" customWidth="1"/>
    <col min="30" max="30" width="17.42578125" bestFit="1" customWidth="1"/>
    <col min="36" max="36" width="20" bestFit="1" customWidth="1"/>
    <col min="37" max="37" width="20.5703125" bestFit="1" customWidth="1"/>
    <col min="41" max="41" width="12.5703125" bestFit="1" customWidth="1"/>
    <col min="42" max="42" width="20" bestFit="1" customWidth="1"/>
    <col min="43" max="43" width="25.28515625" bestFit="1" customWidth="1"/>
  </cols>
  <sheetData>
    <row r="2" spans="3:43">
      <c r="C2" s="38" t="s">
        <v>1612</v>
      </c>
      <c r="D2" s="38"/>
      <c r="J2" s="35" t="s">
        <v>1613</v>
      </c>
      <c r="K2" s="36"/>
      <c r="Q2" s="35" t="s">
        <v>1614</v>
      </c>
      <c r="R2" s="36"/>
      <c r="W2" s="36" t="s">
        <v>1615</v>
      </c>
      <c r="X2" s="36"/>
      <c r="AC2" s="36" t="s">
        <v>1616</v>
      </c>
      <c r="AD2" s="36"/>
      <c r="AJ2" s="36" t="s">
        <v>1617</v>
      </c>
      <c r="AK2" s="36"/>
      <c r="AO2" s="34" t="s">
        <v>1618</v>
      </c>
      <c r="AP2" s="34"/>
      <c r="AQ2" s="34"/>
    </row>
    <row r="3" spans="3:43">
      <c r="C3" s="20" t="s">
        <v>6</v>
      </c>
      <c r="D3" s="21" t="s">
        <v>1619</v>
      </c>
      <c r="J3" s="19" t="s">
        <v>7</v>
      </c>
      <c r="K3" t="s">
        <v>1619</v>
      </c>
      <c r="Q3" s="19" t="s">
        <v>8</v>
      </c>
      <c r="R3" t="s">
        <v>1619</v>
      </c>
      <c r="W3" s="19" t="s">
        <v>9</v>
      </c>
      <c r="X3" t="s">
        <v>1619</v>
      </c>
      <c r="AC3" s="19" t="s">
        <v>9</v>
      </c>
      <c r="AD3" t="s">
        <v>1620</v>
      </c>
      <c r="AJ3" s="19" t="s">
        <v>15</v>
      </c>
      <c r="AK3" t="s">
        <v>1621</v>
      </c>
      <c r="AO3" s="23" t="s">
        <v>8</v>
      </c>
      <c r="AP3" s="23" t="s">
        <v>15</v>
      </c>
      <c r="AQ3" s="9" t="s">
        <v>1622</v>
      </c>
    </row>
    <row r="4" spans="3:43">
      <c r="C4" t="s">
        <v>135</v>
      </c>
      <c r="D4" s="1">
        <v>428509.5</v>
      </c>
      <c r="J4" t="s">
        <v>151</v>
      </c>
      <c r="K4" s="1">
        <v>394535.5</v>
      </c>
      <c r="Q4" t="s">
        <v>103</v>
      </c>
      <c r="R4" s="1">
        <v>380218</v>
      </c>
      <c r="W4" t="s">
        <v>76</v>
      </c>
      <c r="X4" s="1">
        <v>1097218.5</v>
      </c>
      <c r="AC4" t="s">
        <v>76</v>
      </c>
      <c r="AD4" s="22">
        <v>268</v>
      </c>
      <c r="AJ4" t="s">
        <v>25</v>
      </c>
      <c r="AK4" s="22">
        <v>193</v>
      </c>
      <c r="AO4" s="9" t="s">
        <v>103</v>
      </c>
      <c r="AP4" s="9" t="s">
        <v>25</v>
      </c>
      <c r="AQ4" s="24">
        <v>18</v>
      </c>
    </row>
    <row r="5" spans="3:43">
      <c r="C5" t="s">
        <v>167</v>
      </c>
      <c r="D5" s="1">
        <v>575877.5</v>
      </c>
      <c r="J5" t="s">
        <v>21</v>
      </c>
      <c r="K5" s="1">
        <v>2660752.5</v>
      </c>
      <c r="Q5" t="s">
        <v>46</v>
      </c>
      <c r="R5" s="1">
        <v>418438</v>
      </c>
      <c r="W5" t="s">
        <v>38</v>
      </c>
      <c r="X5" s="1">
        <v>2622957.5</v>
      </c>
      <c r="AC5" t="s">
        <v>38</v>
      </c>
      <c r="AD5" s="22">
        <v>251</v>
      </c>
      <c r="AJ5" t="s">
        <v>56</v>
      </c>
      <c r="AK5" s="22">
        <v>192</v>
      </c>
      <c r="AO5" s="9"/>
      <c r="AP5" s="9" t="s">
        <v>56</v>
      </c>
      <c r="AQ5" s="24">
        <v>9</v>
      </c>
    </row>
    <row r="6" spans="3:43">
      <c r="C6" t="s">
        <v>20</v>
      </c>
      <c r="D6" s="1">
        <v>548171.5</v>
      </c>
      <c r="J6" t="s">
        <v>168</v>
      </c>
      <c r="K6" s="1">
        <v>575877.5</v>
      </c>
      <c r="Q6" t="s">
        <v>75</v>
      </c>
      <c r="R6" s="1">
        <v>1243547.5</v>
      </c>
      <c r="W6" t="s">
        <v>23</v>
      </c>
      <c r="X6" s="1">
        <v>3073800</v>
      </c>
      <c r="AC6" t="s">
        <v>23</v>
      </c>
      <c r="AD6" s="22">
        <v>238</v>
      </c>
      <c r="AJ6" t="s">
        <v>69</v>
      </c>
      <c r="AK6" s="22">
        <v>191</v>
      </c>
      <c r="AO6" s="9"/>
      <c r="AP6" s="9" t="s">
        <v>69</v>
      </c>
      <c r="AQ6" s="24">
        <v>14</v>
      </c>
    </row>
    <row r="7" spans="3:43">
      <c r="C7" t="s">
        <v>60</v>
      </c>
      <c r="D7" s="1">
        <v>546874</v>
      </c>
      <c r="J7" t="s">
        <v>102</v>
      </c>
      <c r="K7" s="1">
        <v>380218</v>
      </c>
      <c r="Q7" t="s">
        <v>37</v>
      </c>
      <c r="R7" s="1">
        <v>1399778</v>
      </c>
      <c r="W7" t="s">
        <v>30</v>
      </c>
      <c r="X7" s="1">
        <v>180372</v>
      </c>
      <c r="AC7" t="s">
        <v>30</v>
      </c>
      <c r="AD7" s="22">
        <v>243</v>
      </c>
      <c r="AJ7" t="s">
        <v>63</v>
      </c>
      <c r="AK7" s="22">
        <v>199</v>
      </c>
      <c r="AO7" s="9"/>
      <c r="AP7" s="9" t="s">
        <v>63</v>
      </c>
      <c r="AQ7" s="24">
        <v>5</v>
      </c>
    </row>
    <row r="8" spans="3:43">
      <c r="C8" t="s">
        <v>151</v>
      </c>
      <c r="D8" s="1">
        <v>394535.5</v>
      </c>
      <c r="J8" t="s">
        <v>68</v>
      </c>
      <c r="K8" s="1">
        <v>871614</v>
      </c>
      <c r="Q8" t="s">
        <v>22</v>
      </c>
      <c r="R8" s="1">
        <v>3532366.5</v>
      </c>
      <c r="W8" t="s">
        <v>1623</v>
      </c>
      <c r="X8" s="1">
        <v>6974348</v>
      </c>
      <c r="AC8" t="s">
        <v>1623</v>
      </c>
      <c r="AD8" s="22">
        <v>1000</v>
      </c>
      <c r="AJ8" t="s">
        <v>48</v>
      </c>
      <c r="AK8" s="22">
        <v>225</v>
      </c>
      <c r="AO8" s="9"/>
      <c r="AP8" s="9" t="s">
        <v>48</v>
      </c>
      <c r="AQ8" s="24">
        <v>13</v>
      </c>
    </row>
    <row r="9" spans="3:43">
      <c r="C9" t="s">
        <v>35</v>
      </c>
      <c r="D9" s="1">
        <v>277026.5</v>
      </c>
      <c r="J9" t="s">
        <v>74</v>
      </c>
      <c r="K9" s="1">
        <v>432785.5</v>
      </c>
      <c r="Q9" t="s">
        <v>1623</v>
      </c>
      <c r="R9" s="1">
        <v>6974348</v>
      </c>
      <c r="AJ9" t="s">
        <v>1623</v>
      </c>
      <c r="AK9" s="22">
        <v>1000</v>
      </c>
      <c r="AO9" s="9" t="s">
        <v>1624</v>
      </c>
      <c r="AP9" s="9"/>
      <c r="AQ9" s="24">
        <v>59</v>
      </c>
    </row>
    <row r="10" spans="3:43">
      <c r="C10" t="s">
        <v>101</v>
      </c>
      <c r="D10" s="1">
        <v>380218</v>
      </c>
      <c r="J10" t="s">
        <v>61</v>
      </c>
      <c r="K10" s="1">
        <v>546874</v>
      </c>
      <c r="AO10" s="9" t="s">
        <v>46</v>
      </c>
      <c r="AP10" s="9" t="s">
        <v>25</v>
      </c>
      <c r="AQ10" s="24">
        <v>12</v>
      </c>
    </row>
    <row r="11" spans="3:43">
      <c r="C11" t="s">
        <v>73</v>
      </c>
      <c r="D11" s="1">
        <v>432785.5</v>
      </c>
      <c r="J11" t="s">
        <v>36</v>
      </c>
      <c r="K11" s="1">
        <v>277026.5</v>
      </c>
      <c r="AO11" s="9"/>
      <c r="AP11" s="9" t="s">
        <v>56</v>
      </c>
      <c r="AQ11" s="24">
        <v>18</v>
      </c>
    </row>
    <row r="12" spans="3:43">
      <c r="C12" t="s">
        <v>44</v>
      </c>
      <c r="D12" s="1">
        <v>418438</v>
      </c>
      <c r="J12" t="s">
        <v>225</v>
      </c>
      <c r="K12" s="1">
        <v>416226.5</v>
      </c>
      <c r="AO12" s="9"/>
      <c r="AP12" s="9" t="s">
        <v>69</v>
      </c>
      <c r="AQ12" s="24">
        <v>14</v>
      </c>
    </row>
    <row r="13" spans="3:43">
      <c r="C13" t="s">
        <v>224</v>
      </c>
      <c r="D13" s="1">
        <v>416226.5</v>
      </c>
      <c r="J13" t="s">
        <v>45</v>
      </c>
      <c r="K13" s="1">
        <v>418438</v>
      </c>
      <c r="AO13" s="9"/>
      <c r="AP13" s="9" t="s">
        <v>63</v>
      </c>
      <c r="AQ13" s="24">
        <v>14</v>
      </c>
    </row>
    <row r="14" spans="3:43">
      <c r="C14" t="s">
        <v>67</v>
      </c>
      <c r="D14" s="1">
        <v>376616.5</v>
      </c>
      <c r="J14" t="s">
        <v>1623</v>
      </c>
      <c r="K14" s="1">
        <v>6974348</v>
      </c>
      <c r="AO14" s="9"/>
      <c r="AP14" s="9" t="s">
        <v>48</v>
      </c>
      <c r="AQ14" s="24">
        <v>12</v>
      </c>
    </row>
    <row r="15" spans="3:43">
      <c r="C15" t="s">
        <v>81</v>
      </c>
      <c r="D15" s="1">
        <v>494997.5</v>
      </c>
      <c r="AO15" s="9" t="s">
        <v>1625</v>
      </c>
      <c r="AP15" s="9"/>
      <c r="AQ15" s="24">
        <v>70</v>
      </c>
    </row>
    <row r="16" spans="3:43">
      <c r="C16" t="s">
        <v>179</v>
      </c>
      <c r="D16" s="1">
        <v>452242</v>
      </c>
      <c r="AO16" s="9" t="s">
        <v>75</v>
      </c>
      <c r="AP16" s="9" t="s">
        <v>25</v>
      </c>
      <c r="AQ16" s="24">
        <v>32</v>
      </c>
    </row>
    <row r="17" spans="3:43">
      <c r="C17" t="s">
        <v>97</v>
      </c>
      <c r="D17" s="1">
        <v>564353</v>
      </c>
      <c r="AO17" s="9"/>
      <c r="AP17" s="9" t="s">
        <v>56</v>
      </c>
      <c r="AQ17" s="24">
        <v>43</v>
      </c>
    </row>
    <row r="18" spans="3:43">
      <c r="C18" t="s">
        <v>111</v>
      </c>
      <c r="D18" s="1">
        <v>667476.5</v>
      </c>
      <c r="AO18" s="9"/>
      <c r="AP18" s="9" t="s">
        <v>69</v>
      </c>
      <c r="AQ18" s="24">
        <v>35</v>
      </c>
    </row>
    <row r="19" spans="3:43">
      <c r="C19" t="s">
        <v>1623</v>
      </c>
      <c r="D19" s="1">
        <v>6974348</v>
      </c>
      <c r="AO19" s="9"/>
      <c r="AP19" s="9" t="s">
        <v>63</v>
      </c>
      <c r="AQ19" s="24">
        <v>34</v>
      </c>
    </row>
    <row r="20" spans="3:43">
      <c r="AO20" s="9"/>
      <c r="AP20" s="9" t="s">
        <v>48</v>
      </c>
      <c r="AQ20" s="24">
        <v>41</v>
      </c>
    </row>
    <row r="21" spans="3:43">
      <c r="AO21" s="9" t="s">
        <v>1626</v>
      </c>
      <c r="AP21" s="9"/>
      <c r="AQ21" s="24">
        <v>185</v>
      </c>
    </row>
    <row r="22" spans="3:43">
      <c r="AO22" s="9" t="s">
        <v>37</v>
      </c>
      <c r="AP22" s="9" t="s">
        <v>25</v>
      </c>
      <c r="AQ22" s="24">
        <v>39</v>
      </c>
    </row>
    <row r="23" spans="3:43">
      <c r="AO23" s="9"/>
      <c r="AP23" s="9" t="s">
        <v>56</v>
      </c>
      <c r="AQ23" s="24">
        <v>45</v>
      </c>
    </row>
    <row r="24" spans="3:43">
      <c r="AO24" s="9"/>
      <c r="AP24" s="9" t="s">
        <v>69</v>
      </c>
      <c r="AQ24" s="24">
        <v>30</v>
      </c>
    </row>
    <row r="25" spans="3:43">
      <c r="AO25" s="9"/>
      <c r="AP25" s="9" t="s">
        <v>63</v>
      </c>
      <c r="AQ25" s="24">
        <v>54</v>
      </c>
    </row>
    <row r="26" spans="3:43">
      <c r="AO26" s="9"/>
      <c r="AP26" s="9" t="s">
        <v>48</v>
      </c>
      <c r="AQ26" s="24">
        <v>41</v>
      </c>
    </row>
    <row r="27" spans="3:43">
      <c r="AO27" s="9" t="s">
        <v>1627</v>
      </c>
      <c r="AP27" s="9"/>
      <c r="AQ27" s="24">
        <v>209</v>
      </c>
    </row>
    <row r="28" spans="3:43">
      <c r="AO28" s="9" t="s">
        <v>22</v>
      </c>
      <c r="AP28" s="9" t="s">
        <v>25</v>
      </c>
      <c r="AQ28" s="24">
        <v>92</v>
      </c>
    </row>
    <row r="29" spans="3:43">
      <c r="AO29" s="9"/>
      <c r="AP29" s="9" t="s">
        <v>56</v>
      </c>
      <c r="AQ29" s="24">
        <v>77</v>
      </c>
    </row>
    <row r="30" spans="3:43">
      <c r="AO30" s="9"/>
      <c r="AP30" s="9" t="s">
        <v>69</v>
      </c>
      <c r="AQ30" s="24">
        <v>98</v>
      </c>
    </row>
    <row r="31" spans="3:43">
      <c r="AO31" s="9"/>
      <c r="AP31" s="9" t="s">
        <v>63</v>
      </c>
      <c r="AQ31" s="24">
        <v>92</v>
      </c>
    </row>
    <row r="32" spans="3:43">
      <c r="AO32" s="9"/>
      <c r="AP32" s="9" t="s">
        <v>48</v>
      </c>
      <c r="AQ32" s="24">
        <v>118</v>
      </c>
    </row>
    <row r="33" spans="3:43">
      <c r="AO33" s="9" t="s">
        <v>1628</v>
      </c>
      <c r="AP33" s="9"/>
      <c r="AQ33" s="24">
        <v>477</v>
      </c>
    </row>
    <row r="34" spans="3:43">
      <c r="AO34" s="9" t="s">
        <v>1623</v>
      </c>
      <c r="AP34" s="9"/>
      <c r="AQ34" s="24">
        <v>1000</v>
      </c>
    </row>
    <row r="37" spans="3:43">
      <c r="C37" s="36" t="s">
        <v>1629</v>
      </c>
      <c r="D37" s="36"/>
      <c r="J37" s="37" t="s">
        <v>1630</v>
      </c>
      <c r="K37" s="37"/>
      <c r="N37" s="36" t="s">
        <v>1631</v>
      </c>
      <c r="O37" s="36"/>
      <c r="T37" s="34" t="s">
        <v>1632</v>
      </c>
      <c r="U37" s="34"/>
      <c r="Z37" s="25"/>
      <c r="AA37" s="26"/>
      <c r="AB37" s="27"/>
    </row>
    <row r="38" spans="3:43">
      <c r="C38" s="19" t="s">
        <v>15</v>
      </c>
      <c r="D38" t="s">
        <v>1619</v>
      </c>
      <c r="J38" s="19" t="s">
        <v>10</v>
      </c>
      <c r="K38" t="s">
        <v>1620</v>
      </c>
      <c r="N38" s="19" t="s">
        <v>9</v>
      </c>
      <c r="O38" t="s">
        <v>1633</v>
      </c>
      <c r="T38" s="19" t="s">
        <v>5</v>
      </c>
      <c r="U38" t="s">
        <v>1634</v>
      </c>
    </row>
    <row r="39" spans="3:43">
      <c r="C39" t="s">
        <v>25</v>
      </c>
      <c r="D39" s="1">
        <v>1245510.5</v>
      </c>
      <c r="J39" t="s">
        <v>89</v>
      </c>
      <c r="K39" s="22">
        <v>39</v>
      </c>
      <c r="N39" t="s">
        <v>76</v>
      </c>
      <c r="O39" s="2">
        <v>263659.7099999999</v>
      </c>
      <c r="T39" t="s">
        <v>29</v>
      </c>
      <c r="U39" s="22">
        <v>336</v>
      </c>
    </row>
    <row r="40" spans="3:43">
      <c r="C40" t="s">
        <v>56</v>
      </c>
      <c r="D40" s="1">
        <v>1131370.5</v>
      </c>
      <c r="J40" t="s">
        <v>85</v>
      </c>
      <c r="K40" s="22">
        <v>53</v>
      </c>
      <c r="N40" t="s">
        <v>38</v>
      </c>
      <c r="O40" s="2">
        <v>594096.63000000035</v>
      </c>
      <c r="T40" t="s">
        <v>43</v>
      </c>
      <c r="U40" s="22">
        <v>333</v>
      </c>
    </row>
    <row r="41" spans="3:43">
      <c r="C41" t="s">
        <v>69</v>
      </c>
      <c r="D41" s="1">
        <v>1309456</v>
      </c>
      <c r="J41" t="s">
        <v>293</v>
      </c>
      <c r="K41" s="22">
        <v>56</v>
      </c>
      <c r="N41" t="s">
        <v>23</v>
      </c>
      <c r="O41" s="2">
        <v>710551.60000000056</v>
      </c>
      <c r="T41" t="s">
        <v>19</v>
      </c>
      <c r="U41" s="22">
        <v>331</v>
      </c>
    </row>
    <row r="42" spans="3:43">
      <c r="C42" t="s">
        <v>63</v>
      </c>
      <c r="D42" s="1">
        <v>1622114.5</v>
      </c>
      <c r="J42" t="s">
        <v>47</v>
      </c>
      <c r="K42" s="22">
        <v>47</v>
      </c>
      <c r="N42" t="s">
        <v>30</v>
      </c>
      <c r="O42" s="2">
        <v>44074.299999999967</v>
      </c>
      <c r="T42" t="s">
        <v>1623</v>
      </c>
      <c r="U42" s="22">
        <v>1000</v>
      </c>
    </row>
    <row r="43" spans="3:43">
      <c r="C43" t="s">
        <v>48</v>
      </c>
      <c r="D43" s="1">
        <v>1665896.5</v>
      </c>
      <c r="J43" t="s">
        <v>93</v>
      </c>
      <c r="K43" s="22">
        <v>53</v>
      </c>
      <c r="N43" t="s">
        <v>1623</v>
      </c>
      <c r="O43" s="2">
        <v>1612382.2400000009</v>
      </c>
    </row>
    <row r="44" spans="3:43">
      <c r="C44" t="s">
        <v>1623</v>
      </c>
      <c r="D44" s="1">
        <v>6974348</v>
      </c>
      <c r="J44" t="s">
        <v>169</v>
      </c>
      <c r="K44" s="22">
        <v>48</v>
      </c>
    </row>
    <row r="45" spans="3:43">
      <c r="J45" t="s">
        <v>39</v>
      </c>
      <c r="K45" s="22">
        <v>49</v>
      </c>
    </row>
    <row r="46" spans="3:43">
      <c r="J46" t="s">
        <v>206</v>
      </c>
      <c r="K46" s="22">
        <v>58</v>
      </c>
    </row>
    <row r="47" spans="3:43">
      <c r="J47" t="s">
        <v>62</v>
      </c>
      <c r="K47" s="22">
        <v>47</v>
      </c>
    </row>
    <row r="48" spans="3:43">
      <c r="J48" t="s">
        <v>261</v>
      </c>
      <c r="K48" s="22">
        <v>48</v>
      </c>
    </row>
    <row r="49" spans="10:11">
      <c r="J49" t="s">
        <v>120</v>
      </c>
      <c r="K49" s="22">
        <v>53</v>
      </c>
    </row>
    <row r="50" spans="10:11">
      <c r="J50" t="s">
        <v>31</v>
      </c>
      <c r="K50" s="22">
        <v>44</v>
      </c>
    </row>
    <row r="51" spans="10:11">
      <c r="J51" t="s">
        <v>131</v>
      </c>
      <c r="K51" s="22">
        <v>48</v>
      </c>
    </row>
    <row r="52" spans="10:11">
      <c r="J52" t="s">
        <v>77</v>
      </c>
      <c r="K52" s="22">
        <v>55</v>
      </c>
    </row>
    <row r="53" spans="10:11">
      <c r="J53" t="s">
        <v>173</v>
      </c>
      <c r="K53" s="22">
        <v>56</v>
      </c>
    </row>
    <row r="54" spans="10:11">
      <c r="J54" t="s">
        <v>127</v>
      </c>
      <c r="K54" s="22">
        <v>42</v>
      </c>
    </row>
    <row r="55" spans="10:11">
      <c r="J55" t="s">
        <v>24</v>
      </c>
      <c r="K55" s="22">
        <v>43</v>
      </c>
    </row>
    <row r="56" spans="10:11">
      <c r="J56" t="s">
        <v>55</v>
      </c>
      <c r="K56" s="22">
        <v>50</v>
      </c>
    </row>
    <row r="57" spans="10:11">
      <c r="J57" t="s">
        <v>229</v>
      </c>
      <c r="K57" s="22">
        <v>54</v>
      </c>
    </row>
    <row r="58" spans="10:11">
      <c r="J58" t="s">
        <v>104</v>
      </c>
      <c r="K58" s="22">
        <v>57</v>
      </c>
    </row>
    <row r="59" spans="10:11">
      <c r="J59" t="s">
        <v>1623</v>
      </c>
      <c r="K59" s="22">
        <v>1000</v>
      </c>
    </row>
  </sheetData>
  <mergeCells count="11">
    <mergeCell ref="T37:U37"/>
    <mergeCell ref="C37:D37"/>
    <mergeCell ref="J37:K37"/>
    <mergeCell ref="N37:O37"/>
    <mergeCell ref="C2:D2"/>
    <mergeCell ref="J2:K2"/>
    <mergeCell ref="AO2:AQ2"/>
    <mergeCell ref="Q2:R2"/>
    <mergeCell ref="W2:X2"/>
    <mergeCell ref="AC2:AD2"/>
    <mergeCell ref="AJ2:AK2"/>
  </mergeCells>
  <pageMargins left="0.7" right="0.7" top="0.75" bottom="0.75" header="0.3" footer="0.3"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BFC6-4FB3-414E-871F-F0769D228980}">
  <dimension ref="A1:K1001"/>
  <sheetViews>
    <sheetView tabSelected="1" workbookViewId="0">
      <selection activeCell="L1" sqref="L1"/>
    </sheetView>
  </sheetViews>
  <sheetFormatPr defaultRowHeight="15"/>
  <cols>
    <col min="1" max="1" width="16.28515625" bestFit="1" customWidth="1"/>
    <col min="2" max="3" width="11.85546875" style="2" bestFit="1" customWidth="1"/>
    <col min="4" max="4" width="9.140625" style="28"/>
    <col min="5" max="5" width="12.42578125" bestFit="1" customWidth="1"/>
    <col min="6" max="6" width="14" bestFit="1" customWidth="1"/>
    <col min="7" max="7" width="15.42578125" bestFit="1" customWidth="1"/>
    <col min="8" max="9" width="11.42578125" bestFit="1" customWidth="1"/>
    <col min="10" max="10" width="12.140625" bestFit="1" customWidth="1"/>
    <col min="11" max="11" width="27.28515625" bestFit="1" customWidth="1"/>
  </cols>
  <sheetData>
    <row r="1" spans="1:11">
      <c r="A1" s="30" t="s">
        <v>0</v>
      </c>
      <c r="B1" s="31" t="s">
        <v>1635</v>
      </c>
      <c r="C1" s="31" t="s">
        <v>14</v>
      </c>
      <c r="D1" s="32" t="s">
        <v>13</v>
      </c>
      <c r="E1" s="30" t="s">
        <v>1636</v>
      </c>
      <c r="F1" s="30" t="s">
        <v>1637</v>
      </c>
      <c r="G1" s="30" t="s">
        <v>4</v>
      </c>
      <c r="H1" s="30" t="s">
        <v>1</v>
      </c>
      <c r="I1" s="30" t="s">
        <v>2</v>
      </c>
      <c r="J1" s="30" t="s">
        <v>1638</v>
      </c>
      <c r="K1" s="33" t="s">
        <v>1639</v>
      </c>
    </row>
    <row r="2" spans="1:11">
      <c r="A2" t="str" cm="1">
        <f t="array" ref="A2:A1001">DataSet!A2:A1001</f>
        <v>ORD-2025-00001</v>
      </c>
      <c r="B2" s="2" cm="1">
        <f t="array" ref="B2:B1001">DataSet!L2:L1001</f>
        <v>26000</v>
      </c>
      <c r="C2" s="2" cm="1">
        <f t="array" ref="C2:C1001">DataSet!O2:O1001</f>
        <v>4901.45</v>
      </c>
      <c r="D2" s="28" cm="1">
        <f t="array" ref="D2:D1001">DataSet!N2:N1001</f>
        <v>0</v>
      </c>
      <c r="E2" t="str">
        <f>IF(C2&gt;200,"Profit","Loss")</f>
        <v>Profit</v>
      </c>
      <c r="F2" t="str">
        <f>IF(B2&gt;6000,"High",IF(B2&gt;=3000,"Medium",IF(B2&lt;3000,"Low")))</f>
        <v>High</v>
      </c>
      <c r="G2" t="str">
        <f>VLOOKUP(A2,DataSet!$1:$1048576,5,FALSE)</f>
        <v>Kiara Shah</v>
      </c>
      <c r="H2" s="29">
        <f>INDEX(DataSet!B:B,MATCH('Advanced  Formulas'!A2,DataSet!A:A,0))</f>
        <v>45946</v>
      </c>
      <c r="I2" s="29">
        <f>INDEX(DataSet!C:C,MATCH('Advanced  Formulas'!A2,DataSet!A:A,0))</f>
        <v>45947</v>
      </c>
      <c r="J2" t="str">
        <f>IF(AND(B2&gt;3000,C2&gt;0),"Good Order","Review")</f>
        <v>Good Order</v>
      </c>
      <c r="K2" s="10" t="str">
        <f>CONCATENATE(DataSet!E2,"-",DataSet!G2)</f>
        <v>Kiara Shah-Bhavnagar</v>
      </c>
    </row>
    <row r="3" spans="1:11">
      <c r="A3" t="str">
        <v>ORD-2024-00002</v>
      </c>
      <c r="B3" s="2">
        <v>102</v>
      </c>
      <c r="C3" s="2">
        <v>31.19</v>
      </c>
      <c r="D3" s="28">
        <v>0.15</v>
      </c>
      <c r="E3" t="str">
        <f t="shared" ref="E3:E66" si="0">IF(C3&gt;200,"Profit","Loss")</f>
        <v>Loss</v>
      </c>
      <c r="F3" t="str">
        <f t="shared" ref="F3:F66" si="1">IF(B3&gt;6000,"High",IF(B3&gt;=3000,"Medium",IF(B3&lt;3000,"Low")))</f>
        <v>Low</v>
      </c>
      <c r="G3" t="str">
        <f>VLOOKUP(A3,DataSet!$1:$1048576,5,FALSE)</f>
        <v>Kiara Panjwani</v>
      </c>
      <c r="H3" s="29">
        <f>INDEX(DataSet!B:B,MATCH('Advanced  Formulas'!A3,DataSet!A:A,0))</f>
        <v>45324</v>
      </c>
      <c r="I3" s="29">
        <f>INDEX(DataSet!C:C,MATCH('Advanced  Formulas'!A3,DataSet!A:A,0))</f>
        <v>45948</v>
      </c>
      <c r="J3" t="str">
        <f t="shared" ref="J3:J66" si="2">IF(AND(B3&gt;3000,C3&gt;0),"Good Order","Review")</f>
        <v>Review</v>
      </c>
      <c r="K3" s="10" t="str">
        <f>CONCATENATE(DataSet!E3,"-",DataSet!G3)</f>
        <v>Kiara Panjwani-Bhavnagar</v>
      </c>
    </row>
    <row r="4" spans="1:11">
      <c r="A4" t="str">
        <v>ORD-2025-00003</v>
      </c>
      <c r="B4" s="2">
        <v>6317.5</v>
      </c>
      <c r="C4" s="2">
        <v>1896.85</v>
      </c>
      <c r="D4" s="28">
        <v>0.05</v>
      </c>
      <c r="E4" t="str">
        <f t="shared" si="0"/>
        <v>Profit</v>
      </c>
      <c r="F4" t="str">
        <f t="shared" si="1"/>
        <v>High</v>
      </c>
      <c r="G4" t="str">
        <f>VLOOKUP(A4,DataSet!$1:$1048576,5,FALSE)</f>
        <v>Aditya Shah</v>
      </c>
      <c r="H4" s="29">
        <f>INDEX(DataSet!B:B,MATCH('Advanced  Formulas'!A4,DataSet!A:A,0))</f>
        <v>45895</v>
      </c>
      <c r="I4" s="29">
        <f>INDEX(DataSet!C:C,MATCH('Advanced  Formulas'!A4,DataSet!A:A,0))</f>
        <v>45949</v>
      </c>
      <c r="J4" t="str">
        <f t="shared" si="2"/>
        <v>Good Order</v>
      </c>
      <c r="K4" s="10" t="str">
        <f>CONCATENATE(DataSet!E4,"-",DataSet!G4)</f>
        <v>Aditya Shah-Hyderabad</v>
      </c>
    </row>
    <row r="5" spans="1:11">
      <c r="A5" t="str">
        <v>ORD-2024-00004</v>
      </c>
      <c r="B5" s="2">
        <v>15500</v>
      </c>
      <c r="C5" s="2">
        <v>2949.18</v>
      </c>
      <c r="D5" s="28">
        <v>0</v>
      </c>
      <c r="E5" t="str">
        <f t="shared" si="0"/>
        <v>Profit</v>
      </c>
      <c r="F5" t="str">
        <f t="shared" si="1"/>
        <v>High</v>
      </c>
      <c r="G5" t="str">
        <f>VLOOKUP(A5,DataSet!$1:$1048576,5,FALSE)</f>
        <v>Anaya Sheikh</v>
      </c>
      <c r="H5" s="29">
        <f>INDEX(DataSet!B:B,MATCH('Advanced  Formulas'!A5,DataSet!A:A,0))</f>
        <v>45391</v>
      </c>
      <c r="I5" s="29">
        <f>INDEX(DataSet!C:C,MATCH('Advanced  Formulas'!A5,DataSet!A:A,0))</f>
        <v>45950</v>
      </c>
      <c r="J5" t="str">
        <f t="shared" si="2"/>
        <v>Good Order</v>
      </c>
      <c r="K5" s="10" t="str">
        <f>CONCATENATE(DataSet!E5,"-",DataSet!G5)</f>
        <v>Anaya Sheikh-Kolkata</v>
      </c>
    </row>
    <row r="6" spans="1:11">
      <c r="A6" t="str">
        <v>ORD-2025-00005</v>
      </c>
      <c r="B6" s="2">
        <v>9920</v>
      </c>
      <c r="C6" s="2">
        <v>3292.6</v>
      </c>
      <c r="D6" s="28">
        <v>0.2</v>
      </c>
      <c r="E6" t="str">
        <f t="shared" si="0"/>
        <v>Profit</v>
      </c>
      <c r="F6" t="str">
        <f t="shared" si="1"/>
        <v>High</v>
      </c>
      <c r="G6" t="str">
        <f>VLOOKUP(A6,DataSet!$1:$1048576,5,FALSE)</f>
        <v>Myra Iyer</v>
      </c>
      <c r="H6" s="29">
        <f>INDEX(DataSet!B:B,MATCH('Advanced  Formulas'!A6,DataSet!A:A,0))</f>
        <v>45857</v>
      </c>
      <c r="I6" s="29">
        <f>INDEX(DataSet!C:C,MATCH('Advanced  Formulas'!A6,DataSet!A:A,0))</f>
        <v>45951</v>
      </c>
      <c r="J6" t="str">
        <f t="shared" si="2"/>
        <v>Good Order</v>
      </c>
      <c r="K6" s="10" t="str">
        <f>CONCATENATE(DataSet!E6,"-",DataSet!G6)</f>
        <v>Myra Iyer-Kolkata</v>
      </c>
    </row>
    <row r="7" spans="1:11">
      <c r="A7" t="str">
        <v>ORD-2026-00006</v>
      </c>
      <c r="B7" s="2">
        <v>2475</v>
      </c>
      <c r="C7" s="2">
        <v>494.31</v>
      </c>
      <c r="D7" s="28">
        <v>0.1</v>
      </c>
      <c r="E7" t="str">
        <f t="shared" si="0"/>
        <v>Profit</v>
      </c>
      <c r="F7" t="str">
        <f t="shared" si="1"/>
        <v>Low</v>
      </c>
      <c r="G7" t="str">
        <f>VLOOKUP(A7,DataSet!$1:$1048576,5,FALSE)</f>
        <v>Isha Trivedi</v>
      </c>
      <c r="H7" s="29">
        <f>INDEX(DataSet!B:B,MATCH('Advanced  Formulas'!A7,DataSet!A:A,0))</f>
        <v>46167</v>
      </c>
      <c r="I7" s="29">
        <f>INDEX(DataSet!C:C,MATCH('Advanced  Formulas'!A7,DataSet!A:A,0))</f>
        <v>45952</v>
      </c>
      <c r="J7" t="str">
        <f t="shared" si="2"/>
        <v>Review</v>
      </c>
      <c r="K7" s="10" t="str">
        <f>CONCATENATE(DataSet!E7,"-",DataSet!G7)</f>
        <v>Isha Trivedi-Kolkata</v>
      </c>
    </row>
    <row r="8" spans="1:11">
      <c r="A8" t="str">
        <v>ORD-2025-00007</v>
      </c>
      <c r="B8" s="2">
        <v>21675</v>
      </c>
      <c r="C8" s="2">
        <v>3639.82</v>
      </c>
      <c r="D8" s="28">
        <v>0.15</v>
      </c>
      <c r="E8" t="str">
        <f t="shared" si="0"/>
        <v>Profit</v>
      </c>
      <c r="F8" t="str">
        <f t="shared" si="1"/>
        <v>High</v>
      </c>
      <c r="G8" t="str">
        <f>VLOOKUP(A8,DataSet!$1:$1048576,5,FALSE)</f>
        <v>Rohan Panjwani</v>
      </c>
      <c r="H8" s="29">
        <f>INDEX(DataSet!B:B,MATCH('Advanced  Formulas'!A8,DataSet!A:A,0))</f>
        <v>45978</v>
      </c>
      <c r="I8" s="29">
        <f>INDEX(DataSet!C:C,MATCH('Advanced  Formulas'!A8,DataSet!A:A,0))</f>
        <v>45953</v>
      </c>
      <c r="J8" t="str">
        <f t="shared" si="2"/>
        <v>Good Order</v>
      </c>
      <c r="K8" s="10" t="str">
        <f>CONCATENATE(DataSet!E8,"-",DataSet!G8)</f>
        <v>Rohan Panjwani-Chennai</v>
      </c>
    </row>
    <row r="9" spans="1:11">
      <c r="A9" t="str">
        <v>ORD-2024-00008</v>
      </c>
      <c r="B9" s="2">
        <v>902.5</v>
      </c>
      <c r="C9" s="2">
        <v>242.05</v>
      </c>
      <c r="D9" s="28">
        <v>0.05</v>
      </c>
      <c r="E9" t="str">
        <f t="shared" si="0"/>
        <v>Profit</v>
      </c>
      <c r="F9" t="str">
        <f t="shared" si="1"/>
        <v>Low</v>
      </c>
      <c r="G9" t="str">
        <f>VLOOKUP(A9,DataSet!$1:$1048576,5,FALSE)</f>
        <v>Reyansh Sheikh</v>
      </c>
      <c r="H9" s="29">
        <f>INDEX(DataSet!B:B,MATCH('Advanced  Formulas'!A9,DataSet!A:A,0))</f>
        <v>45516</v>
      </c>
      <c r="I9" s="29">
        <f>INDEX(DataSet!C:C,MATCH('Advanced  Formulas'!A9,DataSet!A:A,0))</f>
        <v>45954</v>
      </c>
      <c r="J9" t="str">
        <f t="shared" si="2"/>
        <v>Review</v>
      </c>
      <c r="K9" s="10" t="str">
        <f>CONCATENATE(DataSet!E9,"-",DataSet!G9)</f>
        <v>Reyansh Sheikh-Mumbai</v>
      </c>
    </row>
    <row r="10" spans="1:11">
      <c r="A10" t="str">
        <v>ORD-2024-00009</v>
      </c>
      <c r="B10" s="2">
        <v>4560</v>
      </c>
      <c r="C10" s="2">
        <v>1533.05</v>
      </c>
      <c r="D10" s="28">
        <v>0.05</v>
      </c>
      <c r="E10" t="str">
        <f t="shared" si="0"/>
        <v>Profit</v>
      </c>
      <c r="F10" t="str">
        <f t="shared" si="1"/>
        <v>Medium</v>
      </c>
      <c r="G10" t="str">
        <f>VLOOKUP(A10,DataSet!$1:$1048576,5,FALSE)</f>
        <v>Kiara Soni</v>
      </c>
      <c r="H10" s="29">
        <f>INDEX(DataSet!B:B,MATCH('Advanced  Formulas'!A10,DataSet!A:A,0))</f>
        <v>45509</v>
      </c>
      <c r="I10" s="29">
        <f>INDEX(DataSet!C:C,MATCH('Advanced  Formulas'!A10,DataSet!A:A,0))</f>
        <v>45955</v>
      </c>
      <c r="J10" t="str">
        <f t="shared" si="2"/>
        <v>Good Order</v>
      </c>
      <c r="K10" s="10" t="str">
        <f>CONCATENATE(DataSet!E10,"-",DataSet!G10)</f>
        <v>Kiara Soni-Jaipur</v>
      </c>
    </row>
    <row r="11" spans="1:11">
      <c r="A11" t="str">
        <v>ORD-2025-00010</v>
      </c>
      <c r="B11" s="2">
        <v>16575</v>
      </c>
      <c r="C11" s="2">
        <v>3798.76</v>
      </c>
      <c r="D11" s="28">
        <v>0.15</v>
      </c>
      <c r="E11" t="str">
        <f t="shared" si="0"/>
        <v>Profit</v>
      </c>
      <c r="F11" t="str">
        <f t="shared" si="1"/>
        <v>High</v>
      </c>
      <c r="G11" t="str">
        <f>VLOOKUP(A11,DataSet!$1:$1048576,5,FALSE)</f>
        <v>Diya Rao</v>
      </c>
      <c r="H11" s="29">
        <f>INDEX(DataSet!B:B,MATCH('Advanced  Formulas'!A11,DataSet!A:A,0))</f>
        <v>45730</v>
      </c>
      <c r="I11" s="29">
        <f>INDEX(DataSet!C:C,MATCH('Advanced  Formulas'!A11,DataSet!A:A,0))</f>
        <v>45956</v>
      </c>
      <c r="J11" t="str">
        <f t="shared" si="2"/>
        <v>Good Order</v>
      </c>
      <c r="K11" s="10" t="str">
        <f>CONCATENATE(DataSet!E11,"-",DataSet!G11)</f>
        <v>Diya Rao-Pune</v>
      </c>
    </row>
    <row r="12" spans="1:11">
      <c r="A12" t="str">
        <v>ORD-2025-00011</v>
      </c>
      <c r="B12" s="2">
        <v>396</v>
      </c>
      <c r="C12" s="2">
        <v>105.25</v>
      </c>
      <c r="D12" s="28">
        <v>0.1</v>
      </c>
      <c r="E12" t="str">
        <f t="shared" si="0"/>
        <v>Loss</v>
      </c>
      <c r="F12" t="str">
        <f t="shared" si="1"/>
        <v>Low</v>
      </c>
      <c r="G12" t="str">
        <f>VLOOKUP(A12,DataSet!$1:$1048576,5,FALSE)</f>
        <v>Dev Joshi</v>
      </c>
      <c r="H12" s="29">
        <f>INDEX(DataSet!B:B,MATCH('Advanced  Formulas'!A12,DataSet!A:A,0))</f>
        <v>45934</v>
      </c>
      <c r="I12" s="29">
        <f>INDEX(DataSet!C:C,MATCH('Advanced  Formulas'!A12,DataSet!A:A,0))</f>
        <v>45957</v>
      </c>
      <c r="J12" t="str">
        <f t="shared" si="2"/>
        <v>Review</v>
      </c>
      <c r="K12" s="10" t="str">
        <f>CONCATENATE(DataSet!E12,"-",DataSet!G12)</f>
        <v>Dev Joshi-Hyderabad</v>
      </c>
    </row>
    <row r="13" spans="1:11">
      <c r="A13" t="str">
        <v>ORD-2025-00012</v>
      </c>
      <c r="B13" s="2">
        <v>5320</v>
      </c>
      <c r="C13" s="2">
        <v>1380.33</v>
      </c>
      <c r="D13" s="28">
        <v>0.05</v>
      </c>
      <c r="E13" t="str">
        <f t="shared" si="0"/>
        <v>Profit</v>
      </c>
      <c r="F13" t="str">
        <f t="shared" si="1"/>
        <v>Medium</v>
      </c>
      <c r="G13" t="str">
        <f>VLOOKUP(A13,DataSet!$1:$1048576,5,FALSE)</f>
        <v>Aarav Verma</v>
      </c>
      <c r="H13" s="29">
        <f>INDEX(DataSet!B:B,MATCH('Advanced  Formulas'!A13,DataSet!A:A,0))</f>
        <v>45988</v>
      </c>
      <c r="I13" s="29">
        <f>INDEX(DataSet!C:C,MATCH('Advanced  Formulas'!A13,DataSet!A:A,0))</f>
        <v>45958</v>
      </c>
      <c r="J13" t="str">
        <f t="shared" si="2"/>
        <v>Good Order</v>
      </c>
      <c r="K13" s="10" t="str">
        <f>CONCATENATE(DataSet!E13,"-",DataSet!G13)</f>
        <v>Aarav Verma-Bhavnagar</v>
      </c>
    </row>
    <row r="14" spans="1:11">
      <c r="A14" t="str">
        <v>ORD-2026-00013</v>
      </c>
      <c r="B14" s="2">
        <v>144</v>
      </c>
      <c r="C14" s="2">
        <v>39.229999999999997</v>
      </c>
      <c r="D14" s="28">
        <v>0.2</v>
      </c>
      <c r="E14" t="str">
        <f t="shared" si="0"/>
        <v>Loss</v>
      </c>
      <c r="F14" t="str">
        <f t="shared" si="1"/>
        <v>Low</v>
      </c>
      <c r="G14" t="str">
        <f>VLOOKUP(A14,DataSet!$1:$1048576,5,FALSE)</f>
        <v>Dev Dave</v>
      </c>
      <c r="H14" s="29">
        <f>INDEX(DataSet!B:B,MATCH('Advanced  Formulas'!A14,DataSet!A:A,0))</f>
        <v>46287</v>
      </c>
      <c r="I14" s="29">
        <f>INDEX(DataSet!C:C,MATCH('Advanced  Formulas'!A14,DataSet!A:A,0))</f>
        <v>45959</v>
      </c>
      <c r="J14" t="str">
        <f t="shared" si="2"/>
        <v>Review</v>
      </c>
      <c r="K14" s="10" t="str">
        <f>CONCATENATE(DataSet!E14,"-",DataSet!G14)</f>
        <v>Dev Dave-Hyderabad</v>
      </c>
    </row>
    <row r="15" spans="1:11">
      <c r="A15" t="str">
        <v>ORD-2025-00014</v>
      </c>
      <c r="B15" s="2">
        <v>45900</v>
      </c>
      <c r="C15" s="2">
        <v>16521.060000000001</v>
      </c>
      <c r="D15" s="28">
        <v>0.1</v>
      </c>
      <c r="E15" t="str">
        <f t="shared" si="0"/>
        <v>Profit</v>
      </c>
      <c r="F15" t="str">
        <f t="shared" si="1"/>
        <v>High</v>
      </c>
      <c r="G15" t="str">
        <f>VLOOKUP(A15,DataSet!$1:$1048576,5,FALSE)</f>
        <v>Zoya Sheikh</v>
      </c>
      <c r="H15" s="29">
        <f>INDEX(DataSet!B:B,MATCH('Advanced  Formulas'!A15,DataSet!A:A,0))</f>
        <v>45674</v>
      </c>
      <c r="I15" s="29">
        <f>INDEX(DataSet!C:C,MATCH('Advanced  Formulas'!A15,DataSet!A:A,0))</f>
        <v>45960</v>
      </c>
      <c r="J15" t="str">
        <f t="shared" si="2"/>
        <v>Good Order</v>
      </c>
      <c r="K15" s="10" t="str">
        <f>CONCATENATE(DataSet!E15,"-",DataSet!G15)</f>
        <v>Zoya Sheikh-Surat</v>
      </c>
    </row>
    <row r="16" spans="1:11">
      <c r="A16" t="str">
        <v>ORD-2024-00015</v>
      </c>
      <c r="B16" s="2">
        <v>5200</v>
      </c>
      <c r="C16" s="2">
        <v>653.76</v>
      </c>
      <c r="D16" s="28">
        <v>0</v>
      </c>
      <c r="E16" t="str">
        <f t="shared" si="0"/>
        <v>Profit</v>
      </c>
      <c r="F16" t="str">
        <f t="shared" si="1"/>
        <v>Medium</v>
      </c>
      <c r="G16" t="str">
        <f>VLOOKUP(A16,DataSet!$1:$1048576,5,FALSE)</f>
        <v>Vivaan Mehta</v>
      </c>
      <c r="H16" s="29">
        <f>INDEX(DataSet!B:B,MATCH('Advanced  Formulas'!A16,DataSet!A:A,0))</f>
        <v>45351</v>
      </c>
      <c r="I16" s="29">
        <f>INDEX(DataSet!C:C,MATCH('Advanced  Formulas'!A16,DataSet!A:A,0))</f>
        <v>45961</v>
      </c>
      <c r="J16" t="str">
        <f t="shared" si="2"/>
        <v>Good Order</v>
      </c>
      <c r="K16" s="10" t="str">
        <f>CONCATENATE(DataSet!E16,"-",DataSet!G16)</f>
        <v>Vivaan Mehta-Indore</v>
      </c>
    </row>
    <row r="17" spans="1:11">
      <c r="A17" t="str">
        <v>ORD-2026-00016</v>
      </c>
      <c r="B17" s="2">
        <v>21700</v>
      </c>
      <c r="C17" s="2">
        <v>3005.07</v>
      </c>
      <c r="D17" s="28">
        <v>0</v>
      </c>
      <c r="E17" t="str">
        <f t="shared" si="0"/>
        <v>Profit</v>
      </c>
      <c r="F17" t="str">
        <f t="shared" si="1"/>
        <v>High</v>
      </c>
      <c r="G17" t="str">
        <f>VLOOKUP(A17,DataSet!$1:$1048576,5,FALSE)</f>
        <v>Reyansh Verma</v>
      </c>
      <c r="H17" s="29">
        <f>INDEX(DataSet!B:B,MATCH('Advanced  Formulas'!A17,DataSet!A:A,0))</f>
        <v>46261</v>
      </c>
      <c r="I17" s="29">
        <f>INDEX(DataSet!C:C,MATCH('Advanced  Formulas'!A17,DataSet!A:A,0))</f>
        <v>45962</v>
      </c>
      <c r="J17" t="str">
        <f t="shared" si="2"/>
        <v>Good Order</v>
      </c>
      <c r="K17" s="10" t="str">
        <f>CONCATENATE(DataSet!E17,"-",DataSet!G17)</f>
        <v>Reyansh Verma-Surat</v>
      </c>
    </row>
    <row r="18" spans="1:11">
      <c r="A18" t="str">
        <v>ORD-2025-00017</v>
      </c>
      <c r="B18" s="2">
        <v>1760</v>
      </c>
      <c r="C18" s="2">
        <v>555.36</v>
      </c>
      <c r="D18" s="28">
        <v>0</v>
      </c>
      <c r="E18" t="str">
        <f t="shared" si="0"/>
        <v>Profit</v>
      </c>
      <c r="F18" t="str">
        <f t="shared" si="1"/>
        <v>Low</v>
      </c>
      <c r="G18" t="str">
        <f>VLOOKUP(A18,DataSet!$1:$1048576,5,FALSE)</f>
        <v>Aditya Patel</v>
      </c>
      <c r="H18" s="29">
        <f>INDEX(DataSet!B:B,MATCH('Advanced  Formulas'!A18,DataSet!A:A,0))</f>
        <v>45979</v>
      </c>
      <c r="I18" s="29">
        <f>INDEX(DataSet!C:C,MATCH('Advanced  Formulas'!A18,DataSet!A:A,0))</f>
        <v>45963</v>
      </c>
      <c r="J18" t="str">
        <f t="shared" si="2"/>
        <v>Review</v>
      </c>
      <c r="K18" s="10" t="str">
        <f>CONCATENATE(DataSet!E18,"-",DataSet!G18)</f>
        <v>Aditya Patel-Mumbai</v>
      </c>
    </row>
    <row r="19" spans="1:11">
      <c r="A19" t="str">
        <v>ORD-2024-00018</v>
      </c>
      <c r="B19" s="2">
        <v>650</v>
      </c>
      <c r="C19" s="2">
        <v>235.61</v>
      </c>
      <c r="D19" s="28">
        <v>0</v>
      </c>
      <c r="E19" t="str">
        <f t="shared" si="0"/>
        <v>Profit</v>
      </c>
      <c r="F19" t="str">
        <f t="shared" si="1"/>
        <v>Low</v>
      </c>
      <c r="G19" t="str">
        <f>VLOOKUP(A19,DataSet!$1:$1048576,5,FALSE)</f>
        <v>Aditya Shah</v>
      </c>
      <c r="H19" s="29">
        <f>INDEX(DataSet!B:B,MATCH('Advanced  Formulas'!A19,DataSet!A:A,0))</f>
        <v>45527</v>
      </c>
      <c r="I19" s="29">
        <f>INDEX(DataSet!C:C,MATCH('Advanced  Formulas'!A19,DataSet!A:A,0))</f>
        <v>45964</v>
      </c>
      <c r="J19" t="str">
        <f t="shared" si="2"/>
        <v>Review</v>
      </c>
      <c r="K19" s="10" t="str">
        <f>CONCATENATE(DataSet!E19,"-",DataSet!G19)</f>
        <v>Aditya Shah-Vadodara</v>
      </c>
    </row>
    <row r="20" spans="1:11">
      <c r="A20" t="str">
        <v>ORD-2024-00019</v>
      </c>
      <c r="B20" s="2">
        <v>216</v>
      </c>
      <c r="C20" s="2">
        <v>23.06</v>
      </c>
      <c r="D20" s="28">
        <v>0.2</v>
      </c>
      <c r="E20" t="str">
        <f t="shared" si="0"/>
        <v>Loss</v>
      </c>
      <c r="F20" t="str">
        <f t="shared" si="1"/>
        <v>Low</v>
      </c>
      <c r="G20" t="str">
        <f>VLOOKUP(A20,DataSet!$1:$1048576,5,FALSE)</f>
        <v>Yusuf Khan</v>
      </c>
      <c r="H20" s="29">
        <f>INDEX(DataSet!B:B,MATCH('Advanced  Formulas'!A20,DataSet!A:A,0))</f>
        <v>45577</v>
      </c>
      <c r="I20" s="29">
        <f>INDEX(DataSet!C:C,MATCH('Advanced  Formulas'!A20,DataSet!A:A,0))</f>
        <v>45965</v>
      </c>
      <c r="J20" t="str">
        <f t="shared" si="2"/>
        <v>Review</v>
      </c>
      <c r="K20" s="10" t="str">
        <f>CONCATENATE(DataSet!E20,"-",DataSet!G20)</f>
        <v>Yusuf Khan-Jaipur</v>
      </c>
    </row>
    <row r="21" spans="1:11">
      <c r="A21" t="str">
        <v>ORD-2026-00020</v>
      </c>
      <c r="B21" s="2">
        <v>4322.5</v>
      </c>
      <c r="C21" s="2">
        <v>1134.0899999999999</v>
      </c>
      <c r="D21" s="28">
        <v>0.05</v>
      </c>
      <c r="E21" t="str">
        <f t="shared" si="0"/>
        <v>Profit</v>
      </c>
      <c r="F21" t="str">
        <f t="shared" si="1"/>
        <v>Medium</v>
      </c>
      <c r="G21" t="str">
        <f>VLOOKUP(A21,DataSet!$1:$1048576,5,FALSE)</f>
        <v>Diya Kapoor</v>
      </c>
      <c r="H21" s="29">
        <f>INDEX(DataSet!B:B,MATCH('Advanced  Formulas'!A21,DataSet!A:A,0))</f>
        <v>46118</v>
      </c>
      <c r="I21" s="29">
        <f>INDEX(DataSet!C:C,MATCH('Advanced  Formulas'!A21,DataSet!A:A,0))</f>
        <v>45966</v>
      </c>
      <c r="J21" t="str">
        <f t="shared" si="2"/>
        <v>Good Order</v>
      </c>
      <c r="K21" s="10" t="str">
        <f>CONCATENATE(DataSet!E21,"-",DataSet!G21)</f>
        <v>Diya Kapoor-Vadodara</v>
      </c>
    </row>
    <row r="22" spans="1:11">
      <c r="A22" t="str">
        <v>ORD-2024-00021</v>
      </c>
      <c r="B22" s="2">
        <v>16800</v>
      </c>
      <c r="C22" s="2">
        <v>5553.17</v>
      </c>
      <c r="D22" s="28">
        <v>0</v>
      </c>
      <c r="E22" t="str">
        <f t="shared" si="0"/>
        <v>Profit</v>
      </c>
      <c r="F22" t="str">
        <f t="shared" si="1"/>
        <v>High</v>
      </c>
      <c r="G22" t="str">
        <f>VLOOKUP(A22,DataSet!$1:$1048576,5,FALSE)</f>
        <v>Vivaan Panjwani</v>
      </c>
      <c r="H22" s="29">
        <f>INDEX(DataSet!B:B,MATCH('Advanced  Formulas'!A22,DataSet!A:A,0))</f>
        <v>45354</v>
      </c>
      <c r="I22" s="29">
        <f>INDEX(DataSet!C:C,MATCH('Advanced  Formulas'!A22,DataSet!A:A,0))</f>
        <v>45967</v>
      </c>
      <c r="J22" t="str">
        <f t="shared" si="2"/>
        <v>Good Order</v>
      </c>
      <c r="K22" s="10" t="str">
        <f>CONCATENATE(DataSet!E22,"-",DataSet!G22)</f>
        <v>Vivaan Panjwani-Chennai</v>
      </c>
    </row>
    <row r="23" spans="1:11">
      <c r="A23" t="str">
        <v>ORD-2025-00022</v>
      </c>
      <c r="B23" s="2">
        <v>1100</v>
      </c>
      <c r="C23" s="2">
        <v>231.49</v>
      </c>
      <c r="D23" s="28">
        <v>0</v>
      </c>
      <c r="E23" t="str">
        <f t="shared" si="0"/>
        <v>Profit</v>
      </c>
      <c r="F23" t="str">
        <f t="shared" si="1"/>
        <v>Low</v>
      </c>
      <c r="G23" t="str">
        <f>VLOOKUP(A23,DataSet!$1:$1048576,5,FALSE)</f>
        <v>Aarav Shah</v>
      </c>
      <c r="H23" s="29">
        <f>INDEX(DataSet!B:B,MATCH('Advanced  Formulas'!A23,DataSet!A:A,0))</f>
        <v>45765</v>
      </c>
      <c r="I23" s="29">
        <f>INDEX(DataSet!C:C,MATCH('Advanced  Formulas'!A23,DataSet!A:A,0))</f>
        <v>45968</v>
      </c>
      <c r="J23" t="str">
        <f t="shared" si="2"/>
        <v>Review</v>
      </c>
      <c r="K23" s="10" t="str">
        <f>CONCATENATE(DataSet!E23,"-",DataSet!G23)</f>
        <v>Aarav Shah-Kolkata</v>
      </c>
    </row>
    <row r="24" spans="1:11">
      <c r="A24" t="str">
        <v>ORD-2025-00023</v>
      </c>
      <c r="B24" s="2">
        <v>150</v>
      </c>
      <c r="C24" s="2">
        <v>42.22</v>
      </c>
      <c r="D24" s="28">
        <v>0</v>
      </c>
      <c r="E24" t="str">
        <f t="shared" si="0"/>
        <v>Loss</v>
      </c>
      <c r="F24" t="str">
        <f t="shared" si="1"/>
        <v>Low</v>
      </c>
      <c r="G24" t="str">
        <f>VLOOKUP(A24,DataSet!$1:$1048576,5,FALSE)</f>
        <v>Arjun Sheikh</v>
      </c>
      <c r="H24" s="29">
        <f>INDEX(DataSet!B:B,MATCH('Advanced  Formulas'!A24,DataSet!A:A,0))</f>
        <v>45708</v>
      </c>
      <c r="I24" s="29">
        <f>INDEX(DataSet!C:C,MATCH('Advanced  Formulas'!A24,DataSet!A:A,0))</f>
        <v>45969</v>
      </c>
      <c r="J24" t="str">
        <f t="shared" si="2"/>
        <v>Review</v>
      </c>
      <c r="K24" s="10" t="str">
        <f>CONCATENATE(DataSet!E24,"-",DataSet!G24)</f>
        <v>Arjun Sheikh-Jaipur</v>
      </c>
    </row>
    <row r="25" spans="1:11">
      <c r="A25" t="str">
        <v>ORD-2025-00024</v>
      </c>
      <c r="B25" s="2">
        <v>1330</v>
      </c>
      <c r="C25" s="2">
        <v>420.14</v>
      </c>
      <c r="D25" s="28">
        <v>0.05</v>
      </c>
      <c r="E25" t="str">
        <f t="shared" si="0"/>
        <v>Profit</v>
      </c>
      <c r="F25" t="str">
        <f t="shared" si="1"/>
        <v>Low</v>
      </c>
      <c r="G25" t="str">
        <f>VLOOKUP(A25,DataSet!$1:$1048576,5,FALSE)</f>
        <v>Yusuf Verma</v>
      </c>
      <c r="H25" s="29">
        <f>INDEX(DataSet!B:B,MATCH('Advanced  Formulas'!A25,DataSet!A:A,0))</f>
        <v>45725</v>
      </c>
      <c r="I25" s="29">
        <f>INDEX(DataSet!C:C,MATCH('Advanced  Formulas'!A25,DataSet!A:A,0))</f>
        <v>45970</v>
      </c>
      <c r="J25" t="str">
        <f t="shared" si="2"/>
        <v>Review</v>
      </c>
      <c r="K25" s="10" t="str">
        <f>CONCATENATE(DataSet!E25,"-",DataSet!G25)</f>
        <v>Yusuf Verma-Chennai</v>
      </c>
    </row>
    <row r="26" spans="1:11">
      <c r="A26" t="str">
        <v>ORD-2026-00025</v>
      </c>
      <c r="B26" s="2">
        <v>57800</v>
      </c>
      <c r="C26" s="2">
        <v>6846.95</v>
      </c>
      <c r="D26" s="28">
        <v>0.15</v>
      </c>
      <c r="E26" t="str">
        <f t="shared" si="0"/>
        <v>Profit</v>
      </c>
      <c r="F26" t="str">
        <f t="shared" si="1"/>
        <v>High</v>
      </c>
      <c r="G26" t="str">
        <f>VLOOKUP(A26,DataSet!$1:$1048576,5,FALSE)</f>
        <v>Isha Patel</v>
      </c>
      <c r="H26" s="29">
        <f>INDEX(DataSet!B:B,MATCH('Advanced  Formulas'!A26,DataSet!A:A,0))</f>
        <v>46057</v>
      </c>
      <c r="I26" s="29">
        <f>INDEX(DataSet!C:C,MATCH('Advanced  Formulas'!A26,DataSet!A:A,0))</f>
        <v>45971</v>
      </c>
      <c r="J26" t="str">
        <f t="shared" si="2"/>
        <v>Good Order</v>
      </c>
      <c r="K26" s="10" t="str">
        <f>CONCATENATE(DataSet!E26,"-",DataSet!G26)</f>
        <v>Isha Patel-Ahmedabad</v>
      </c>
    </row>
    <row r="27" spans="1:11">
      <c r="A27" t="str">
        <v>ORD-2026-00026</v>
      </c>
      <c r="B27" s="2">
        <v>6650</v>
      </c>
      <c r="C27" s="2">
        <v>898.98</v>
      </c>
      <c r="D27" s="28">
        <v>0</v>
      </c>
      <c r="E27" t="str">
        <f t="shared" si="0"/>
        <v>Profit</v>
      </c>
      <c r="F27" t="str">
        <f t="shared" si="1"/>
        <v>High</v>
      </c>
      <c r="G27" t="str">
        <f>VLOOKUP(A27,DataSet!$1:$1048576,5,FALSE)</f>
        <v>Myra Dave</v>
      </c>
      <c r="H27" s="29">
        <f>INDEX(DataSet!B:B,MATCH('Advanced  Formulas'!A27,DataSet!A:A,0))</f>
        <v>46163</v>
      </c>
      <c r="I27" s="29">
        <f>INDEX(DataSet!C:C,MATCH('Advanced  Formulas'!A27,DataSet!A:A,0))</f>
        <v>45972</v>
      </c>
      <c r="J27" t="str">
        <f t="shared" si="2"/>
        <v>Good Order</v>
      </c>
      <c r="K27" s="10" t="str">
        <f>CONCATENATE(DataSet!E27,"-",DataSet!G27)</f>
        <v>Myra Dave-Bhavnagar</v>
      </c>
    </row>
    <row r="28" spans="1:11">
      <c r="A28" t="str">
        <v>ORD-2025-00027</v>
      </c>
      <c r="B28" s="2">
        <v>8960</v>
      </c>
      <c r="C28" s="2">
        <v>1467.56</v>
      </c>
      <c r="D28" s="28">
        <v>0.2</v>
      </c>
      <c r="E28" t="str">
        <f t="shared" si="0"/>
        <v>Profit</v>
      </c>
      <c r="F28" t="str">
        <f t="shared" si="1"/>
        <v>High</v>
      </c>
      <c r="G28" t="str">
        <f>VLOOKUP(A28,DataSet!$1:$1048576,5,FALSE)</f>
        <v>Arjun Panjwani</v>
      </c>
      <c r="H28" s="29">
        <f>INDEX(DataSet!B:B,MATCH('Advanced  Formulas'!A28,DataSet!A:A,0))</f>
        <v>45926</v>
      </c>
      <c r="I28" s="29">
        <f>INDEX(DataSet!C:C,MATCH('Advanced  Formulas'!A28,DataSet!A:A,0))</f>
        <v>45973</v>
      </c>
      <c r="J28" t="str">
        <f t="shared" si="2"/>
        <v>Good Order</v>
      </c>
      <c r="K28" s="10" t="str">
        <f>CONCATENATE(DataSet!E28,"-",DataSet!G28)</f>
        <v>Arjun Panjwani-Pune</v>
      </c>
    </row>
    <row r="29" spans="1:11">
      <c r="A29" t="str">
        <v>ORD-2025-00028</v>
      </c>
      <c r="B29" s="2">
        <v>4420</v>
      </c>
      <c r="C29" s="2">
        <v>432.73</v>
      </c>
      <c r="D29" s="28">
        <v>0.15</v>
      </c>
      <c r="E29" t="str">
        <f t="shared" si="0"/>
        <v>Profit</v>
      </c>
      <c r="F29" t="str">
        <f t="shared" si="1"/>
        <v>Medium</v>
      </c>
      <c r="G29" t="str">
        <f>VLOOKUP(A29,DataSet!$1:$1048576,5,FALSE)</f>
        <v>Kabir Soni</v>
      </c>
      <c r="H29" s="29">
        <f>INDEX(DataSet!B:B,MATCH('Advanced  Formulas'!A29,DataSet!A:A,0))</f>
        <v>45760</v>
      </c>
      <c r="I29" s="29">
        <f>INDEX(DataSet!C:C,MATCH('Advanced  Formulas'!A29,DataSet!A:A,0))</f>
        <v>45974</v>
      </c>
      <c r="J29" t="str">
        <f t="shared" si="2"/>
        <v>Good Order</v>
      </c>
      <c r="K29" s="10" t="str">
        <f>CONCATENATE(DataSet!E29,"-",DataSet!G29)</f>
        <v>Kabir Soni-Indore</v>
      </c>
    </row>
    <row r="30" spans="1:11">
      <c r="A30" t="str">
        <v>ORD-2024-00029</v>
      </c>
      <c r="B30" s="2">
        <v>15960</v>
      </c>
      <c r="C30" s="2">
        <v>4762.5200000000004</v>
      </c>
      <c r="D30" s="28">
        <v>0.05</v>
      </c>
      <c r="E30" t="str">
        <f t="shared" si="0"/>
        <v>Profit</v>
      </c>
      <c r="F30" t="str">
        <f t="shared" si="1"/>
        <v>High</v>
      </c>
      <c r="G30" t="str">
        <f>VLOOKUP(A30,DataSet!$1:$1048576,5,FALSE)</f>
        <v>Kiara Verma</v>
      </c>
      <c r="H30" s="29">
        <f>INDEX(DataSet!B:B,MATCH('Advanced  Formulas'!A30,DataSet!A:A,0))</f>
        <v>45563</v>
      </c>
      <c r="I30" s="29">
        <f>INDEX(DataSet!C:C,MATCH('Advanced  Formulas'!A30,DataSet!A:A,0))</f>
        <v>45975</v>
      </c>
      <c r="J30" t="str">
        <f t="shared" si="2"/>
        <v>Good Order</v>
      </c>
      <c r="K30" s="10" t="str">
        <f>CONCATENATE(DataSet!E30,"-",DataSet!G30)</f>
        <v>Kiara Verma-Indore</v>
      </c>
    </row>
    <row r="31" spans="1:11">
      <c r="A31" t="str">
        <v>ORD-2026-00030</v>
      </c>
      <c r="B31" s="2">
        <v>34000</v>
      </c>
      <c r="C31" s="2">
        <v>10984.3</v>
      </c>
      <c r="D31" s="28">
        <v>0.2</v>
      </c>
      <c r="E31" t="str">
        <f t="shared" si="0"/>
        <v>Profit</v>
      </c>
      <c r="F31" t="str">
        <f t="shared" si="1"/>
        <v>High</v>
      </c>
      <c r="G31" t="str">
        <f>VLOOKUP(A31,DataSet!$1:$1048576,5,FALSE)</f>
        <v>Vivaan Joshi</v>
      </c>
      <c r="H31" s="29">
        <f>INDEX(DataSet!B:B,MATCH('Advanced  Formulas'!A31,DataSet!A:A,0))</f>
        <v>46118</v>
      </c>
      <c r="I31" s="29">
        <f>INDEX(DataSet!C:C,MATCH('Advanced  Formulas'!A31,DataSet!A:A,0))</f>
        <v>45976</v>
      </c>
      <c r="J31" t="str">
        <f t="shared" si="2"/>
        <v>Good Order</v>
      </c>
      <c r="K31" s="10" t="str">
        <f>CONCATENATE(DataSet!E31,"-",DataSet!G31)</f>
        <v>Vivaan Joshi-Delhi</v>
      </c>
    </row>
    <row r="32" spans="1:11">
      <c r="A32" t="str">
        <v>ORD-2026-00031</v>
      </c>
      <c r="B32" s="2">
        <v>8960</v>
      </c>
      <c r="C32" s="2">
        <v>2337.23</v>
      </c>
      <c r="D32" s="28">
        <v>0.2</v>
      </c>
      <c r="E32" t="str">
        <f t="shared" si="0"/>
        <v>Profit</v>
      </c>
      <c r="F32" t="str">
        <f t="shared" si="1"/>
        <v>High</v>
      </c>
      <c r="G32" t="str">
        <f>VLOOKUP(A32,DataSet!$1:$1048576,5,FALSE)</f>
        <v>Arjun Soni</v>
      </c>
      <c r="H32" s="29">
        <f>INDEX(DataSet!B:B,MATCH('Advanced  Formulas'!A32,DataSet!A:A,0))</f>
        <v>46052</v>
      </c>
      <c r="I32" s="29">
        <f>INDEX(DataSet!C:C,MATCH('Advanced  Formulas'!A32,DataSet!A:A,0))</f>
        <v>45977</v>
      </c>
      <c r="J32" t="str">
        <f t="shared" si="2"/>
        <v>Good Order</v>
      </c>
      <c r="K32" s="10" t="str">
        <f>CONCATENATE(DataSet!E32,"-",DataSet!G32)</f>
        <v>Arjun Soni-Surat</v>
      </c>
    </row>
    <row r="33" spans="1:11">
      <c r="A33" t="str">
        <v>ORD-2026-00032</v>
      </c>
      <c r="B33" s="2">
        <v>2750</v>
      </c>
      <c r="C33" s="2">
        <v>1042.46</v>
      </c>
      <c r="D33" s="28">
        <v>0</v>
      </c>
      <c r="E33" t="str">
        <f t="shared" si="0"/>
        <v>Profit</v>
      </c>
      <c r="F33" t="str">
        <f t="shared" si="1"/>
        <v>Low</v>
      </c>
      <c r="G33" t="str">
        <f>VLOOKUP(A33,DataSet!$1:$1048576,5,FALSE)</f>
        <v>Vivaan Kapoor</v>
      </c>
      <c r="H33" s="29">
        <f>INDEX(DataSet!B:B,MATCH('Advanced  Formulas'!A33,DataSet!A:A,0))</f>
        <v>46219</v>
      </c>
      <c r="I33" s="29">
        <f>INDEX(DataSet!C:C,MATCH('Advanced  Formulas'!A33,DataSet!A:A,0))</f>
        <v>45978</v>
      </c>
      <c r="J33" t="str">
        <f t="shared" si="2"/>
        <v>Review</v>
      </c>
      <c r="K33" s="10" t="str">
        <f>CONCATENATE(DataSet!E33,"-",DataSet!G33)</f>
        <v>Vivaan Kapoor-Ahmedabad</v>
      </c>
    </row>
    <row r="34" spans="1:11">
      <c r="A34" t="str">
        <v>ORD-2026-00033</v>
      </c>
      <c r="B34" s="2">
        <v>220</v>
      </c>
      <c r="C34" s="2">
        <v>79.3</v>
      </c>
      <c r="D34" s="28">
        <v>0</v>
      </c>
      <c r="E34" t="str">
        <f t="shared" si="0"/>
        <v>Loss</v>
      </c>
      <c r="F34" t="str">
        <f t="shared" si="1"/>
        <v>Low</v>
      </c>
      <c r="G34" t="str">
        <f>VLOOKUP(A34,DataSet!$1:$1048576,5,FALSE)</f>
        <v>Vivaan Soni</v>
      </c>
      <c r="H34" s="29">
        <f>INDEX(DataSet!B:B,MATCH('Advanced  Formulas'!A34,DataSet!A:A,0))</f>
        <v>46051</v>
      </c>
      <c r="I34" s="29">
        <f>INDEX(DataSet!C:C,MATCH('Advanced  Formulas'!A34,DataSet!A:A,0))</f>
        <v>45979</v>
      </c>
      <c r="J34" t="str">
        <f t="shared" si="2"/>
        <v>Review</v>
      </c>
      <c r="K34" s="10" t="str">
        <f>CONCATENATE(DataSet!E34,"-",DataSet!G34)</f>
        <v>Vivaan Soni-Delhi</v>
      </c>
    </row>
    <row r="35" spans="1:11">
      <c r="A35" t="str">
        <v>ORD-2025-00034</v>
      </c>
      <c r="B35" s="2">
        <v>332.5</v>
      </c>
      <c r="C35" s="2">
        <v>92.33</v>
      </c>
      <c r="D35" s="28">
        <v>0.05</v>
      </c>
      <c r="E35" t="str">
        <f t="shared" si="0"/>
        <v>Loss</v>
      </c>
      <c r="F35" t="str">
        <f t="shared" si="1"/>
        <v>Low</v>
      </c>
      <c r="G35" t="str">
        <f>VLOOKUP(A35,DataSet!$1:$1048576,5,FALSE)</f>
        <v>Diya Sheikh</v>
      </c>
      <c r="H35" s="29">
        <f>INDEX(DataSet!B:B,MATCH('Advanced  Formulas'!A35,DataSet!A:A,0))</f>
        <v>45888</v>
      </c>
      <c r="I35" s="29">
        <f>INDEX(DataSet!C:C,MATCH('Advanced  Formulas'!A35,DataSet!A:A,0))</f>
        <v>45980</v>
      </c>
      <c r="J35" t="str">
        <f t="shared" si="2"/>
        <v>Review</v>
      </c>
      <c r="K35" s="10" t="str">
        <f>CONCATENATE(DataSet!E35,"-",DataSet!G35)</f>
        <v>Diya Sheikh-Surat</v>
      </c>
    </row>
    <row r="36" spans="1:11">
      <c r="A36" t="str">
        <v>ORD-2025-00035</v>
      </c>
      <c r="B36" s="2">
        <v>8627.5</v>
      </c>
      <c r="C36" s="2">
        <v>1403.14</v>
      </c>
      <c r="D36" s="28">
        <v>0.15</v>
      </c>
      <c r="E36" t="str">
        <f t="shared" si="0"/>
        <v>Profit</v>
      </c>
      <c r="F36" t="str">
        <f t="shared" si="1"/>
        <v>High</v>
      </c>
      <c r="G36" t="str">
        <f>VLOOKUP(A36,DataSet!$1:$1048576,5,FALSE)</f>
        <v>Myra Rao</v>
      </c>
      <c r="H36" s="29">
        <f>INDEX(DataSet!B:B,MATCH('Advanced  Formulas'!A36,DataSet!A:A,0))</f>
        <v>45990</v>
      </c>
      <c r="I36" s="29">
        <f>INDEX(DataSet!C:C,MATCH('Advanced  Formulas'!A36,DataSet!A:A,0))</f>
        <v>45981</v>
      </c>
      <c r="J36" t="str">
        <f t="shared" si="2"/>
        <v>Good Order</v>
      </c>
      <c r="K36" s="10" t="str">
        <f>CONCATENATE(DataSet!E36,"-",DataSet!G36)</f>
        <v>Myra Rao-Bengaluru</v>
      </c>
    </row>
    <row r="37" spans="1:11">
      <c r="A37" t="str">
        <v>ORD-2026-00036</v>
      </c>
      <c r="B37" s="2">
        <v>1792</v>
      </c>
      <c r="C37" s="2">
        <v>224.62</v>
      </c>
      <c r="D37" s="28">
        <v>0.2</v>
      </c>
      <c r="E37" t="str">
        <f t="shared" si="0"/>
        <v>Profit</v>
      </c>
      <c r="F37" t="str">
        <f t="shared" si="1"/>
        <v>Low</v>
      </c>
      <c r="G37" t="str">
        <f>VLOOKUP(A37,DataSet!$1:$1048576,5,FALSE)</f>
        <v>Myra Joshi</v>
      </c>
      <c r="H37" s="29">
        <f>INDEX(DataSet!B:B,MATCH('Advanced  Formulas'!A37,DataSet!A:A,0))</f>
        <v>46194</v>
      </c>
      <c r="I37" s="29">
        <f>INDEX(DataSet!C:C,MATCH('Advanced  Formulas'!A37,DataSet!A:A,0))</f>
        <v>45982</v>
      </c>
      <c r="J37" t="str">
        <f t="shared" si="2"/>
        <v>Review</v>
      </c>
      <c r="K37" s="10" t="str">
        <f>CONCATENATE(DataSet!E37,"-",DataSet!G37)</f>
        <v>Myra Joshi-Ahmedabad</v>
      </c>
    </row>
    <row r="38" spans="1:11">
      <c r="A38" t="str">
        <v>ORD-2025-00037</v>
      </c>
      <c r="B38" s="2">
        <v>1260</v>
      </c>
      <c r="C38" s="2">
        <v>345.35</v>
      </c>
      <c r="D38" s="28">
        <v>0.1</v>
      </c>
      <c r="E38" t="str">
        <f t="shared" si="0"/>
        <v>Profit</v>
      </c>
      <c r="F38" t="str">
        <f t="shared" si="1"/>
        <v>Low</v>
      </c>
      <c r="G38" t="str">
        <f>VLOOKUP(A38,DataSet!$1:$1048576,5,FALSE)</f>
        <v>Myra Desai</v>
      </c>
      <c r="H38" s="29">
        <f>INDEX(DataSet!B:B,MATCH('Advanced  Formulas'!A38,DataSet!A:A,0))</f>
        <v>45683</v>
      </c>
      <c r="I38" s="29">
        <f>INDEX(DataSet!C:C,MATCH('Advanced  Formulas'!A38,DataSet!A:A,0))</f>
        <v>45983</v>
      </c>
      <c r="J38" t="str">
        <f t="shared" si="2"/>
        <v>Review</v>
      </c>
      <c r="K38" s="10" t="str">
        <f>CONCATENATE(DataSet!E38,"-",DataSet!G38)</f>
        <v>Myra Desai-Ahmedabad</v>
      </c>
    </row>
    <row r="39" spans="1:11">
      <c r="A39" t="str">
        <v>ORD-2025-00038</v>
      </c>
      <c r="B39" s="2">
        <v>6960</v>
      </c>
      <c r="C39" s="2">
        <v>1514.18</v>
      </c>
      <c r="D39" s="28">
        <v>0.2</v>
      </c>
      <c r="E39" t="str">
        <f t="shared" si="0"/>
        <v>Profit</v>
      </c>
      <c r="F39" t="str">
        <f t="shared" si="1"/>
        <v>High</v>
      </c>
      <c r="G39" t="str">
        <f>VLOOKUP(A39,DataSet!$1:$1048576,5,FALSE)</f>
        <v>Kiara Trivedi</v>
      </c>
      <c r="H39" s="29">
        <f>INDEX(DataSet!B:B,MATCH('Advanced  Formulas'!A39,DataSet!A:A,0))</f>
        <v>45700</v>
      </c>
      <c r="I39" s="29">
        <f>INDEX(DataSet!C:C,MATCH('Advanced  Formulas'!A39,DataSet!A:A,0))</f>
        <v>45984</v>
      </c>
      <c r="J39" t="str">
        <f t="shared" si="2"/>
        <v>Good Order</v>
      </c>
      <c r="K39" s="10" t="str">
        <f>CONCATENATE(DataSet!E39,"-",DataSet!G39)</f>
        <v>Kiara Trivedi-Rajkot</v>
      </c>
    </row>
    <row r="40" spans="1:11">
      <c r="A40" t="str">
        <v>ORD-2026-00039</v>
      </c>
      <c r="B40" s="2">
        <v>7140</v>
      </c>
      <c r="C40" s="2">
        <v>1745.83</v>
      </c>
      <c r="D40" s="28">
        <v>0.15</v>
      </c>
      <c r="E40" t="str">
        <f t="shared" si="0"/>
        <v>Profit</v>
      </c>
      <c r="F40" t="str">
        <f t="shared" si="1"/>
        <v>High</v>
      </c>
      <c r="G40" t="str">
        <f>VLOOKUP(A40,DataSet!$1:$1048576,5,FALSE)</f>
        <v>Aditya Panjwani</v>
      </c>
      <c r="H40" s="29">
        <f>INDEX(DataSet!B:B,MATCH('Advanced  Formulas'!A40,DataSet!A:A,0))</f>
        <v>46190</v>
      </c>
      <c r="I40" s="29">
        <f>INDEX(DataSet!C:C,MATCH('Advanced  Formulas'!A40,DataSet!A:A,0))</f>
        <v>45985</v>
      </c>
      <c r="J40" t="str">
        <f t="shared" si="2"/>
        <v>Good Order</v>
      </c>
      <c r="K40" s="10" t="str">
        <f>CONCATENATE(DataSet!E40,"-",DataSet!G40)</f>
        <v>Aditya Panjwani-Surat</v>
      </c>
    </row>
    <row r="41" spans="1:11">
      <c r="A41" t="str">
        <v>ORD-2024-00040</v>
      </c>
      <c r="B41" s="2">
        <v>256</v>
      </c>
      <c r="C41" s="2">
        <v>60.58</v>
      </c>
      <c r="D41" s="28">
        <v>0.2</v>
      </c>
      <c r="E41" t="str">
        <f t="shared" si="0"/>
        <v>Loss</v>
      </c>
      <c r="F41" t="str">
        <f t="shared" si="1"/>
        <v>Low</v>
      </c>
      <c r="G41" t="str">
        <f>VLOOKUP(A41,DataSet!$1:$1048576,5,FALSE)</f>
        <v>Kiara Kapoor</v>
      </c>
      <c r="H41" s="29">
        <f>INDEX(DataSet!B:B,MATCH('Advanced  Formulas'!A41,DataSet!A:A,0))</f>
        <v>45410</v>
      </c>
      <c r="I41" s="29">
        <f>INDEX(DataSet!C:C,MATCH('Advanced  Formulas'!A41,DataSet!A:A,0))</f>
        <v>45986</v>
      </c>
      <c r="J41" t="str">
        <f t="shared" si="2"/>
        <v>Review</v>
      </c>
      <c r="K41" s="10" t="str">
        <f>CONCATENATE(DataSet!E41,"-",DataSet!G41)</f>
        <v>Kiara Kapoor-Indore</v>
      </c>
    </row>
    <row r="42" spans="1:11">
      <c r="A42" t="str">
        <v>ORD-2025-00041</v>
      </c>
      <c r="B42" s="2">
        <v>14880</v>
      </c>
      <c r="C42" s="2">
        <v>1927.2</v>
      </c>
      <c r="D42" s="28">
        <v>0.2</v>
      </c>
      <c r="E42" t="str">
        <f t="shared" si="0"/>
        <v>Profit</v>
      </c>
      <c r="F42" t="str">
        <f t="shared" si="1"/>
        <v>High</v>
      </c>
      <c r="G42" t="str">
        <f>VLOOKUP(A42,DataSet!$1:$1048576,5,FALSE)</f>
        <v>Sara Soni</v>
      </c>
      <c r="H42" s="29">
        <f>INDEX(DataSet!B:B,MATCH('Advanced  Formulas'!A42,DataSet!A:A,0))</f>
        <v>45664</v>
      </c>
      <c r="I42" s="29">
        <f>INDEX(DataSet!C:C,MATCH('Advanced  Formulas'!A42,DataSet!A:A,0))</f>
        <v>45987</v>
      </c>
      <c r="J42" t="str">
        <f t="shared" si="2"/>
        <v>Good Order</v>
      </c>
      <c r="K42" s="10" t="str">
        <f>CONCATENATE(DataSet!E42,"-",DataSet!G42)</f>
        <v>Sara Soni-Bhavnagar</v>
      </c>
    </row>
    <row r="43" spans="1:11">
      <c r="A43" t="str">
        <v>ORD-2024-00042</v>
      </c>
      <c r="B43" s="2">
        <v>9300</v>
      </c>
      <c r="C43" s="2">
        <v>2517.36</v>
      </c>
      <c r="D43" s="28">
        <v>0</v>
      </c>
      <c r="E43" t="str">
        <f t="shared" si="0"/>
        <v>Profit</v>
      </c>
      <c r="F43" t="str">
        <f t="shared" si="1"/>
        <v>High</v>
      </c>
      <c r="G43" t="str">
        <f>VLOOKUP(A43,DataSet!$1:$1048576,5,FALSE)</f>
        <v>Krish Kapoor</v>
      </c>
      <c r="H43" s="29">
        <f>INDEX(DataSet!B:B,MATCH('Advanced  Formulas'!A43,DataSet!A:A,0))</f>
        <v>45626</v>
      </c>
      <c r="I43" s="29">
        <f>INDEX(DataSet!C:C,MATCH('Advanced  Formulas'!A43,DataSet!A:A,0))</f>
        <v>45988</v>
      </c>
      <c r="J43" t="str">
        <f t="shared" si="2"/>
        <v>Good Order</v>
      </c>
      <c r="K43" s="10" t="str">
        <f>CONCATENATE(DataSet!E43,"-",DataSet!G43)</f>
        <v>Krish Kapoor-Chennai</v>
      </c>
    </row>
    <row r="44" spans="1:11">
      <c r="A44" t="str">
        <v>ORD-2025-00043</v>
      </c>
      <c r="B44" s="2">
        <v>209</v>
      </c>
      <c r="C44" s="2">
        <v>62.26</v>
      </c>
      <c r="D44" s="28">
        <v>0.05</v>
      </c>
      <c r="E44" t="str">
        <f t="shared" si="0"/>
        <v>Loss</v>
      </c>
      <c r="F44" t="str">
        <f t="shared" si="1"/>
        <v>Low</v>
      </c>
      <c r="G44" t="str">
        <f>VLOOKUP(A44,DataSet!$1:$1048576,5,FALSE)</f>
        <v>Yusuf Dave</v>
      </c>
      <c r="H44" s="29">
        <f>INDEX(DataSet!B:B,MATCH('Advanced  Formulas'!A44,DataSet!A:A,0))</f>
        <v>45922</v>
      </c>
      <c r="I44" s="29">
        <f>INDEX(DataSet!C:C,MATCH('Advanced  Formulas'!A44,DataSet!A:A,0))</f>
        <v>45989</v>
      </c>
      <c r="J44" t="str">
        <f t="shared" si="2"/>
        <v>Review</v>
      </c>
      <c r="K44" s="10" t="str">
        <f>CONCATENATE(DataSet!E44,"-",DataSet!G44)</f>
        <v>Yusuf Dave-Rajkot</v>
      </c>
    </row>
    <row r="45" spans="1:11">
      <c r="A45" t="str">
        <v>ORD-2025-00044</v>
      </c>
      <c r="B45" s="2">
        <v>576</v>
      </c>
      <c r="C45" s="2">
        <v>176.19</v>
      </c>
      <c r="D45" s="28">
        <v>0.2</v>
      </c>
      <c r="E45" t="str">
        <f t="shared" si="0"/>
        <v>Loss</v>
      </c>
      <c r="F45" t="str">
        <f t="shared" si="1"/>
        <v>Low</v>
      </c>
      <c r="G45" t="str">
        <f>VLOOKUP(A45,DataSet!$1:$1048576,5,FALSE)</f>
        <v>Sara Soni</v>
      </c>
      <c r="H45" s="29">
        <f>INDEX(DataSet!B:B,MATCH('Advanced  Formulas'!A45,DataSet!A:A,0))</f>
        <v>45768</v>
      </c>
      <c r="I45" s="29">
        <f>INDEX(DataSet!C:C,MATCH('Advanced  Formulas'!A45,DataSet!A:A,0))</f>
        <v>45990</v>
      </c>
      <c r="J45" t="str">
        <f t="shared" si="2"/>
        <v>Review</v>
      </c>
      <c r="K45" s="10" t="str">
        <f>CONCATENATE(DataSet!E45,"-",DataSet!G45)</f>
        <v>Sara Soni-Jaipur</v>
      </c>
    </row>
    <row r="46" spans="1:11">
      <c r="A46" t="str">
        <v>ORD-2024-00045</v>
      </c>
      <c r="B46" s="2">
        <v>1280</v>
      </c>
      <c r="C46" s="2">
        <v>437.36</v>
      </c>
      <c r="D46" s="28">
        <v>0</v>
      </c>
      <c r="E46" t="str">
        <f t="shared" si="0"/>
        <v>Profit</v>
      </c>
      <c r="F46" t="str">
        <f t="shared" si="1"/>
        <v>Low</v>
      </c>
      <c r="G46" t="str">
        <f>VLOOKUP(A46,DataSet!$1:$1048576,5,FALSE)</f>
        <v>Myra Khan</v>
      </c>
      <c r="H46" s="29">
        <f>INDEX(DataSet!B:B,MATCH('Advanced  Formulas'!A46,DataSet!A:A,0))</f>
        <v>45635</v>
      </c>
      <c r="I46" s="29">
        <f>INDEX(DataSet!C:C,MATCH('Advanced  Formulas'!A46,DataSet!A:A,0))</f>
        <v>45991</v>
      </c>
      <c r="J46" t="str">
        <f t="shared" si="2"/>
        <v>Review</v>
      </c>
      <c r="K46" s="10" t="str">
        <f>CONCATENATE(DataSet!E46,"-",DataSet!G46)</f>
        <v>Myra Khan-Kolkata</v>
      </c>
    </row>
    <row r="47" spans="1:11">
      <c r="A47" t="str">
        <v>ORD-2025-00046</v>
      </c>
      <c r="B47" s="2">
        <v>1080</v>
      </c>
      <c r="C47" s="2">
        <v>325.69</v>
      </c>
      <c r="D47" s="28">
        <v>0.1</v>
      </c>
      <c r="E47" t="str">
        <f t="shared" si="0"/>
        <v>Profit</v>
      </c>
      <c r="F47" t="str">
        <f t="shared" si="1"/>
        <v>Low</v>
      </c>
      <c r="G47" t="str">
        <f>VLOOKUP(A47,DataSet!$1:$1048576,5,FALSE)</f>
        <v>Aarav Sheikh</v>
      </c>
      <c r="H47" s="29">
        <f>INDEX(DataSet!B:B,MATCH('Advanced  Formulas'!A47,DataSet!A:A,0))</f>
        <v>45758</v>
      </c>
      <c r="I47" s="29">
        <f>INDEX(DataSet!C:C,MATCH('Advanced  Formulas'!A47,DataSet!A:A,0))</f>
        <v>45992</v>
      </c>
      <c r="J47" t="str">
        <f t="shared" si="2"/>
        <v>Review</v>
      </c>
      <c r="K47" s="10" t="str">
        <f>CONCATENATE(DataSet!E47,"-",DataSet!G47)</f>
        <v>Aarav Sheikh-Indore</v>
      </c>
    </row>
    <row r="48" spans="1:11">
      <c r="A48" t="str">
        <v>ORD-2024-00047</v>
      </c>
      <c r="B48" s="2">
        <v>4400</v>
      </c>
      <c r="C48" s="2">
        <v>1149.81</v>
      </c>
      <c r="D48" s="28">
        <v>0</v>
      </c>
      <c r="E48" t="str">
        <f t="shared" si="0"/>
        <v>Profit</v>
      </c>
      <c r="F48" t="str">
        <f t="shared" si="1"/>
        <v>Medium</v>
      </c>
      <c r="G48" t="str">
        <f>VLOOKUP(A48,DataSet!$1:$1048576,5,FALSE)</f>
        <v>Rohan Kapoor</v>
      </c>
      <c r="H48" s="29">
        <f>INDEX(DataSet!B:B,MATCH('Advanced  Formulas'!A48,DataSet!A:A,0))</f>
        <v>45516</v>
      </c>
      <c r="I48" s="29">
        <f>INDEX(DataSet!C:C,MATCH('Advanced  Formulas'!A48,DataSet!A:A,0))</f>
        <v>45993</v>
      </c>
      <c r="J48" t="str">
        <f t="shared" si="2"/>
        <v>Good Order</v>
      </c>
      <c r="K48" s="10" t="str">
        <f>CONCATENATE(DataSet!E48,"-",DataSet!G48)</f>
        <v>Rohan Kapoor-Hyderabad</v>
      </c>
    </row>
    <row r="49" spans="1:11">
      <c r="A49" t="str">
        <v>ORD-2025-00048</v>
      </c>
      <c r="B49" s="2">
        <v>1309</v>
      </c>
      <c r="C49" s="2">
        <v>316.20999999999998</v>
      </c>
      <c r="D49" s="28">
        <v>0.15</v>
      </c>
      <c r="E49" t="str">
        <f t="shared" si="0"/>
        <v>Profit</v>
      </c>
      <c r="F49" t="str">
        <f t="shared" si="1"/>
        <v>Low</v>
      </c>
      <c r="G49" t="str">
        <f>VLOOKUP(A49,DataSet!$1:$1048576,5,FALSE)</f>
        <v>Fatima Khan</v>
      </c>
      <c r="H49" s="29">
        <f>INDEX(DataSet!B:B,MATCH('Advanced  Formulas'!A49,DataSet!A:A,0))</f>
        <v>45901</v>
      </c>
      <c r="I49" s="29">
        <f>INDEX(DataSet!C:C,MATCH('Advanced  Formulas'!A49,DataSet!A:A,0))</f>
        <v>45994</v>
      </c>
      <c r="J49" t="str">
        <f t="shared" si="2"/>
        <v>Review</v>
      </c>
      <c r="K49" s="10" t="str">
        <f>CONCATENATE(DataSet!E49,"-",DataSet!G49)</f>
        <v>Fatima Khan-Hyderabad</v>
      </c>
    </row>
    <row r="50" spans="1:11">
      <c r="A50" t="str">
        <v>ORD-2026-00049</v>
      </c>
      <c r="B50" s="2">
        <v>1575</v>
      </c>
      <c r="C50" s="2">
        <v>543.15</v>
      </c>
      <c r="D50" s="28">
        <v>0.1</v>
      </c>
      <c r="E50" t="str">
        <f t="shared" si="0"/>
        <v>Profit</v>
      </c>
      <c r="F50" t="str">
        <f t="shared" si="1"/>
        <v>Low</v>
      </c>
      <c r="G50" t="str">
        <f>VLOOKUP(A50,DataSet!$1:$1048576,5,FALSE)</f>
        <v>Myra Joshi</v>
      </c>
      <c r="H50" s="29">
        <f>INDEX(DataSet!B:B,MATCH('Advanced  Formulas'!A50,DataSet!A:A,0))</f>
        <v>46152</v>
      </c>
      <c r="I50" s="29">
        <f>INDEX(DataSet!C:C,MATCH('Advanced  Formulas'!A50,DataSet!A:A,0))</f>
        <v>45995</v>
      </c>
      <c r="J50" t="str">
        <f t="shared" si="2"/>
        <v>Review</v>
      </c>
      <c r="K50" s="10" t="str">
        <f>CONCATENATE(DataSet!E50,"-",DataSet!G50)</f>
        <v>Myra Joshi-Rajkot</v>
      </c>
    </row>
    <row r="51" spans="1:11">
      <c r="A51" t="str">
        <v>ORD-2026-00050</v>
      </c>
      <c r="B51" s="2">
        <v>432</v>
      </c>
      <c r="C51" s="2">
        <v>79.739999999999995</v>
      </c>
      <c r="D51" s="28">
        <v>0.1</v>
      </c>
      <c r="E51" t="str">
        <f t="shared" si="0"/>
        <v>Loss</v>
      </c>
      <c r="F51" t="str">
        <f t="shared" si="1"/>
        <v>Low</v>
      </c>
      <c r="G51" t="str">
        <f>VLOOKUP(A51,DataSet!$1:$1048576,5,FALSE)</f>
        <v>Reyansh Shah</v>
      </c>
      <c r="H51" s="29">
        <f>INDEX(DataSet!B:B,MATCH('Advanced  Formulas'!A51,DataSet!A:A,0))</f>
        <v>46206</v>
      </c>
      <c r="I51" s="29">
        <f>INDEX(DataSet!C:C,MATCH('Advanced  Formulas'!A51,DataSet!A:A,0))</f>
        <v>45996</v>
      </c>
      <c r="J51" t="str">
        <f t="shared" si="2"/>
        <v>Review</v>
      </c>
      <c r="K51" s="10" t="str">
        <f>CONCATENATE(DataSet!E51,"-",DataSet!G51)</f>
        <v>Reyansh Shah-Bhavnagar</v>
      </c>
    </row>
    <row r="52" spans="1:11">
      <c r="A52" t="str">
        <v>ORD-2024-00051</v>
      </c>
      <c r="B52" s="2">
        <v>3960</v>
      </c>
      <c r="C52" s="2">
        <v>1044.3900000000001</v>
      </c>
      <c r="D52" s="28">
        <v>0.1</v>
      </c>
      <c r="E52" t="str">
        <f t="shared" si="0"/>
        <v>Profit</v>
      </c>
      <c r="F52" t="str">
        <f t="shared" si="1"/>
        <v>Medium</v>
      </c>
      <c r="G52" t="str">
        <f>VLOOKUP(A52,DataSet!$1:$1048576,5,FALSE)</f>
        <v>Yusuf Verma</v>
      </c>
      <c r="H52" s="29">
        <f>INDEX(DataSet!B:B,MATCH('Advanced  Formulas'!A52,DataSet!A:A,0))</f>
        <v>45630</v>
      </c>
      <c r="I52" s="29">
        <f>INDEX(DataSet!C:C,MATCH('Advanced  Formulas'!A52,DataSet!A:A,0))</f>
        <v>45997</v>
      </c>
      <c r="J52" t="str">
        <f t="shared" si="2"/>
        <v>Good Order</v>
      </c>
      <c r="K52" s="10" t="str">
        <f>CONCATENATE(DataSet!E52,"-",DataSet!G52)</f>
        <v>Yusuf Verma-Jaipur</v>
      </c>
    </row>
    <row r="53" spans="1:11">
      <c r="A53" t="str">
        <v>ORD-2025-00052</v>
      </c>
      <c r="B53" s="2">
        <v>17640</v>
      </c>
      <c r="C53" s="2">
        <v>3970.11</v>
      </c>
      <c r="D53" s="28">
        <v>0.1</v>
      </c>
      <c r="E53" t="str">
        <f t="shared" si="0"/>
        <v>Profit</v>
      </c>
      <c r="F53" t="str">
        <f t="shared" si="1"/>
        <v>High</v>
      </c>
      <c r="G53" t="str">
        <f>VLOOKUP(A53,DataSet!$1:$1048576,5,FALSE)</f>
        <v>Kiara Iyer</v>
      </c>
      <c r="H53" s="29">
        <f>INDEX(DataSet!B:B,MATCH('Advanced  Formulas'!A53,DataSet!A:A,0))</f>
        <v>45681</v>
      </c>
      <c r="I53" s="29">
        <f>INDEX(DataSet!C:C,MATCH('Advanced  Formulas'!A53,DataSet!A:A,0))</f>
        <v>45998</v>
      </c>
      <c r="J53" t="str">
        <f t="shared" si="2"/>
        <v>Good Order</v>
      </c>
      <c r="K53" s="10" t="str">
        <f>CONCATENATE(DataSet!E53,"-",DataSet!G53)</f>
        <v>Kiara Iyer-Ahmedabad</v>
      </c>
    </row>
    <row r="54" spans="1:11">
      <c r="A54" t="str">
        <v>ORD-2025-00053</v>
      </c>
      <c r="B54" s="2">
        <v>1440</v>
      </c>
      <c r="C54" s="2">
        <v>399.75</v>
      </c>
      <c r="D54" s="28">
        <v>0.1</v>
      </c>
      <c r="E54" t="str">
        <f t="shared" si="0"/>
        <v>Profit</v>
      </c>
      <c r="F54" t="str">
        <f t="shared" si="1"/>
        <v>Low</v>
      </c>
      <c r="G54" t="str">
        <f>VLOOKUP(A54,DataSet!$1:$1048576,5,FALSE)</f>
        <v>Krish Verma</v>
      </c>
      <c r="H54" s="29">
        <f>INDEX(DataSet!B:B,MATCH('Advanced  Formulas'!A54,DataSet!A:A,0))</f>
        <v>45791</v>
      </c>
      <c r="I54" s="29">
        <f>INDEX(DataSet!C:C,MATCH('Advanced  Formulas'!A54,DataSet!A:A,0))</f>
        <v>45999</v>
      </c>
      <c r="J54" t="str">
        <f t="shared" si="2"/>
        <v>Review</v>
      </c>
      <c r="K54" s="10" t="str">
        <f>CONCATENATE(DataSet!E54,"-",DataSet!G54)</f>
        <v>Krish Verma-Rajkot</v>
      </c>
    </row>
    <row r="55" spans="1:11">
      <c r="A55" t="str">
        <v>ORD-2026-00054</v>
      </c>
      <c r="B55" s="2">
        <v>550</v>
      </c>
      <c r="C55" s="2">
        <v>117.09</v>
      </c>
      <c r="D55" s="28">
        <v>0</v>
      </c>
      <c r="E55" t="str">
        <f t="shared" si="0"/>
        <v>Loss</v>
      </c>
      <c r="F55" t="str">
        <f t="shared" si="1"/>
        <v>Low</v>
      </c>
      <c r="G55" t="str">
        <f>VLOOKUP(A55,DataSet!$1:$1048576,5,FALSE)</f>
        <v>Rohan Mehta</v>
      </c>
      <c r="H55" s="29">
        <f>INDEX(DataSet!B:B,MATCH('Advanced  Formulas'!A55,DataSet!A:A,0))</f>
        <v>46233</v>
      </c>
      <c r="I55" s="29">
        <f>INDEX(DataSet!C:C,MATCH('Advanced  Formulas'!A55,DataSet!A:A,0))</f>
        <v>46000</v>
      </c>
      <c r="J55" t="str">
        <f t="shared" si="2"/>
        <v>Review</v>
      </c>
      <c r="K55" s="10" t="str">
        <f>CONCATENATE(DataSet!E55,"-",DataSet!G55)</f>
        <v>Rohan Mehta-Lucknow</v>
      </c>
    </row>
    <row r="56" spans="1:11">
      <c r="A56" t="str">
        <v>ORD-2025-00055</v>
      </c>
      <c r="B56" s="2">
        <v>10260</v>
      </c>
      <c r="C56" s="2">
        <v>3002.62</v>
      </c>
      <c r="D56" s="28">
        <v>0.1</v>
      </c>
      <c r="E56" t="str">
        <f t="shared" si="0"/>
        <v>Profit</v>
      </c>
      <c r="F56" t="str">
        <f t="shared" si="1"/>
        <v>High</v>
      </c>
      <c r="G56" t="str">
        <f>VLOOKUP(A56,DataSet!$1:$1048576,5,FALSE)</f>
        <v>Aanya Joshi</v>
      </c>
      <c r="H56" s="29">
        <f>INDEX(DataSet!B:B,MATCH('Advanced  Formulas'!A56,DataSet!A:A,0))</f>
        <v>45680</v>
      </c>
      <c r="I56" s="29">
        <f>INDEX(DataSet!C:C,MATCH('Advanced  Formulas'!A56,DataSet!A:A,0))</f>
        <v>46001</v>
      </c>
      <c r="J56" t="str">
        <f t="shared" si="2"/>
        <v>Good Order</v>
      </c>
      <c r="K56" s="10" t="str">
        <f>CONCATENATE(DataSet!E56,"-",DataSet!G56)</f>
        <v>Aanya Joshi-Vadodara</v>
      </c>
    </row>
    <row r="57" spans="1:11">
      <c r="A57" t="str">
        <v>ORD-2024-00056</v>
      </c>
      <c r="B57" s="2">
        <v>4640</v>
      </c>
      <c r="C57" s="2">
        <v>1541.22</v>
      </c>
      <c r="D57" s="28">
        <v>0.2</v>
      </c>
      <c r="E57" t="str">
        <f t="shared" si="0"/>
        <v>Profit</v>
      </c>
      <c r="F57" t="str">
        <f t="shared" si="1"/>
        <v>Medium</v>
      </c>
      <c r="G57" t="str">
        <f>VLOOKUP(A57,DataSet!$1:$1048576,5,FALSE)</f>
        <v>Diya Iyer</v>
      </c>
      <c r="H57" s="29">
        <f>INDEX(DataSet!B:B,MATCH('Advanced  Formulas'!A57,DataSet!A:A,0))</f>
        <v>45311</v>
      </c>
      <c r="I57" s="29">
        <f>INDEX(DataSet!C:C,MATCH('Advanced  Formulas'!A57,DataSet!A:A,0))</f>
        <v>46002</v>
      </c>
      <c r="J57" t="str">
        <f t="shared" si="2"/>
        <v>Good Order</v>
      </c>
      <c r="K57" s="10" t="str">
        <f>CONCATENATE(DataSet!E57,"-",DataSet!G57)</f>
        <v>Diya Iyer-Delhi</v>
      </c>
    </row>
    <row r="58" spans="1:11">
      <c r="A58" t="str">
        <v>ORD-2024-00057</v>
      </c>
      <c r="B58" s="2">
        <v>324</v>
      </c>
      <c r="C58" s="2">
        <v>61.86</v>
      </c>
      <c r="D58" s="28">
        <v>0.1</v>
      </c>
      <c r="E58" t="str">
        <f t="shared" si="0"/>
        <v>Loss</v>
      </c>
      <c r="F58" t="str">
        <f t="shared" si="1"/>
        <v>Low</v>
      </c>
      <c r="G58" t="str">
        <f>VLOOKUP(A58,DataSet!$1:$1048576,5,FALSE)</f>
        <v>Reyansh Khan</v>
      </c>
      <c r="H58" s="29">
        <f>INDEX(DataSet!B:B,MATCH('Advanced  Formulas'!A58,DataSet!A:A,0))</f>
        <v>45496</v>
      </c>
      <c r="I58" s="29">
        <f>INDEX(DataSet!C:C,MATCH('Advanced  Formulas'!A58,DataSet!A:A,0))</f>
        <v>46003</v>
      </c>
      <c r="J58" t="str">
        <f t="shared" si="2"/>
        <v>Review</v>
      </c>
      <c r="K58" s="10" t="str">
        <f>CONCATENATE(DataSet!E58,"-",DataSet!G58)</f>
        <v>Reyansh Khan-Ahmedabad</v>
      </c>
    </row>
    <row r="59" spans="1:11">
      <c r="A59" t="str">
        <v>ORD-2026-00058</v>
      </c>
      <c r="B59" s="2">
        <v>4750</v>
      </c>
      <c r="C59" s="2">
        <v>1090.32</v>
      </c>
      <c r="D59" s="28">
        <v>0</v>
      </c>
      <c r="E59" t="str">
        <f t="shared" si="0"/>
        <v>Profit</v>
      </c>
      <c r="F59" t="str">
        <f t="shared" si="1"/>
        <v>Medium</v>
      </c>
      <c r="G59" t="str">
        <f>VLOOKUP(A59,DataSet!$1:$1048576,5,FALSE)</f>
        <v>Sara Dave</v>
      </c>
      <c r="H59" s="29">
        <f>INDEX(DataSet!B:B,MATCH('Advanced  Formulas'!A59,DataSet!A:A,0))</f>
        <v>46077</v>
      </c>
      <c r="I59" s="29">
        <f>INDEX(DataSet!C:C,MATCH('Advanced  Formulas'!A59,DataSet!A:A,0))</f>
        <v>46004</v>
      </c>
      <c r="J59" t="str">
        <f t="shared" si="2"/>
        <v>Good Order</v>
      </c>
      <c r="K59" s="10" t="str">
        <f>CONCATENATE(DataSet!E59,"-",DataSet!G59)</f>
        <v>Sara Dave-Surat</v>
      </c>
    </row>
    <row r="60" spans="1:11">
      <c r="A60" t="str">
        <v>ORD-2025-00059</v>
      </c>
      <c r="B60" s="2">
        <v>34000</v>
      </c>
      <c r="C60" s="2">
        <v>6756.81</v>
      </c>
      <c r="D60" s="28">
        <v>0</v>
      </c>
      <c r="E60" t="str">
        <f t="shared" si="0"/>
        <v>Profit</v>
      </c>
      <c r="F60" t="str">
        <f t="shared" si="1"/>
        <v>High</v>
      </c>
      <c r="G60" t="str">
        <f>VLOOKUP(A60,DataSet!$1:$1048576,5,FALSE)</f>
        <v>Meera Iyer</v>
      </c>
      <c r="H60" s="29">
        <f>INDEX(DataSet!B:B,MATCH('Advanced  Formulas'!A60,DataSet!A:A,0))</f>
        <v>45698</v>
      </c>
      <c r="I60" s="29">
        <f>INDEX(DataSet!C:C,MATCH('Advanced  Formulas'!A60,DataSet!A:A,0))</f>
        <v>46005</v>
      </c>
      <c r="J60" t="str">
        <f t="shared" si="2"/>
        <v>Good Order</v>
      </c>
      <c r="K60" s="10" t="str">
        <f>CONCATENATE(DataSet!E60,"-",DataSet!G60)</f>
        <v>Meera Iyer-Vadodara</v>
      </c>
    </row>
    <row r="61" spans="1:11">
      <c r="A61" t="str">
        <v>ORD-2026-00060</v>
      </c>
      <c r="B61" s="2">
        <v>3230</v>
      </c>
      <c r="C61" s="2">
        <v>610.91999999999996</v>
      </c>
      <c r="D61" s="28">
        <v>0.15</v>
      </c>
      <c r="E61" t="str">
        <f t="shared" si="0"/>
        <v>Profit</v>
      </c>
      <c r="F61" t="str">
        <f t="shared" si="1"/>
        <v>Medium</v>
      </c>
      <c r="G61" t="str">
        <f>VLOOKUP(A61,DataSet!$1:$1048576,5,FALSE)</f>
        <v>Aanya Rao</v>
      </c>
      <c r="H61" s="29">
        <f>INDEX(DataSet!B:B,MATCH('Advanced  Formulas'!A61,DataSet!A:A,0))</f>
        <v>46093</v>
      </c>
      <c r="I61" s="29">
        <f>INDEX(DataSet!C:C,MATCH('Advanced  Formulas'!A61,DataSet!A:A,0))</f>
        <v>46006</v>
      </c>
      <c r="J61" t="str">
        <f t="shared" si="2"/>
        <v>Good Order</v>
      </c>
      <c r="K61" s="10" t="str">
        <f>CONCATENATE(DataSet!E61,"-",DataSet!G61)</f>
        <v>Aanya Rao-Mumbai</v>
      </c>
    </row>
    <row r="62" spans="1:11">
      <c r="A62" t="str">
        <v>ORD-2025-00061</v>
      </c>
      <c r="B62" s="2">
        <v>2450</v>
      </c>
      <c r="C62" s="2">
        <v>463.57</v>
      </c>
      <c r="D62" s="28">
        <v>0</v>
      </c>
      <c r="E62" t="str">
        <f t="shared" si="0"/>
        <v>Profit</v>
      </c>
      <c r="F62" t="str">
        <f t="shared" si="1"/>
        <v>Low</v>
      </c>
      <c r="G62" t="str">
        <f>VLOOKUP(A62,DataSet!$1:$1048576,5,FALSE)</f>
        <v>Arjun Dave</v>
      </c>
      <c r="H62" s="29">
        <f>INDEX(DataSet!B:B,MATCH('Advanced  Formulas'!A62,DataSet!A:A,0))</f>
        <v>45735</v>
      </c>
      <c r="I62" s="29">
        <f>INDEX(DataSet!C:C,MATCH('Advanced  Formulas'!A62,DataSet!A:A,0))</f>
        <v>46007</v>
      </c>
      <c r="J62" t="str">
        <f t="shared" si="2"/>
        <v>Review</v>
      </c>
      <c r="K62" s="10" t="str">
        <f>CONCATENATE(DataSet!E62,"-",DataSet!G62)</f>
        <v>Arjun Dave-Bengaluru</v>
      </c>
    </row>
    <row r="63" spans="1:11">
      <c r="A63" t="str">
        <v>ORD-2025-00062</v>
      </c>
      <c r="B63" s="2">
        <v>11200</v>
      </c>
      <c r="C63" s="2">
        <v>3443.76</v>
      </c>
      <c r="D63" s="28">
        <v>0</v>
      </c>
      <c r="E63" t="str">
        <f t="shared" si="0"/>
        <v>Profit</v>
      </c>
      <c r="F63" t="str">
        <f t="shared" si="1"/>
        <v>High</v>
      </c>
      <c r="G63" t="str">
        <f>VLOOKUP(A63,DataSet!$1:$1048576,5,FALSE)</f>
        <v>Myra Iyer</v>
      </c>
      <c r="H63" s="29">
        <f>INDEX(DataSet!B:B,MATCH('Advanced  Formulas'!A63,DataSet!A:A,0))</f>
        <v>45768</v>
      </c>
      <c r="I63" s="29">
        <f>INDEX(DataSet!C:C,MATCH('Advanced  Formulas'!A63,DataSet!A:A,0))</f>
        <v>46008</v>
      </c>
      <c r="J63" t="str">
        <f t="shared" si="2"/>
        <v>Good Order</v>
      </c>
      <c r="K63" s="10" t="str">
        <f>CONCATENATE(DataSet!E63,"-",DataSet!G63)</f>
        <v>Myra Iyer-Kolkata</v>
      </c>
    </row>
    <row r="64" spans="1:11">
      <c r="A64" t="str">
        <v>ORD-2025-00063</v>
      </c>
      <c r="B64" s="2">
        <v>31920</v>
      </c>
      <c r="C64" s="2">
        <v>10381.07</v>
      </c>
      <c r="D64" s="28">
        <v>0.05</v>
      </c>
      <c r="E64" t="str">
        <f t="shared" si="0"/>
        <v>Profit</v>
      </c>
      <c r="F64" t="str">
        <f t="shared" si="1"/>
        <v>High</v>
      </c>
      <c r="G64" t="str">
        <f>VLOOKUP(A64,DataSet!$1:$1048576,5,FALSE)</f>
        <v>Zoya Iyer</v>
      </c>
      <c r="H64" s="29">
        <f>INDEX(DataSet!B:B,MATCH('Advanced  Formulas'!A64,DataSet!A:A,0))</f>
        <v>45916</v>
      </c>
      <c r="I64" s="29">
        <f>INDEX(DataSet!C:C,MATCH('Advanced  Formulas'!A64,DataSet!A:A,0))</f>
        <v>46009</v>
      </c>
      <c r="J64" t="str">
        <f t="shared" si="2"/>
        <v>Good Order</v>
      </c>
      <c r="K64" s="10" t="str">
        <f>CONCATENATE(DataSet!E64,"-",DataSet!G64)</f>
        <v>Zoya Iyer-Pune</v>
      </c>
    </row>
    <row r="65" spans="1:11">
      <c r="A65" t="str">
        <v>ORD-2024-00064</v>
      </c>
      <c r="B65" s="2">
        <v>2635</v>
      </c>
      <c r="C65" s="2">
        <v>292.49</v>
      </c>
      <c r="D65" s="28">
        <v>0.15</v>
      </c>
      <c r="E65" t="str">
        <f t="shared" si="0"/>
        <v>Profit</v>
      </c>
      <c r="F65" t="str">
        <f t="shared" si="1"/>
        <v>Low</v>
      </c>
      <c r="G65" t="str">
        <f>VLOOKUP(A65,DataSet!$1:$1048576,5,FALSE)</f>
        <v>Myra Verma</v>
      </c>
      <c r="H65" s="29">
        <f>INDEX(DataSet!B:B,MATCH('Advanced  Formulas'!A65,DataSet!A:A,0))</f>
        <v>45578</v>
      </c>
      <c r="I65" s="29">
        <f>INDEX(DataSet!C:C,MATCH('Advanced  Formulas'!A65,DataSet!A:A,0))</f>
        <v>46010</v>
      </c>
      <c r="J65" t="str">
        <f t="shared" si="2"/>
        <v>Review</v>
      </c>
      <c r="K65" s="10" t="str">
        <f>CONCATENATE(DataSet!E65,"-",DataSet!G65)</f>
        <v>Myra Verma-Chennai</v>
      </c>
    </row>
    <row r="66" spans="1:11">
      <c r="A66" t="str">
        <v>ORD-2025-00065</v>
      </c>
      <c r="B66" s="2">
        <v>12800</v>
      </c>
      <c r="C66" s="2">
        <v>4554.32</v>
      </c>
      <c r="D66" s="28">
        <v>0</v>
      </c>
      <c r="E66" t="str">
        <f t="shared" si="0"/>
        <v>Profit</v>
      </c>
      <c r="F66" t="str">
        <f t="shared" si="1"/>
        <v>High</v>
      </c>
      <c r="G66" t="str">
        <f>VLOOKUP(A66,DataSet!$1:$1048576,5,FALSE)</f>
        <v>Krish Verma</v>
      </c>
      <c r="H66" s="29">
        <f>INDEX(DataSet!B:B,MATCH('Advanced  Formulas'!A66,DataSet!A:A,0))</f>
        <v>45860</v>
      </c>
      <c r="I66" s="29">
        <f>INDEX(DataSet!C:C,MATCH('Advanced  Formulas'!A66,DataSet!A:A,0))</f>
        <v>46011</v>
      </c>
      <c r="J66" t="str">
        <f t="shared" si="2"/>
        <v>Good Order</v>
      </c>
      <c r="K66" s="10" t="str">
        <f>CONCATENATE(DataSet!E66,"-",DataSet!G66)</f>
        <v>Krish Verma-Vadodara</v>
      </c>
    </row>
    <row r="67" spans="1:11">
      <c r="A67" t="str">
        <v>ORD-2025-00066</v>
      </c>
      <c r="B67" s="2">
        <v>1188</v>
      </c>
      <c r="C67" s="2">
        <v>125.78</v>
      </c>
      <c r="D67" s="28">
        <v>0.1</v>
      </c>
      <c r="E67" t="str">
        <f t="shared" ref="E67:E130" si="3">IF(C67&gt;200,"Profit","Loss")</f>
        <v>Loss</v>
      </c>
      <c r="F67" t="str">
        <f t="shared" ref="F67:F130" si="4">IF(B67&gt;6000,"High",IF(B67&gt;=3000,"Medium",IF(B67&lt;3000,"Low")))</f>
        <v>Low</v>
      </c>
      <c r="G67" t="str">
        <f>VLOOKUP(A67,DataSet!$1:$1048576,5,FALSE)</f>
        <v>Aditya Trivedi</v>
      </c>
      <c r="H67" s="29">
        <f>INDEX(DataSet!B:B,MATCH('Advanced  Formulas'!A67,DataSet!A:A,0))</f>
        <v>45971</v>
      </c>
      <c r="I67" s="29">
        <f>INDEX(DataSet!C:C,MATCH('Advanced  Formulas'!A67,DataSet!A:A,0))</f>
        <v>46012</v>
      </c>
      <c r="J67" t="str">
        <f t="shared" ref="J67:J130" si="5">IF(AND(B67&gt;3000,C67&gt;0),"Good Order","Review")</f>
        <v>Review</v>
      </c>
      <c r="K67" s="10" t="str">
        <f>CONCATENATE(DataSet!E67,"-",DataSet!G67)</f>
        <v>Aditya Trivedi-Mumbai</v>
      </c>
    </row>
    <row r="68" spans="1:11">
      <c r="A68" t="str">
        <v>ORD-2024-00067</v>
      </c>
      <c r="B68" s="2">
        <v>684</v>
      </c>
      <c r="C68" s="2">
        <v>233.53</v>
      </c>
      <c r="D68" s="28">
        <v>0.05</v>
      </c>
      <c r="E68" t="str">
        <f t="shared" si="3"/>
        <v>Profit</v>
      </c>
      <c r="F68" t="str">
        <f t="shared" si="4"/>
        <v>Low</v>
      </c>
      <c r="G68" t="str">
        <f>VLOOKUP(A68,DataSet!$1:$1048576,5,FALSE)</f>
        <v>Isha Desai</v>
      </c>
      <c r="H68" s="29">
        <f>INDEX(DataSet!B:B,MATCH('Advanced  Formulas'!A68,DataSet!A:A,0))</f>
        <v>45569</v>
      </c>
      <c r="I68" s="29">
        <f>INDEX(DataSet!C:C,MATCH('Advanced  Formulas'!A68,DataSet!A:A,0))</f>
        <v>46013</v>
      </c>
      <c r="J68" t="str">
        <f t="shared" si="5"/>
        <v>Review</v>
      </c>
      <c r="K68" s="10" t="str">
        <f>CONCATENATE(DataSet!E68,"-",DataSet!G68)</f>
        <v>Isha Desai-Rajkot</v>
      </c>
    </row>
    <row r="69" spans="1:11">
      <c r="A69" t="str">
        <v>ORD-2024-00068</v>
      </c>
      <c r="B69" s="2">
        <v>15960</v>
      </c>
      <c r="C69" s="2">
        <v>5001.1400000000003</v>
      </c>
      <c r="D69" s="28">
        <v>0.05</v>
      </c>
      <c r="E69" t="str">
        <f t="shared" si="3"/>
        <v>Profit</v>
      </c>
      <c r="F69" t="str">
        <f t="shared" si="4"/>
        <v>High</v>
      </c>
      <c r="G69" t="str">
        <f>VLOOKUP(A69,DataSet!$1:$1048576,5,FALSE)</f>
        <v>Sara Patel</v>
      </c>
      <c r="H69" s="29">
        <f>INDEX(DataSet!B:B,MATCH('Advanced  Formulas'!A69,DataSet!A:A,0))</f>
        <v>45575</v>
      </c>
      <c r="I69" s="29">
        <f>INDEX(DataSet!C:C,MATCH('Advanced  Formulas'!A69,DataSet!A:A,0))</f>
        <v>46014</v>
      </c>
      <c r="J69" t="str">
        <f t="shared" si="5"/>
        <v>Good Order</v>
      </c>
      <c r="K69" s="10" t="str">
        <f>CONCATENATE(DataSet!E69,"-",DataSet!G69)</f>
        <v>Sara Patel-Lucknow</v>
      </c>
    </row>
    <row r="70" spans="1:11">
      <c r="A70" t="str">
        <v>ORD-2024-00069</v>
      </c>
      <c r="B70" s="2">
        <v>34000</v>
      </c>
      <c r="C70" s="2">
        <v>3554.25</v>
      </c>
      <c r="D70" s="28">
        <v>0.2</v>
      </c>
      <c r="E70" t="str">
        <f t="shared" si="3"/>
        <v>Profit</v>
      </c>
      <c r="F70" t="str">
        <f t="shared" si="4"/>
        <v>High</v>
      </c>
      <c r="G70" t="str">
        <f>VLOOKUP(A70,DataSet!$1:$1048576,5,FALSE)</f>
        <v>Fatima Shah</v>
      </c>
      <c r="H70" s="29">
        <f>INDEX(DataSet!B:B,MATCH('Advanced  Formulas'!A70,DataSet!A:A,0))</f>
        <v>45421</v>
      </c>
      <c r="I70" s="29">
        <f>INDEX(DataSet!C:C,MATCH('Advanced  Formulas'!A70,DataSet!A:A,0))</f>
        <v>46015</v>
      </c>
      <c r="J70" t="str">
        <f t="shared" si="5"/>
        <v>Good Order</v>
      </c>
      <c r="K70" s="10" t="str">
        <f>CONCATENATE(DataSet!E70,"-",DataSet!G70)</f>
        <v>Fatima Shah-Ahmedabad</v>
      </c>
    </row>
    <row r="71" spans="1:11">
      <c r="A71" t="str">
        <v>ORD-2024-00070</v>
      </c>
      <c r="B71" s="2">
        <v>5700</v>
      </c>
      <c r="C71" s="2">
        <v>1791.83</v>
      </c>
      <c r="D71" s="28">
        <v>0</v>
      </c>
      <c r="E71" t="str">
        <f t="shared" si="3"/>
        <v>Profit</v>
      </c>
      <c r="F71" t="str">
        <f t="shared" si="4"/>
        <v>Medium</v>
      </c>
      <c r="G71" t="str">
        <f>VLOOKUP(A71,DataSet!$1:$1048576,5,FALSE)</f>
        <v>Fatima Shah</v>
      </c>
      <c r="H71" s="29">
        <f>INDEX(DataSet!B:B,MATCH('Advanced  Formulas'!A71,DataSet!A:A,0))</f>
        <v>45583</v>
      </c>
      <c r="I71" s="29">
        <f>INDEX(DataSet!C:C,MATCH('Advanced  Formulas'!A71,DataSet!A:A,0))</f>
        <v>46016</v>
      </c>
      <c r="J71" t="str">
        <f t="shared" si="5"/>
        <v>Good Order</v>
      </c>
      <c r="K71" s="10" t="str">
        <f>CONCATENATE(DataSet!E71,"-",DataSet!G71)</f>
        <v>Fatima Shah-Jaipur</v>
      </c>
    </row>
    <row r="72" spans="1:11">
      <c r="A72" t="str">
        <v>ORD-2025-00071</v>
      </c>
      <c r="B72" s="2">
        <v>2422.5</v>
      </c>
      <c r="C72" s="2">
        <v>268.24</v>
      </c>
      <c r="D72" s="28">
        <v>0.15</v>
      </c>
      <c r="E72" t="str">
        <f t="shared" si="3"/>
        <v>Profit</v>
      </c>
      <c r="F72" t="str">
        <f t="shared" si="4"/>
        <v>Low</v>
      </c>
      <c r="G72" t="str">
        <f>VLOOKUP(A72,DataSet!$1:$1048576,5,FALSE)</f>
        <v>Myra Shah</v>
      </c>
      <c r="H72" s="29">
        <f>INDEX(DataSet!B:B,MATCH('Advanced  Formulas'!A72,DataSet!A:A,0))</f>
        <v>45795</v>
      </c>
      <c r="I72" s="29">
        <f>INDEX(DataSet!C:C,MATCH('Advanced  Formulas'!A72,DataSet!A:A,0))</f>
        <v>46017</v>
      </c>
      <c r="J72" t="str">
        <f t="shared" si="5"/>
        <v>Review</v>
      </c>
      <c r="K72" s="10" t="str">
        <f>CONCATENATE(DataSet!E72,"-",DataSet!G72)</f>
        <v>Myra Shah-Lucknow</v>
      </c>
    </row>
    <row r="73" spans="1:11">
      <c r="A73" t="str">
        <v>ORD-2025-00072</v>
      </c>
      <c r="B73" s="2">
        <v>567</v>
      </c>
      <c r="C73" s="2">
        <v>73.02</v>
      </c>
      <c r="D73" s="28">
        <v>0.1</v>
      </c>
      <c r="E73" t="str">
        <f t="shared" si="3"/>
        <v>Loss</v>
      </c>
      <c r="F73" t="str">
        <f t="shared" si="4"/>
        <v>Low</v>
      </c>
      <c r="G73" t="str">
        <f>VLOOKUP(A73,DataSet!$1:$1048576,5,FALSE)</f>
        <v>Yusuf Panjwani</v>
      </c>
      <c r="H73" s="29">
        <f>INDEX(DataSet!B:B,MATCH('Advanced  Formulas'!A73,DataSet!A:A,0))</f>
        <v>45912</v>
      </c>
      <c r="I73" s="29">
        <f>INDEX(DataSet!C:C,MATCH('Advanced  Formulas'!A73,DataSet!A:A,0))</f>
        <v>46018</v>
      </c>
      <c r="J73" t="str">
        <f t="shared" si="5"/>
        <v>Review</v>
      </c>
      <c r="K73" s="10" t="str">
        <f>CONCATENATE(DataSet!E73,"-",DataSet!G73)</f>
        <v>Yusuf Panjwani-Hyderabad</v>
      </c>
    </row>
    <row r="74" spans="1:11">
      <c r="A74" t="str">
        <v>ORD-2025-00073</v>
      </c>
      <c r="B74" s="2">
        <v>3610</v>
      </c>
      <c r="C74" s="2">
        <v>724.85</v>
      </c>
      <c r="D74" s="28">
        <v>0.05</v>
      </c>
      <c r="E74" t="str">
        <f t="shared" si="3"/>
        <v>Profit</v>
      </c>
      <c r="F74" t="str">
        <f t="shared" si="4"/>
        <v>Medium</v>
      </c>
      <c r="G74" t="str">
        <f>VLOOKUP(A74,DataSet!$1:$1048576,5,FALSE)</f>
        <v>Myra Mehta</v>
      </c>
      <c r="H74" s="29">
        <f>INDEX(DataSet!B:B,MATCH('Advanced  Formulas'!A74,DataSet!A:A,0))</f>
        <v>45927</v>
      </c>
      <c r="I74" s="29">
        <f>INDEX(DataSet!C:C,MATCH('Advanced  Formulas'!A74,DataSet!A:A,0))</f>
        <v>46019</v>
      </c>
      <c r="J74" t="str">
        <f t="shared" si="5"/>
        <v>Good Order</v>
      </c>
      <c r="K74" s="10" t="str">
        <f>CONCATENATE(DataSet!E74,"-",DataSet!G74)</f>
        <v>Myra Mehta-Lucknow</v>
      </c>
    </row>
    <row r="75" spans="1:11">
      <c r="A75" t="str">
        <v>ORD-2024-00074</v>
      </c>
      <c r="B75" s="2">
        <v>1672</v>
      </c>
      <c r="C75" s="2">
        <v>608.63</v>
      </c>
      <c r="D75" s="28">
        <v>0.05</v>
      </c>
      <c r="E75" t="str">
        <f t="shared" si="3"/>
        <v>Profit</v>
      </c>
      <c r="F75" t="str">
        <f t="shared" si="4"/>
        <v>Low</v>
      </c>
      <c r="G75" t="str">
        <f>VLOOKUP(A75,DataSet!$1:$1048576,5,FALSE)</f>
        <v>Sara Verma</v>
      </c>
      <c r="H75" s="29">
        <f>INDEX(DataSet!B:B,MATCH('Advanced  Formulas'!A75,DataSet!A:A,0))</f>
        <v>45452</v>
      </c>
      <c r="I75" s="29">
        <f>INDEX(DataSet!C:C,MATCH('Advanced  Formulas'!A75,DataSet!A:A,0))</f>
        <v>46020</v>
      </c>
      <c r="J75" t="str">
        <f t="shared" si="5"/>
        <v>Review</v>
      </c>
      <c r="K75" s="10" t="str">
        <f>CONCATENATE(DataSet!E75,"-",DataSet!G75)</f>
        <v>Sara Verma-Pune</v>
      </c>
    </row>
    <row r="76" spans="1:11">
      <c r="A76" t="str">
        <v>ORD-2025-00075</v>
      </c>
      <c r="B76" s="2">
        <v>11160</v>
      </c>
      <c r="C76" s="2">
        <v>3740.37</v>
      </c>
      <c r="D76" s="28">
        <v>0.1</v>
      </c>
      <c r="E76" t="str">
        <f t="shared" si="3"/>
        <v>Profit</v>
      </c>
      <c r="F76" t="str">
        <f t="shared" si="4"/>
        <v>High</v>
      </c>
      <c r="G76" t="str">
        <f>VLOOKUP(A76,DataSet!$1:$1048576,5,FALSE)</f>
        <v>Vivaan Sheikh</v>
      </c>
      <c r="H76" s="29">
        <f>INDEX(DataSet!B:B,MATCH('Advanced  Formulas'!A76,DataSet!A:A,0))</f>
        <v>45995</v>
      </c>
      <c r="I76" s="29">
        <f>INDEX(DataSet!C:C,MATCH('Advanced  Formulas'!A76,DataSet!A:A,0))</f>
        <v>46021</v>
      </c>
      <c r="J76" t="str">
        <f t="shared" si="5"/>
        <v>Good Order</v>
      </c>
      <c r="K76" s="10" t="str">
        <f>CONCATENATE(DataSet!E76,"-",DataSet!G76)</f>
        <v>Vivaan Sheikh-Indore</v>
      </c>
    </row>
    <row r="77" spans="1:11">
      <c r="A77" t="str">
        <v>ORD-2024-00076</v>
      </c>
      <c r="B77" s="2">
        <v>13950</v>
      </c>
      <c r="C77" s="2">
        <v>4640.72</v>
      </c>
      <c r="D77" s="28">
        <v>0.1</v>
      </c>
      <c r="E77" t="str">
        <f t="shared" si="3"/>
        <v>Profit</v>
      </c>
      <c r="F77" t="str">
        <f t="shared" si="4"/>
        <v>High</v>
      </c>
      <c r="G77" t="str">
        <f>VLOOKUP(A77,DataSet!$1:$1048576,5,FALSE)</f>
        <v>Sara Verma</v>
      </c>
      <c r="H77" s="29">
        <f>INDEX(DataSet!B:B,MATCH('Advanced  Formulas'!A77,DataSet!A:A,0))</f>
        <v>45365</v>
      </c>
      <c r="I77" s="29">
        <f>INDEX(DataSet!C:C,MATCH('Advanced  Formulas'!A77,DataSet!A:A,0))</f>
        <v>46022</v>
      </c>
      <c r="J77" t="str">
        <f t="shared" si="5"/>
        <v>Good Order</v>
      </c>
      <c r="K77" s="10" t="str">
        <f>CONCATENATE(DataSet!E77,"-",DataSet!G77)</f>
        <v>Sara Verma-Surat</v>
      </c>
    </row>
    <row r="78" spans="1:11">
      <c r="A78" t="str">
        <v>ORD-2025-00077</v>
      </c>
      <c r="B78" s="2">
        <v>990</v>
      </c>
      <c r="C78" s="2">
        <v>172.28</v>
      </c>
      <c r="D78" s="28">
        <v>0.1</v>
      </c>
      <c r="E78" t="str">
        <f t="shared" si="3"/>
        <v>Loss</v>
      </c>
      <c r="F78" t="str">
        <f t="shared" si="4"/>
        <v>Low</v>
      </c>
      <c r="G78" t="str">
        <f>VLOOKUP(A78,DataSet!$1:$1048576,5,FALSE)</f>
        <v>Arjun Patel</v>
      </c>
      <c r="H78" s="29">
        <f>INDEX(DataSet!B:B,MATCH('Advanced  Formulas'!A78,DataSet!A:A,0))</f>
        <v>45804</v>
      </c>
      <c r="I78" s="29">
        <f>INDEX(DataSet!C:C,MATCH('Advanced  Formulas'!A78,DataSet!A:A,0))</f>
        <v>46023</v>
      </c>
      <c r="J78" t="str">
        <f t="shared" si="5"/>
        <v>Review</v>
      </c>
      <c r="K78" s="10" t="str">
        <f>CONCATENATE(DataSet!E78,"-",DataSet!G78)</f>
        <v>Arjun Patel-Jaipur</v>
      </c>
    </row>
    <row r="79" spans="1:11">
      <c r="A79" t="str">
        <v>ORD-2026-00078</v>
      </c>
      <c r="B79" s="2">
        <v>1450</v>
      </c>
      <c r="C79" s="2">
        <v>373.62</v>
      </c>
      <c r="D79" s="28">
        <v>0</v>
      </c>
      <c r="E79" t="str">
        <f t="shared" si="3"/>
        <v>Profit</v>
      </c>
      <c r="F79" t="str">
        <f t="shared" si="4"/>
        <v>Low</v>
      </c>
      <c r="G79" t="str">
        <f>VLOOKUP(A79,DataSet!$1:$1048576,5,FALSE)</f>
        <v>Rohan Sheikh</v>
      </c>
      <c r="H79" s="29">
        <f>INDEX(DataSet!B:B,MATCH('Advanced  Formulas'!A79,DataSet!A:A,0))</f>
        <v>46276</v>
      </c>
      <c r="I79" s="29">
        <f>INDEX(DataSet!C:C,MATCH('Advanced  Formulas'!A79,DataSet!A:A,0))</f>
        <v>46024</v>
      </c>
      <c r="J79" t="str">
        <f t="shared" si="5"/>
        <v>Review</v>
      </c>
      <c r="K79" s="10" t="str">
        <f>CONCATENATE(DataSet!E79,"-",DataSet!G79)</f>
        <v>Rohan Sheikh-Kolkata</v>
      </c>
    </row>
    <row r="80" spans="1:11">
      <c r="A80" t="str">
        <v>ORD-2025-00079</v>
      </c>
      <c r="B80" s="2">
        <v>8360</v>
      </c>
      <c r="C80" s="2">
        <v>2226.5100000000002</v>
      </c>
      <c r="D80" s="28">
        <v>0.05</v>
      </c>
      <c r="E80" t="str">
        <f t="shared" si="3"/>
        <v>Profit</v>
      </c>
      <c r="F80" t="str">
        <f t="shared" si="4"/>
        <v>High</v>
      </c>
      <c r="G80" t="str">
        <f>VLOOKUP(A80,DataSet!$1:$1048576,5,FALSE)</f>
        <v>Anaya Rao</v>
      </c>
      <c r="H80" s="29">
        <f>INDEX(DataSet!B:B,MATCH('Advanced  Formulas'!A80,DataSet!A:A,0))</f>
        <v>45891</v>
      </c>
      <c r="I80" s="29">
        <f>INDEX(DataSet!C:C,MATCH('Advanced  Formulas'!A80,DataSet!A:A,0))</f>
        <v>46025</v>
      </c>
      <c r="J80" t="str">
        <f t="shared" si="5"/>
        <v>Good Order</v>
      </c>
      <c r="K80" s="10" t="str">
        <f>CONCATENATE(DataSet!E80,"-",DataSet!G80)</f>
        <v>Anaya Rao-Bengaluru</v>
      </c>
    </row>
    <row r="81" spans="1:11">
      <c r="A81" t="str">
        <v>ORD-2025-00080</v>
      </c>
      <c r="B81" s="2">
        <v>675</v>
      </c>
      <c r="C81" s="2">
        <v>230.92</v>
      </c>
      <c r="D81" s="28">
        <v>0.1</v>
      </c>
      <c r="E81" t="str">
        <f t="shared" si="3"/>
        <v>Profit</v>
      </c>
      <c r="F81" t="str">
        <f t="shared" si="4"/>
        <v>Low</v>
      </c>
      <c r="G81" t="str">
        <f>VLOOKUP(A81,DataSet!$1:$1048576,5,FALSE)</f>
        <v>Aditya Shah</v>
      </c>
      <c r="H81" s="29">
        <f>INDEX(DataSet!B:B,MATCH('Advanced  Formulas'!A81,DataSet!A:A,0))</f>
        <v>45713</v>
      </c>
      <c r="I81" s="29">
        <f>INDEX(DataSet!C:C,MATCH('Advanced  Formulas'!A81,DataSet!A:A,0))</f>
        <v>46026</v>
      </c>
      <c r="J81" t="str">
        <f t="shared" si="5"/>
        <v>Review</v>
      </c>
      <c r="K81" s="10" t="str">
        <f>CONCATENATE(DataSet!E81,"-",DataSet!G81)</f>
        <v>Aditya Shah-Jaipur</v>
      </c>
    </row>
    <row r="82" spans="1:11">
      <c r="A82" t="str">
        <v>ORD-2026-00081</v>
      </c>
      <c r="B82" s="2">
        <v>1600</v>
      </c>
      <c r="C82" s="2">
        <v>392.33</v>
      </c>
      <c r="D82" s="28">
        <v>0</v>
      </c>
      <c r="E82" t="str">
        <f t="shared" si="3"/>
        <v>Profit</v>
      </c>
      <c r="F82" t="str">
        <f t="shared" si="4"/>
        <v>Low</v>
      </c>
      <c r="G82" t="str">
        <f>VLOOKUP(A82,DataSet!$1:$1048576,5,FALSE)</f>
        <v>Fatima Kapoor</v>
      </c>
      <c r="H82" s="29">
        <f>INDEX(DataSet!B:B,MATCH('Advanced  Formulas'!A82,DataSet!A:A,0))</f>
        <v>46136</v>
      </c>
      <c r="I82" s="29">
        <f>INDEX(DataSet!C:C,MATCH('Advanced  Formulas'!A82,DataSet!A:A,0))</f>
        <v>46027</v>
      </c>
      <c r="J82" t="str">
        <f t="shared" si="5"/>
        <v>Review</v>
      </c>
      <c r="K82" s="10" t="str">
        <f>CONCATENATE(DataSet!E82,"-",DataSet!G82)</f>
        <v>Fatima Kapoor-Bengaluru</v>
      </c>
    </row>
    <row r="83" spans="1:11">
      <c r="A83" t="str">
        <v>ORD-2024-00082</v>
      </c>
      <c r="B83" s="2">
        <v>2048</v>
      </c>
      <c r="C83" s="2">
        <v>458.7</v>
      </c>
      <c r="D83" s="28">
        <v>0.2</v>
      </c>
      <c r="E83" t="str">
        <f t="shared" si="3"/>
        <v>Profit</v>
      </c>
      <c r="F83" t="str">
        <f t="shared" si="4"/>
        <v>Low</v>
      </c>
      <c r="G83" t="str">
        <f>VLOOKUP(A83,DataSet!$1:$1048576,5,FALSE)</f>
        <v>Meera Iyer</v>
      </c>
      <c r="H83" s="29">
        <f>INDEX(DataSet!B:B,MATCH('Advanced  Formulas'!A83,DataSet!A:A,0))</f>
        <v>45500</v>
      </c>
      <c r="I83" s="29">
        <f>INDEX(DataSet!C:C,MATCH('Advanced  Formulas'!A83,DataSet!A:A,0))</f>
        <v>46028</v>
      </c>
      <c r="J83" t="str">
        <f t="shared" si="5"/>
        <v>Review</v>
      </c>
      <c r="K83" s="10" t="str">
        <f>CONCATENATE(DataSet!E83,"-",DataSet!G83)</f>
        <v>Meera Iyer-Delhi</v>
      </c>
    </row>
    <row r="84" spans="1:11">
      <c r="A84" t="str">
        <v>ORD-2024-00083</v>
      </c>
      <c r="B84" s="2">
        <v>4400</v>
      </c>
      <c r="C84" s="2">
        <v>1144.0999999999999</v>
      </c>
      <c r="D84" s="28">
        <v>0</v>
      </c>
      <c r="E84" t="str">
        <f t="shared" si="3"/>
        <v>Profit</v>
      </c>
      <c r="F84" t="str">
        <f t="shared" si="4"/>
        <v>Medium</v>
      </c>
      <c r="G84" t="str">
        <f>VLOOKUP(A84,DataSet!$1:$1048576,5,FALSE)</f>
        <v>Vivaan Khan</v>
      </c>
      <c r="H84" s="29">
        <f>INDEX(DataSet!B:B,MATCH('Advanced  Formulas'!A84,DataSet!A:A,0))</f>
        <v>45610</v>
      </c>
      <c r="I84" s="29">
        <f>INDEX(DataSet!C:C,MATCH('Advanced  Formulas'!A84,DataSet!A:A,0))</f>
        <v>46029</v>
      </c>
      <c r="J84" t="str">
        <f t="shared" si="5"/>
        <v>Good Order</v>
      </c>
      <c r="K84" s="10" t="str">
        <f>CONCATENATE(DataSet!E84,"-",DataSet!G84)</f>
        <v>Vivaan Khan-Ahmedabad</v>
      </c>
    </row>
    <row r="85" spans="1:11">
      <c r="A85" t="str">
        <v>ORD-2025-00084</v>
      </c>
      <c r="B85" s="2">
        <v>12800</v>
      </c>
      <c r="C85" s="2">
        <v>3343.81</v>
      </c>
      <c r="D85" s="28">
        <v>0</v>
      </c>
      <c r="E85" t="str">
        <f t="shared" si="3"/>
        <v>Profit</v>
      </c>
      <c r="F85" t="str">
        <f t="shared" si="4"/>
        <v>High</v>
      </c>
      <c r="G85" t="str">
        <f>VLOOKUP(A85,DataSet!$1:$1048576,5,FALSE)</f>
        <v>Krish Desai</v>
      </c>
      <c r="H85" s="29">
        <f>INDEX(DataSet!B:B,MATCH('Advanced  Formulas'!A85,DataSet!A:A,0))</f>
        <v>45813</v>
      </c>
      <c r="I85" s="29">
        <f>INDEX(DataSet!C:C,MATCH('Advanced  Formulas'!A85,DataSet!A:A,0))</f>
        <v>46030</v>
      </c>
      <c r="J85" t="str">
        <f t="shared" si="5"/>
        <v>Good Order</v>
      </c>
      <c r="K85" s="10" t="str">
        <f>CONCATENATE(DataSet!E85,"-",DataSet!G85)</f>
        <v>Krish Desai-Rajkot</v>
      </c>
    </row>
    <row r="86" spans="1:11">
      <c r="A86" t="str">
        <v>ORD-2026-00085</v>
      </c>
      <c r="B86" s="2">
        <v>9642.5</v>
      </c>
      <c r="C86" s="2">
        <v>1249.6199999999999</v>
      </c>
      <c r="D86" s="28">
        <v>0.05</v>
      </c>
      <c r="E86" t="str">
        <f t="shared" si="3"/>
        <v>Profit</v>
      </c>
      <c r="F86" t="str">
        <f t="shared" si="4"/>
        <v>High</v>
      </c>
      <c r="G86" t="str">
        <f>VLOOKUP(A86,DataSet!$1:$1048576,5,FALSE)</f>
        <v>Arjun Rao</v>
      </c>
      <c r="H86" s="29">
        <f>INDEX(DataSet!B:B,MATCH('Advanced  Formulas'!A86,DataSet!A:A,0))</f>
        <v>46056</v>
      </c>
      <c r="I86" s="29">
        <f>INDEX(DataSet!C:C,MATCH('Advanced  Formulas'!A86,DataSet!A:A,0))</f>
        <v>46031</v>
      </c>
      <c r="J86" t="str">
        <f t="shared" si="5"/>
        <v>Good Order</v>
      </c>
      <c r="K86" s="10" t="str">
        <f>CONCATENATE(DataSet!E86,"-",DataSet!G86)</f>
        <v>Arjun Rao-Kolkata</v>
      </c>
    </row>
    <row r="87" spans="1:11">
      <c r="A87" t="str">
        <v>ORD-2026-00086</v>
      </c>
      <c r="B87" s="2">
        <v>2380</v>
      </c>
      <c r="C87" s="2">
        <v>551.14</v>
      </c>
      <c r="D87" s="28">
        <v>0.15</v>
      </c>
      <c r="E87" t="str">
        <f t="shared" si="3"/>
        <v>Profit</v>
      </c>
      <c r="F87" t="str">
        <f t="shared" si="4"/>
        <v>Low</v>
      </c>
      <c r="G87" t="str">
        <f>VLOOKUP(A87,DataSet!$1:$1048576,5,FALSE)</f>
        <v>Kiara Iyer</v>
      </c>
      <c r="H87" s="29">
        <f>INDEX(DataSet!B:B,MATCH('Advanced  Formulas'!A87,DataSet!A:A,0))</f>
        <v>46035</v>
      </c>
      <c r="I87" s="29">
        <f>INDEX(DataSet!C:C,MATCH('Advanced  Formulas'!A87,DataSet!A:A,0))</f>
        <v>46032</v>
      </c>
      <c r="J87" t="str">
        <f t="shared" si="5"/>
        <v>Review</v>
      </c>
      <c r="K87" s="10" t="str">
        <f>CONCATENATE(DataSet!E87,"-",DataSet!G87)</f>
        <v>Kiara Iyer-Kolkata</v>
      </c>
    </row>
    <row r="88" spans="1:11">
      <c r="A88" t="str">
        <v>ORD-2025-00087</v>
      </c>
      <c r="B88" s="2">
        <v>840</v>
      </c>
      <c r="C88" s="2">
        <v>132.25</v>
      </c>
      <c r="D88" s="28">
        <v>0</v>
      </c>
      <c r="E88" t="str">
        <f t="shared" si="3"/>
        <v>Loss</v>
      </c>
      <c r="F88" t="str">
        <f t="shared" si="4"/>
        <v>Low</v>
      </c>
      <c r="G88" t="str">
        <f>VLOOKUP(A88,DataSet!$1:$1048576,5,FALSE)</f>
        <v>Diya Trivedi</v>
      </c>
      <c r="H88" s="29">
        <f>INDEX(DataSet!B:B,MATCH('Advanced  Formulas'!A88,DataSet!A:A,0))</f>
        <v>45758</v>
      </c>
      <c r="I88" s="29">
        <f>INDEX(DataSet!C:C,MATCH('Advanced  Formulas'!A88,DataSet!A:A,0))</f>
        <v>46033</v>
      </c>
      <c r="J88" t="str">
        <f t="shared" si="5"/>
        <v>Review</v>
      </c>
      <c r="K88" s="10" t="str">
        <f>CONCATENATE(DataSet!E88,"-",DataSet!G88)</f>
        <v>Diya Trivedi-Kolkata</v>
      </c>
    </row>
    <row r="89" spans="1:11">
      <c r="A89" t="str">
        <v>ORD-2025-00088</v>
      </c>
      <c r="B89" s="2">
        <v>2800</v>
      </c>
      <c r="C89" s="2">
        <v>972.09</v>
      </c>
      <c r="D89" s="28">
        <v>0</v>
      </c>
      <c r="E89" t="str">
        <f t="shared" si="3"/>
        <v>Profit</v>
      </c>
      <c r="F89" t="str">
        <f t="shared" si="4"/>
        <v>Low</v>
      </c>
      <c r="G89" t="str">
        <f>VLOOKUP(A89,DataSet!$1:$1048576,5,FALSE)</f>
        <v>Yusuf Trivedi</v>
      </c>
      <c r="H89" s="29">
        <f>INDEX(DataSet!B:B,MATCH('Advanced  Formulas'!A89,DataSet!A:A,0))</f>
        <v>46014</v>
      </c>
      <c r="I89" s="29">
        <f>INDEX(DataSet!C:C,MATCH('Advanced  Formulas'!A89,DataSet!A:A,0))</f>
        <v>46034</v>
      </c>
      <c r="J89" t="str">
        <f t="shared" si="5"/>
        <v>Review</v>
      </c>
      <c r="K89" s="10" t="str">
        <f>CONCATENATE(DataSet!E89,"-",DataSet!G89)</f>
        <v>Yusuf Trivedi-Pune</v>
      </c>
    </row>
    <row r="90" spans="1:11">
      <c r="A90" t="str">
        <v>ORD-2024-00089</v>
      </c>
      <c r="B90" s="2">
        <v>2970</v>
      </c>
      <c r="C90" s="2">
        <v>411.52</v>
      </c>
      <c r="D90" s="28">
        <v>0.1</v>
      </c>
      <c r="E90" t="str">
        <f t="shared" si="3"/>
        <v>Profit</v>
      </c>
      <c r="F90" t="str">
        <f t="shared" si="4"/>
        <v>Low</v>
      </c>
      <c r="G90" t="str">
        <f>VLOOKUP(A90,DataSet!$1:$1048576,5,FALSE)</f>
        <v>Vivaan Shah</v>
      </c>
      <c r="H90" s="29">
        <f>INDEX(DataSet!B:B,MATCH('Advanced  Formulas'!A90,DataSet!A:A,0))</f>
        <v>45394</v>
      </c>
      <c r="I90" s="29">
        <f>INDEX(DataSet!C:C,MATCH('Advanced  Formulas'!A90,DataSet!A:A,0))</f>
        <v>46035</v>
      </c>
      <c r="J90" t="str">
        <f t="shared" si="5"/>
        <v>Review</v>
      </c>
      <c r="K90" s="10" t="str">
        <f>CONCATENATE(DataSet!E90,"-",DataSet!G90)</f>
        <v>Vivaan Shah-Indore</v>
      </c>
    </row>
    <row r="91" spans="1:11">
      <c r="A91" t="str">
        <v>ORD-2024-00090</v>
      </c>
      <c r="B91" s="2">
        <v>5280</v>
      </c>
      <c r="C91" s="2">
        <v>668.3</v>
      </c>
      <c r="D91" s="28">
        <v>0.2</v>
      </c>
      <c r="E91" t="str">
        <f t="shared" si="3"/>
        <v>Profit</v>
      </c>
      <c r="F91" t="str">
        <f t="shared" si="4"/>
        <v>Medium</v>
      </c>
      <c r="G91" t="str">
        <f>VLOOKUP(A91,DataSet!$1:$1048576,5,FALSE)</f>
        <v>Aditya Kapoor</v>
      </c>
      <c r="H91" s="29">
        <f>INDEX(DataSet!B:B,MATCH('Advanced  Formulas'!A91,DataSet!A:A,0))</f>
        <v>45638</v>
      </c>
      <c r="I91" s="29">
        <f>INDEX(DataSet!C:C,MATCH('Advanced  Formulas'!A91,DataSet!A:A,0))</f>
        <v>46036</v>
      </c>
      <c r="J91" t="str">
        <f t="shared" si="5"/>
        <v>Good Order</v>
      </c>
      <c r="K91" s="10" t="str">
        <f>CONCATENATE(DataSet!E91,"-",DataSet!G91)</f>
        <v>Aditya Kapoor-Chennai</v>
      </c>
    </row>
    <row r="92" spans="1:11">
      <c r="A92" t="str">
        <v>ORD-2026-00091</v>
      </c>
      <c r="B92" s="2">
        <v>4750</v>
      </c>
      <c r="C92" s="2">
        <v>882.74</v>
      </c>
      <c r="D92" s="28">
        <v>0</v>
      </c>
      <c r="E92" t="str">
        <f t="shared" si="3"/>
        <v>Profit</v>
      </c>
      <c r="F92" t="str">
        <f t="shared" si="4"/>
        <v>Medium</v>
      </c>
      <c r="G92" t="str">
        <f>VLOOKUP(A92,DataSet!$1:$1048576,5,FALSE)</f>
        <v>Anaya Iyer</v>
      </c>
      <c r="H92" s="29">
        <f>INDEX(DataSet!B:B,MATCH('Advanced  Formulas'!A92,DataSet!A:A,0))</f>
        <v>46185</v>
      </c>
      <c r="I92" s="29">
        <f>INDEX(DataSet!C:C,MATCH('Advanced  Formulas'!A92,DataSet!A:A,0))</f>
        <v>46037</v>
      </c>
      <c r="J92" t="str">
        <f t="shared" si="5"/>
        <v>Good Order</v>
      </c>
      <c r="K92" s="10" t="str">
        <f>CONCATENATE(DataSet!E92,"-",DataSet!G92)</f>
        <v>Anaya Iyer-Ahmedabad</v>
      </c>
    </row>
    <row r="93" spans="1:11">
      <c r="A93" t="str">
        <v>ORD-2025-00092</v>
      </c>
      <c r="B93" s="2">
        <v>3990</v>
      </c>
      <c r="C93" s="2">
        <v>660.36</v>
      </c>
      <c r="D93" s="28">
        <v>0.05</v>
      </c>
      <c r="E93" t="str">
        <f t="shared" si="3"/>
        <v>Profit</v>
      </c>
      <c r="F93" t="str">
        <f t="shared" si="4"/>
        <v>Medium</v>
      </c>
      <c r="G93" t="str">
        <f>VLOOKUP(A93,DataSet!$1:$1048576,5,FALSE)</f>
        <v>Zoya Trivedi</v>
      </c>
      <c r="H93" s="29">
        <f>INDEX(DataSet!B:B,MATCH('Advanced  Formulas'!A93,DataSet!A:A,0))</f>
        <v>45746</v>
      </c>
      <c r="I93" s="29">
        <f>INDEX(DataSet!C:C,MATCH('Advanced  Formulas'!A93,DataSet!A:A,0))</f>
        <v>46038</v>
      </c>
      <c r="J93" t="str">
        <f t="shared" si="5"/>
        <v>Good Order</v>
      </c>
      <c r="K93" s="10" t="str">
        <f>CONCATENATE(DataSet!E93,"-",DataSet!G93)</f>
        <v>Zoya Trivedi-Chennai</v>
      </c>
    </row>
    <row r="94" spans="1:11">
      <c r="A94" t="str">
        <v>ORD-2024-00093</v>
      </c>
      <c r="B94" s="2">
        <v>360</v>
      </c>
      <c r="C94" s="2">
        <v>79.75</v>
      </c>
      <c r="D94" s="28">
        <v>0</v>
      </c>
      <c r="E94" t="str">
        <f t="shared" si="3"/>
        <v>Loss</v>
      </c>
      <c r="F94" t="str">
        <f t="shared" si="4"/>
        <v>Low</v>
      </c>
      <c r="G94" t="str">
        <f>VLOOKUP(A94,DataSet!$1:$1048576,5,FALSE)</f>
        <v>Meera Kapoor</v>
      </c>
      <c r="H94" s="29">
        <f>INDEX(DataSet!B:B,MATCH('Advanced  Formulas'!A94,DataSet!A:A,0))</f>
        <v>45542</v>
      </c>
      <c r="I94" s="29">
        <f>INDEX(DataSet!C:C,MATCH('Advanced  Formulas'!A94,DataSet!A:A,0))</f>
        <v>46039</v>
      </c>
      <c r="J94" t="str">
        <f t="shared" si="5"/>
        <v>Review</v>
      </c>
      <c r="K94" s="10" t="str">
        <f>CONCATENATE(DataSet!E94,"-",DataSet!G94)</f>
        <v>Meera Kapoor-Pune</v>
      </c>
    </row>
    <row r="95" spans="1:11">
      <c r="A95" t="str">
        <v>ORD-2026-00094</v>
      </c>
      <c r="B95" s="2">
        <v>675</v>
      </c>
      <c r="C95" s="2">
        <v>201.57</v>
      </c>
      <c r="D95" s="28">
        <v>0.1</v>
      </c>
      <c r="E95" t="str">
        <f t="shared" si="3"/>
        <v>Profit</v>
      </c>
      <c r="F95" t="str">
        <f t="shared" si="4"/>
        <v>Low</v>
      </c>
      <c r="G95" t="str">
        <f>VLOOKUP(A95,DataSet!$1:$1048576,5,FALSE)</f>
        <v>Rohan Sheikh</v>
      </c>
      <c r="H95" s="29">
        <f>INDEX(DataSet!B:B,MATCH('Advanced  Formulas'!A95,DataSet!A:A,0))</f>
        <v>46226</v>
      </c>
      <c r="I95" s="29">
        <f>INDEX(DataSet!C:C,MATCH('Advanced  Formulas'!A95,DataSet!A:A,0))</f>
        <v>46040</v>
      </c>
      <c r="J95" t="str">
        <f t="shared" si="5"/>
        <v>Review</v>
      </c>
      <c r="K95" s="10" t="str">
        <f>CONCATENATE(DataSet!E95,"-",DataSet!G95)</f>
        <v>Rohan Sheikh-Surat</v>
      </c>
    </row>
    <row r="96" spans="1:11">
      <c r="A96" t="str">
        <v>ORD-2024-00095</v>
      </c>
      <c r="B96" s="2">
        <v>12400</v>
      </c>
      <c r="C96" s="2">
        <v>1238.42</v>
      </c>
      <c r="D96" s="28">
        <v>0.2</v>
      </c>
      <c r="E96" t="str">
        <f t="shared" si="3"/>
        <v>Profit</v>
      </c>
      <c r="F96" t="str">
        <f t="shared" si="4"/>
        <v>High</v>
      </c>
      <c r="G96" t="str">
        <f>VLOOKUP(A96,DataSet!$1:$1048576,5,FALSE)</f>
        <v>Arjun Khan</v>
      </c>
      <c r="H96" s="29">
        <f>INDEX(DataSet!B:B,MATCH('Advanced  Formulas'!A96,DataSet!A:A,0))</f>
        <v>45453</v>
      </c>
      <c r="I96" s="29">
        <f>INDEX(DataSet!C:C,MATCH('Advanced  Formulas'!A96,DataSet!A:A,0))</f>
        <v>46041</v>
      </c>
      <c r="J96" t="str">
        <f t="shared" si="5"/>
        <v>Good Order</v>
      </c>
      <c r="K96" s="10" t="str">
        <f>CONCATENATE(DataSet!E96,"-",DataSet!G96)</f>
        <v>Arjun Khan-Jaipur</v>
      </c>
    </row>
    <row r="97" spans="1:11">
      <c r="A97" t="str">
        <v>ORD-2025-00096</v>
      </c>
      <c r="B97" s="2">
        <v>5652.5</v>
      </c>
      <c r="C97" s="2">
        <v>1493.22</v>
      </c>
      <c r="D97" s="28">
        <v>0.15</v>
      </c>
      <c r="E97" t="str">
        <f t="shared" si="3"/>
        <v>Profit</v>
      </c>
      <c r="F97" t="str">
        <f t="shared" si="4"/>
        <v>Medium</v>
      </c>
      <c r="G97" t="str">
        <f>VLOOKUP(A97,DataSet!$1:$1048576,5,FALSE)</f>
        <v>Sara Patel</v>
      </c>
      <c r="H97" s="29">
        <f>INDEX(DataSet!B:B,MATCH('Advanced  Formulas'!A97,DataSet!A:A,0))</f>
        <v>45685</v>
      </c>
      <c r="I97" s="29">
        <f>INDEX(DataSet!C:C,MATCH('Advanced  Formulas'!A97,DataSet!A:A,0))</f>
        <v>46042</v>
      </c>
      <c r="J97" t="str">
        <f t="shared" si="5"/>
        <v>Good Order</v>
      </c>
      <c r="K97" s="10" t="str">
        <f>CONCATENATE(DataSet!E97,"-",DataSet!G97)</f>
        <v>Sara Patel-Jaipur</v>
      </c>
    </row>
    <row r="98" spans="1:11">
      <c r="A98" t="str">
        <v>ORD-2024-00097</v>
      </c>
      <c r="B98" s="2">
        <v>64600</v>
      </c>
      <c r="C98" s="2">
        <v>11034.15</v>
      </c>
      <c r="D98" s="28">
        <v>0.05</v>
      </c>
      <c r="E98" t="str">
        <f t="shared" si="3"/>
        <v>Profit</v>
      </c>
      <c r="F98" t="str">
        <f t="shared" si="4"/>
        <v>High</v>
      </c>
      <c r="G98" t="str">
        <f>VLOOKUP(A98,DataSet!$1:$1048576,5,FALSE)</f>
        <v>Meera Iyer</v>
      </c>
      <c r="H98" s="29">
        <f>INDEX(DataSet!B:B,MATCH('Advanced  Formulas'!A98,DataSet!A:A,0))</f>
        <v>45573</v>
      </c>
      <c r="I98" s="29">
        <f>INDEX(DataSet!C:C,MATCH('Advanced  Formulas'!A98,DataSet!A:A,0))</f>
        <v>46043</v>
      </c>
      <c r="J98" t="str">
        <f t="shared" si="5"/>
        <v>Good Order</v>
      </c>
      <c r="K98" s="10" t="str">
        <f>CONCATENATE(DataSet!E98,"-",DataSet!G98)</f>
        <v>Meera Iyer-Lucknow</v>
      </c>
    </row>
    <row r="99" spans="1:11">
      <c r="A99" t="str">
        <v>ORD-2025-00098</v>
      </c>
      <c r="B99" s="2">
        <v>10400</v>
      </c>
      <c r="C99" s="2">
        <v>1892.29</v>
      </c>
      <c r="D99" s="28">
        <v>0.2</v>
      </c>
      <c r="E99" t="str">
        <f t="shared" si="3"/>
        <v>Profit</v>
      </c>
      <c r="F99" t="str">
        <f t="shared" si="4"/>
        <v>High</v>
      </c>
      <c r="G99" t="str">
        <f>VLOOKUP(A99,DataSet!$1:$1048576,5,FALSE)</f>
        <v>Rohan Patel</v>
      </c>
      <c r="H99" s="29">
        <f>INDEX(DataSet!B:B,MATCH('Advanced  Formulas'!A99,DataSet!A:A,0))</f>
        <v>45943</v>
      </c>
      <c r="I99" s="29">
        <f>INDEX(DataSet!C:C,MATCH('Advanced  Formulas'!A99,DataSet!A:A,0))</f>
        <v>46044</v>
      </c>
      <c r="J99" t="str">
        <f t="shared" si="5"/>
        <v>Good Order</v>
      </c>
      <c r="K99" s="10" t="str">
        <f>CONCATENATE(DataSet!E99,"-",DataSet!G99)</f>
        <v>Rohan Patel-Lucknow</v>
      </c>
    </row>
    <row r="100" spans="1:11">
      <c r="A100" t="str">
        <v>ORD-2026-00099</v>
      </c>
      <c r="B100" s="2">
        <v>19600</v>
      </c>
      <c r="C100" s="2">
        <v>6424.75</v>
      </c>
      <c r="D100" s="28">
        <v>0</v>
      </c>
      <c r="E100" t="str">
        <f t="shared" si="3"/>
        <v>Profit</v>
      </c>
      <c r="F100" t="str">
        <f t="shared" si="4"/>
        <v>High</v>
      </c>
      <c r="G100" t="str">
        <f>VLOOKUP(A100,DataSet!$1:$1048576,5,FALSE)</f>
        <v>Kiara Sheikh</v>
      </c>
      <c r="H100" s="29">
        <f>INDEX(DataSet!B:B,MATCH('Advanced  Formulas'!A100,DataSet!A:A,0))</f>
        <v>46041</v>
      </c>
      <c r="I100" s="29">
        <f>INDEX(DataSet!C:C,MATCH('Advanced  Formulas'!A100,DataSet!A:A,0))</f>
        <v>46045</v>
      </c>
      <c r="J100" t="str">
        <f t="shared" si="5"/>
        <v>Good Order</v>
      </c>
      <c r="K100" s="10" t="str">
        <f>CONCATENATE(DataSet!E100,"-",DataSet!G100)</f>
        <v>Kiara Sheikh-Bhavnagar</v>
      </c>
    </row>
    <row r="101" spans="1:11">
      <c r="A101" t="str">
        <v>ORD-2025-00100</v>
      </c>
      <c r="B101" s="2">
        <v>2432</v>
      </c>
      <c r="C101" s="2">
        <v>433.86</v>
      </c>
      <c r="D101" s="28">
        <v>0.05</v>
      </c>
      <c r="E101" t="str">
        <f t="shared" si="3"/>
        <v>Profit</v>
      </c>
      <c r="F101" t="str">
        <f t="shared" si="4"/>
        <v>Low</v>
      </c>
      <c r="G101" t="str">
        <f>VLOOKUP(A101,DataSet!$1:$1048576,5,FALSE)</f>
        <v>Anaya Khan</v>
      </c>
      <c r="H101" s="29">
        <f>INDEX(DataSet!B:B,MATCH('Advanced  Formulas'!A101,DataSet!A:A,0))</f>
        <v>45805</v>
      </c>
      <c r="I101" s="29">
        <f>INDEX(DataSet!C:C,MATCH('Advanced  Formulas'!A101,DataSet!A:A,0))</f>
        <v>46046</v>
      </c>
      <c r="J101" t="str">
        <f t="shared" si="5"/>
        <v>Review</v>
      </c>
      <c r="K101" s="10" t="str">
        <f>CONCATENATE(DataSet!E101,"-",DataSet!G101)</f>
        <v>Anaya Khan-Kolkata</v>
      </c>
    </row>
    <row r="102" spans="1:11">
      <c r="A102" t="str">
        <v>ORD-2026-00101</v>
      </c>
      <c r="B102" s="2">
        <v>1320</v>
      </c>
      <c r="C102" s="2">
        <v>230.24</v>
      </c>
      <c r="D102" s="28">
        <v>0</v>
      </c>
      <c r="E102" t="str">
        <f t="shared" si="3"/>
        <v>Profit</v>
      </c>
      <c r="F102" t="str">
        <f t="shared" si="4"/>
        <v>Low</v>
      </c>
      <c r="G102" t="str">
        <f>VLOOKUP(A102,DataSet!$1:$1048576,5,FALSE)</f>
        <v>Arjun Soni</v>
      </c>
      <c r="H102" s="29">
        <f>INDEX(DataSet!B:B,MATCH('Advanced  Formulas'!A102,DataSet!A:A,0))</f>
        <v>46064</v>
      </c>
      <c r="I102" s="29">
        <f>INDEX(DataSet!C:C,MATCH('Advanced  Formulas'!A102,DataSet!A:A,0))</f>
        <v>46047</v>
      </c>
      <c r="J102" t="str">
        <f t="shared" si="5"/>
        <v>Review</v>
      </c>
      <c r="K102" s="10" t="str">
        <f>CONCATENATE(DataSet!E102,"-",DataSet!G102)</f>
        <v>Arjun Soni-Kolkata</v>
      </c>
    </row>
    <row r="103" spans="1:11">
      <c r="A103" t="str">
        <v>ORD-2025-00102</v>
      </c>
      <c r="B103" s="2">
        <v>17360</v>
      </c>
      <c r="C103" s="2">
        <v>1831.9</v>
      </c>
      <c r="D103" s="28">
        <v>0.2</v>
      </c>
      <c r="E103" t="str">
        <f t="shared" si="3"/>
        <v>Profit</v>
      </c>
      <c r="F103" t="str">
        <f t="shared" si="4"/>
        <v>High</v>
      </c>
      <c r="G103" t="str">
        <f>VLOOKUP(A103,DataSet!$1:$1048576,5,FALSE)</f>
        <v>Myra Khan</v>
      </c>
      <c r="H103" s="29">
        <f>INDEX(DataSet!B:B,MATCH('Advanced  Formulas'!A103,DataSet!A:A,0))</f>
        <v>45669</v>
      </c>
      <c r="I103" s="29">
        <f>INDEX(DataSet!C:C,MATCH('Advanced  Formulas'!A103,DataSet!A:A,0))</f>
        <v>46048</v>
      </c>
      <c r="J103" t="str">
        <f t="shared" si="5"/>
        <v>Good Order</v>
      </c>
      <c r="K103" s="10" t="str">
        <f>CONCATENATE(DataSet!E103,"-",DataSet!G103)</f>
        <v>Myra Khan-Chennai</v>
      </c>
    </row>
    <row r="104" spans="1:11">
      <c r="A104" t="str">
        <v>ORD-2026-00103</v>
      </c>
      <c r="B104" s="2">
        <v>1152</v>
      </c>
      <c r="C104" s="2">
        <v>312.69</v>
      </c>
      <c r="D104" s="28">
        <v>0.2</v>
      </c>
      <c r="E104" t="str">
        <f t="shared" si="3"/>
        <v>Profit</v>
      </c>
      <c r="F104" t="str">
        <f t="shared" si="4"/>
        <v>Low</v>
      </c>
      <c r="G104" t="str">
        <f>VLOOKUP(A104,DataSet!$1:$1048576,5,FALSE)</f>
        <v>Anaya Mehta</v>
      </c>
      <c r="H104" s="29">
        <f>INDEX(DataSet!B:B,MATCH('Advanced  Formulas'!A104,DataSet!A:A,0))</f>
        <v>46197</v>
      </c>
      <c r="I104" s="29">
        <f>INDEX(DataSet!C:C,MATCH('Advanced  Formulas'!A104,DataSet!A:A,0))</f>
        <v>46049</v>
      </c>
      <c r="J104" t="str">
        <f t="shared" si="5"/>
        <v>Review</v>
      </c>
      <c r="K104" s="10" t="str">
        <f>CONCATENATE(DataSet!E104,"-",DataSet!G104)</f>
        <v>Anaya Mehta-Mumbai</v>
      </c>
    </row>
    <row r="105" spans="1:11">
      <c r="A105" t="str">
        <v>ORD-2024-00104</v>
      </c>
      <c r="B105" s="2">
        <v>2565</v>
      </c>
      <c r="C105" s="2">
        <v>633.69000000000005</v>
      </c>
      <c r="D105" s="28">
        <v>0.1</v>
      </c>
      <c r="E105" t="str">
        <f t="shared" si="3"/>
        <v>Profit</v>
      </c>
      <c r="F105" t="str">
        <f t="shared" si="4"/>
        <v>Low</v>
      </c>
      <c r="G105" t="str">
        <f>VLOOKUP(A105,DataSet!$1:$1048576,5,FALSE)</f>
        <v>Kiara Panjwani</v>
      </c>
      <c r="H105" s="29">
        <f>INDEX(DataSet!B:B,MATCH('Advanced  Formulas'!A105,DataSet!A:A,0))</f>
        <v>45603</v>
      </c>
      <c r="I105" s="29">
        <f>INDEX(DataSet!C:C,MATCH('Advanced  Formulas'!A105,DataSet!A:A,0))</f>
        <v>46050</v>
      </c>
      <c r="J105" t="str">
        <f t="shared" si="5"/>
        <v>Review</v>
      </c>
      <c r="K105" s="10" t="str">
        <f>CONCATENATE(DataSet!E105,"-",DataSet!G105)</f>
        <v>Kiara Panjwani-Bhavnagar</v>
      </c>
    </row>
    <row r="106" spans="1:11">
      <c r="A106" t="str">
        <v>ORD-2026-00105</v>
      </c>
      <c r="B106" s="2">
        <v>3657.5</v>
      </c>
      <c r="C106" s="2">
        <v>1331.31</v>
      </c>
      <c r="D106" s="28">
        <v>0.05</v>
      </c>
      <c r="E106" t="str">
        <f t="shared" si="3"/>
        <v>Profit</v>
      </c>
      <c r="F106" t="str">
        <f t="shared" si="4"/>
        <v>Medium</v>
      </c>
      <c r="G106" t="str">
        <f>VLOOKUP(A106,DataSet!$1:$1048576,5,FALSE)</f>
        <v>Reyansh Khan</v>
      </c>
      <c r="H106" s="29">
        <f>INDEX(DataSet!B:B,MATCH('Advanced  Formulas'!A106,DataSet!A:A,0))</f>
        <v>46198</v>
      </c>
      <c r="I106" s="29">
        <f>INDEX(DataSet!C:C,MATCH('Advanced  Formulas'!A106,DataSet!A:A,0))</f>
        <v>46051</v>
      </c>
      <c r="J106" t="str">
        <f t="shared" si="5"/>
        <v>Good Order</v>
      </c>
      <c r="K106" s="10" t="str">
        <f>CONCATENATE(DataSet!E106,"-",DataSet!G106)</f>
        <v>Reyansh Khan-Bengaluru</v>
      </c>
    </row>
    <row r="107" spans="1:11">
      <c r="A107" t="str">
        <v>ORD-2026-00106</v>
      </c>
      <c r="B107" s="2">
        <v>18600</v>
      </c>
      <c r="C107" s="2">
        <v>5142.6000000000004</v>
      </c>
      <c r="D107" s="28">
        <v>0</v>
      </c>
      <c r="E107" t="str">
        <f t="shared" si="3"/>
        <v>Profit</v>
      </c>
      <c r="F107" t="str">
        <f t="shared" si="4"/>
        <v>High</v>
      </c>
      <c r="G107" t="str">
        <f>VLOOKUP(A107,DataSet!$1:$1048576,5,FALSE)</f>
        <v>Anaya Rao</v>
      </c>
      <c r="H107" s="29">
        <f>INDEX(DataSet!B:B,MATCH('Advanced  Formulas'!A107,DataSet!A:A,0))</f>
        <v>46167</v>
      </c>
      <c r="I107" s="29">
        <f>INDEX(DataSet!C:C,MATCH('Advanced  Formulas'!A107,DataSet!A:A,0))</f>
        <v>46052</v>
      </c>
      <c r="J107" t="str">
        <f t="shared" si="5"/>
        <v>Good Order</v>
      </c>
      <c r="K107" s="10" t="str">
        <f>CONCATENATE(DataSet!E107,"-",DataSet!G107)</f>
        <v>Anaya Rao-Bhavnagar</v>
      </c>
    </row>
    <row r="108" spans="1:11">
      <c r="A108" t="str">
        <v>ORD-2025-00107</v>
      </c>
      <c r="B108" s="2">
        <v>3900</v>
      </c>
      <c r="C108" s="2">
        <v>479.34</v>
      </c>
      <c r="D108" s="28">
        <v>0</v>
      </c>
      <c r="E108" t="str">
        <f t="shared" si="3"/>
        <v>Profit</v>
      </c>
      <c r="F108" t="str">
        <f t="shared" si="4"/>
        <v>Medium</v>
      </c>
      <c r="G108" t="str">
        <f>VLOOKUP(A108,DataSet!$1:$1048576,5,FALSE)</f>
        <v>Yusuf Desai</v>
      </c>
      <c r="H108" s="29">
        <f>INDEX(DataSet!B:B,MATCH('Advanced  Formulas'!A108,DataSet!A:A,0))</f>
        <v>45970</v>
      </c>
      <c r="I108" s="29">
        <f>INDEX(DataSet!C:C,MATCH('Advanced  Formulas'!A108,DataSet!A:A,0))</f>
        <v>46053</v>
      </c>
      <c r="J108" t="str">
        <f t="shared" si="5"/>
        <v>Good Order</v>
      </c>
      <c r="K108" s="10" t="str">
        <f>CONCATENATE(DataSet!E108,"-",DataSet!G108)</f>
        <v>Yusuf Desai-Bengaluru</v>
      </c>
    </row>
    <row r="109" spans="1:11">
      <c r="A109" t="str">
        <v>ORD-2024-00108</v>
      </c>
      <c r="B109" s="2">
        <v>816</v>
      </c>
      <c r="C109" s="2">
        <v>291.12</v>
      </c>
      <c r="D109" s="28">
        <v>0.15</v>
      </c>
      <c r="E109" t="str">
        <f t="shared" si="3"/>
        <v>Profit</v>
      </c>
      <c r="F109" t="str">
        <f t="shared" si="4"/>
        <v>Low</v>
      </c>
      <c r="G109" t="str">
        <f>VLOOKUP(A109,DataSet!$1:$1048576,5,FALSE)</f>
        <v>Vivaan Mehta</v>
      </c>
      <c r="H109" s="29">
        <f>INDEX(DataSet!B:B,MATCH('Advanced  Formulas'!A109,DataSet!A:A,0))</f>
        <v>45504</v>
      </c>
      <c r="I109" s="29">
        <f>INDEX(DataSet!C:C,MATCH('Advanced  Formulas'!A109,DataSet!A:A,0))</f>
        <v>46054</v>
      </c>
      <c r="J109" t="str">
        <f t="shared" si="5"/>
        <v>Review</v>
      </c>
      <c r="K109" s="10" t="str">
        <f>CONCATENATE(DataSet!E109,"-",DataSet!G109)</f>
        <v>Vivaan Mehta-Vadodara</v>
      </c>
    </row>
    <row r="110" spans="1:11">
      <c r="A110" t="str">
        <v>ORD-2026-00109</v>
      </c>
      <c r="B110" s="2">
        <v>902.5</v>
      </c>
      <c r="C110" s="2">
        <v>150.81</v>
      </c>
      <c r="D110" s="28">
        <v>0.05</v>
      </c>
      <c r="E110" t="str">
        <f t="shared" si="3"/>
        <v>Loss</v>
      </c>
      <c r="F110" t="str">
        <f t="shared" si="4"/>
        <v>Low</v>
      </c>
      <c r="G110" t="str">
        <f>VLOOKUP(A110,DataSet!$1:$1048576,5,FALSE)</f>
        <v>Yusuf Trivedi</v>
      </c>
      <c r="H110" s="29">
        <f>INDEX(DataSet!B:B,MATCH('Advanced  Formulas'!A110,DataSet!A:A,0))</f>
        <v>46109</v>
      </c>
      <c r="I110" s="29">
        <f>INDEX(DataSet!C:C,MATCH('Advanced  Formulas'!A110,DataSet!A:A,0))</f>
        <v>46055</v>
      </c>
      <c r="J110" t="str">
        <f t="shared" si="5"/>
        <v>Review</v>
      </c>
      <c r="K110" s="10" t="str">
        <f>CONCATENATE(DataSet!E110,"-",DataSet!G110)</f>
        <v>Yusuf Trivedi-Bhavnagar</v>
      </c>
    </row>
    <row r="111" spans="1:11">
      <c r="A111" t="str">
        <v>ORD-2024-00110</v>
      </c>
      <c r="B111" s="2">
        <v>352</v>
      </c>
      <c r="C111" s="2">
        <v>117.38</v>
      </c>
      <c r="D111" s="28">
        <v>0.2</v>
      </c>
      <c r="E111" t="str">
        <f t="shared" si="3"/>
        <v>Loss</v>
      </c>
      <c r="F111" t="str">
        <f t="shared" si="4"/>
        <v>Low</v>
      </c>
      <c r="G111" t="str">
        <f>VLOOKUP(A111,DataSet!$1:$1048576,5,FALSE)</f>
        <v>Zoya Soni</v>
      </c>
      <c r="H111" s="29">
        <f>INDEX(DataSet!B:B,MATCH('Advanced  Formulas'!A111,DataSet!A:A,0))</f>
        <v>45563</v>
      </c>
      <c r="I111" s="29">
        <f>INDEX(DataSet!C:C,MATCH('Advanced  Formulas'!A111,DataSet!A:A,0))</f>
        <v>46056</v>
      </c>
      <c r="J111" t="str">
        <f t="shared" si="5"/>
        <v>Review</v>
      </c>
      <c r="K111" s="10" t="str">
        <f>CONCATENATE(DataSet!E111,"-",DataSet!G111)</f>
        <v>Zoya Soni-Surat</v>
      </c>
    </row>
    <row r="112" spans="1:11">
      <c r="A112" t="str">
        <v>ORD-2025-00111</v>
      </c>
      <c r="B112" s="2">
        <v>38250</v>
      </c>
      <c r="C112" s="2">
        <v>7563.23</v>
      </c>
      <c r="D112" s="28">
        <v>0.1</v>
      </c>
      <c r="E112" t="str">
        <f t="shared" si="3"/>
        <v>Profit</v>
      </c>
      <c r="F112" t="str">
        <f t="shared" si="4"/>
        <v>High</v>
      </c>
      <c r="G112" t="str">
        <f>VLOOKUP(A112,DataSet!$1:$1048576,5,FALSE)</f>
        <v>Diya Khan</v>
      </c>
      <c r="H112" s="29">
        <f>INDEX(DataSet!B:B,MATCH('Advanced  Formulas'!A112,DataSet!A:A,0))</f>
        <v>45754</v>
      </c>
      <c r="I112" s="29">
        <f>INDEX(DataSet!C:C,MATCH('Advanced  Formulas'!A112,DataSet!A:A,0))</f>
        <v>46057</v>
      </c>
      <c r="J112" t="str">
        <f t="shared" si="5"/>
        <v>Good Order</v>
      </c>
      <c r="K112" s="10" t="str">
        <f>CONCATENATE(DataSet!E112,"-",DataSet!G112)</f>
        <v>Diya Khan-Vadodara</v>
      </c>
    </row>
    <row r="113" spans="1:11">
      <c r="A113" t="str">
        <v>ORD-2025-00112</v>
      </c>
      <c r="B113" s="2">
        <v>2090</v>
      </c>
      <c r="C113" s="2">
        <v>447.98</v>
      </c>
      <c r="D113" s="28">
        <v>0.05</v>
      </c>
      <c r="E113" t="str">
        <f t="shared" si="3"/>
        <v>Profit</v>
      </c>
      <c r="F113" t="str">
        <f t="shared" si="4"/>
        <v>Low</v>
      </c>
      <c r="G113" t="str">
        <f>VLOOKUP(A113,DataSet!$1:$1048576,5,FALSE)</f>
        <v>Vivaan Joshi</v>
      </c>
      <c r="H113" s="29">
        <f>INDEX(DataSet!B:B,MATCH('Advanced  Formulas'!A113,DataSet!A:A,0))</f>
        <v>45994</v>
      </c>
      <c r="I113" s="29">
        <f>INDEX(DataSet!C:C,MATCH('Advanced  Formulas'!A113,DataSet!A:A,0))</f>
        <v>46058</v>
      </c>
      <c r="J113" t="str">
        <f t="shared" si="5"/>
        <v>Review</v>
      </c>
      <c r="K113" s="10" t="str">
        <f>CONCATENATE(DataSet!E113,"-",DataSet!G113)</f>
        <v>Vivaan Joshi-Jaipur</v>
      </c>
    </row>
    <row r="114" spans="1:11">
      <c r="A114" t="str">
        <v>ORD-2025-00113</v>
      </c>
      <c r="B114" s="2">
        <v>990</v>
      </c>
      <c r="C114" s="2">
        <v>231.22</v>
      </c>
      <c r="D114" s="28">
        <v>0.1</v>
      </c>
      <c r="E114" t="str">
        <f t="shared" si="3"/>
        <v>Profit</v>
      </c>
      <c r="F114" t="str">
        <f t="shared" si="4"/>
        <v>Low</v>
      </c>
      <c r="G114" t="str">
        <f>VLOOKUP(A114,DataSet!$1:$1048576,5,FALSE)</f>
        <v>Anaya Iyer</v>
      </c>
      <c r="H114" s="29">
        <f>INDEX(DataSet!B:B,MATCH('Advanced  Formulas'!A114,DataSet!A:A,0))</f>
        <v>45853</v>
      </c>
      <c r="I114" s="29">
        <f>INDEX(DataSet!C:C,MATCH('Advanced  Formulas'!A114,DataSet!A:A,0))</f>
        <v>46059</v>
      </c>
      <c r="J114" t="str">
        <f t="shared" si="5"/>
        <v>Review</v>
      </c>
      <c r="K114" s="10" t="str">
        <f>CONCATENATE(DataSet!E114,"-",DataSet!G114)</f>
        <v>Anaya Iyer-Mumbai</v>
      </c>
    </row>
    <row r="115" spans="1:11">
      <c r="A115" t="str">
        <v>ORD-2026-00114</v>
      </c>
      <c r="B115" s="2">
        <v>1200</v>
      </c>
      <c r="C115" s="2">
        <v>326.89</v>
      </c>
      <c r="D115" s="28">
        <v>0</v>
      </c>
      <c r="E115" t="str">
        <f t="shared" si="3"/>
        <v>Profit</v>
      </c>
      <c r="F115" t="str">
        <f t="shared" si="4"/>
        <v>Low</v>
      </c>
      <c r="G115" t="str">
        <f>VLOOKUP(A115,DataSet!$1:$1048576,5,FALSE)</f>
        <v>Rohan Panjwani</v>
      </c>
      <c r="H115" s="29">
        <f>INDEX(DataSet!B:B,MATCH('Advanced  Formulas'!A115,DataSet!A:A,0))</f>
        <v>46165</v>
      </c>
      <c r="I115" s="29">
        <f>INDEX(DataSet!C:C,MATCH('Advanced  Formulas'!A115,DataSet!A:A,0))</f>
        <v>46060</v>
      </c>
      <c r="J115" t="str">
        <f t="shared" si="5"/>
        <v>Review</v>
      </c>
      <c r="K115" s="10" t="str">
        <f>CONCATENATE(DataSet!E115,"-",DataSet!G115)</f>
        <v>Rohan Panjwani-Bengaluru</v>
      </c>
    </row>
    <row r="116" spans="1:11">
      <c r="A116" t="str">
        <v>ORD-2024-00115</v>
      </c>
      <c r="B116" s="2">
        <v>6720</v>
      </c>
      <c r="C116" s="2">
        <v>739.36</v>
      </c>
      <c r="D116" s="28">
        <v>0.2</v>
      </c>
      <c r="E116" t="str">
        <f t="shared" si="3"/>
        <v>Profit</v>
      </c>
      <c r="F116" t="str">
        <f t="shared" si="4"/>
        <v>High</v>
      </c>
      <c r="G116" t="str">
        <f>VLOOKUP(A116,DataSet!$1:$1048576,5,FALSE)</f>
        <v>Kabir Rao</v>
      </c>
      <c r="H116" s="29">
        <f>INDEX(DataSet!B:B,MATCH('Advanced  Formulas'!A116,DataSet!A:A,0))</f>
        <v>45612</v>
      </c>
      <c r="I116" s="29">
        <f>INDEX(DataSet!C:C,MATCH('Advanced  Formulas'!A116,DataSet!A:A,0))</f>
        <v>46061</v>
      </c>
      <c r="J116" t="str">
        <f t="shared" si="5"/>
        <v>Good Order</v>
      </c>
      <c r="K116" s="10" t="str">
        <f>CONCATENATE(DataSet!E116,"-",DataSet!G116)</f>
        <v>Kabir Rao-Mumbai</v>
      </c>
    </row>
    <row r="117" spans="1:11">
      <c r="A117" t="str">
        <v>ORD-2025-00116</v>
      </c>
      <c r="B117" s="2">
        <v>5525</v>
      </c>
      <c r="C117" s="2">
        <v>601</v>
      </c>
      <c r="D117" s="28">
        <v>0.15</v>
      </c>
      <c r="E117" t="str">
        <f t="shared" si="3"/>
        <v>Profit</v>
      </c>
      <c r="F117" t="str">
        <f t="shared" si="4"/>
        <v>Medium</v>
      </c>
      <c r="G117" t="str">
        <f>VLOOKUP(A117,DataSet!$1:$1048576,5,FALSE)</f>
        <v>Aditya Kapoor</v>
      </c>
      <c r="H117" s="29">
        <f>INDEX(DataSet!B:B,MATCH('Advanced  Formulas'!A117,DataSet!A:A,0))</f>
        <v>45734</v>
      </c>
      <c r="I117" s="29">
        <f>INDEX(DataSet!C:C,MATCH('Advanced  Formulas'!A117,DataSet!A:A,0))</f>
        <v>46062</v>
      </c>
      <c r="J117" t="str">
        <f t="shared" si="5"/>
        <v>Good Order</v>
      </c>
      <c r="K117" s="10" t="str">
        <f>CONCATENATE(DataSet!E117,"-",DataSet!G117)</f>
        <v>Aditya Kapoor-Chennai</v>
      </c>
    </row>
    <row r="118" spans="1:11">
      <c r="A118" t="str">
        <v>ORD-2024-00117</v>
      </c>
      <c r="B118" s="2">
        <v>4675</v>
      </c>
      <c r="C118" s="2">
        <v>1291.53</v>
      </c>
      <c r="D118" s="28">
        <v>0.15</v>
      </c>
      <c r="E118" t="str">
        <f t="shared" si="3"/>
        <v>Profit</v>
      </c>
      <c r="F118" t="str">
        <f t="shared" si="4"/>
        <v>Medium</v>
      </c>
      <c r="G118" t="str">
        <f>VLOOKUP(A118,DataSet!$1:$1048576,5,FALSE)</f>
        <v>Yusuf Soni</v>
      </c>
      <c r="H118" s="29">
        <f>INDEX(DataSet!B:B,MATCH('Advanced  Formulas'!A118,DataSet!A:A,0))</f>
        <v>45654</v>
      </c>
      <c r="I118" s="29">
        <f>INDEX(DataSet!C:C,MATCH('Advanced  Formulas'!A118,DataSet!A:A,0))</f>
        <v>46063</v>
      </c>
      <c r="J118" t="str">
        <f t="shared" si="5"/>
        <v>Good Order</v>
      </c>
      <c r="K118" s="10" t="str">
        <f>CONCATENATE(DataSet!E118,"-",DataSet!G118)</f>
        <v>Yusuf Soni-Bengaluru</v>
      </c>
    </row>
    <row r="119" spans="1:11">
      <c r="A119" t="str">
        <v>ORD-2025-00118</v>
      </c>
      <c r="B119" s="2">
        <v>8700</v>
      </c>
      <c r="C119" s="2">
        <v>1580.99</v>
      </c>
      <c r="D119" s="28">
        <v>0</v>
      </c>
      <c r="E119" t="str">
        <f t="shared" si="3"/>
        <v>Profit</v>
      </c>
      <c r="F119" t="str">
        <f t="shared" si="4"/>
        <v>High</v>
      </c>
      <c r="G119" t="str">
        <f>VLOOKUP(A119,DataSet!$1:$1048576,5,FALSE)</f>
        <v>Myra Iyer</v>
      </c>
      <c r="H119" s="29">
        <f>INDEX(DataSet!B:B,MATCH('Advanced  Formulas'!A119,DataSet!A:A,0))</f>
        <v>45964</v>
      </c>
      <c r="I119" s="29">
        <f>INDEX(DataSet!C:C,MATCH('Advanced  Formulas'!A119,DataSet!A:A,0))</f>
        <v>46064</v>
      </c>
      <c r="J119" t="str">
        <f t="shared" si="5"/>
        <v>Good Order</v>
      </c>
      <c r="K119" s="10" t="str">
        <f>CONCATENATE(DataSet!E119,"-",DataSet!G119)</f>
        <v>Myra Iyer-Vadodara</v>
      </c>
    </row>
    <row r="120" spans="1:11">
      <c r="A120" t="str">
        <v>ORD-2026-00119</v>
      </c>
      <c r="B120" s="2">
        <v>42500</v>
      </c>
      <c r="C120" s="2">
        <v>14156.4</v>
      </c>
      <c r="D120" s="28">
        <v>0</v>
      </c>
      <c r="E120" t="str">
        <f t="shared" si="3"/>
        <v>Profit</v>
      </c>
      <c r="F120" t="str">
        <f t="shared" si="4"/>
        <v>High</v>
      </c>
      <c r="G120" t="str">
        <f>VLOOKUP(A120,DataSet!$1:$1048576,5,FALSE)</f>
        <v>Sara Sheikh</v>
      </c>
      <c r="H120" s="29">
        <f>INDEX(DataSet!B:B,MATCH('Advanced  Formulas'!A120,DataSet!A:A,0))</f>
        <v>46289</v>
      </c>
      <c r="I120" s="29">
        <f>INDEX(DataSet!C:C,MATCH('Advanced  Formulas'!A120,DataSet!A:A,0))</f>
        <v>46065</v>
      </c>
      <c r="J120" t="str">
        <f t="shared" si="5"/>
        <v>Good Order</v>
      </c>
      <c r="K120" s="10" t="str">
        <f>CONCATENATE(DataSet!E120,"-",DataSet!G120)</f>
        <v>Sara Sheikh-Kolkata</v>
      </c>
    </row>
    <row r="121" spans="1:11">
      <c r="A121" t="str">
        <v>ORD-2024-00120</v>
      </c>
      <c r="B121" s="2">
        <v>630</v>
      </c>
      <c r="C121" s="2">
        <v>216.16</v>
      </c>
      <c r="D121" s="28">
        <v>0</v>
      </c>
      <c r="E121" t="str">
        <f t="shared" si="3"/>
        <v>Profit</v>
      </c>
      <c r="F121" t="str">
        <f t="shared" si="4"/>
        <v>Low</v>
      </c>
      <c r="G121" t="str">
        <f>VLOOKUP(A121,DataSet!$1:$1048576,5,FALSE)</f>
        <v>Aarav Shah</v>
      </c>
      <c r="H121" s="29">
        <f>INDEX(DataSet!B:B,MATCH('Advanced  Formulas'!A121,DataSet!A:A,0))</f>
        <v>45298</v>
      </c>
      <c r="I121" s="29">
        <f>INDEX(DataSet!C:C,MATCH('Advanced  Formulas'!A121,DataSet!A:A,0))</f>
        <v>46066</v>
      </c>
      <c r="J121" t="str">
        <f t="shared" si="5"/>
        <v>Review</v>
      </c>
      <c r="K121" s="10" t="str">
        <f>CONCATENATE(DataSet!E121,"-",DataSet!G121)</f>
        <v>Aarav Shah-Kolkata</v>
      </c>
    </row>
    <row r="122" spans="1:11">
      <c r="A122" t="str">
        <v>ORD-2024-00121</v>
      </c>
      <c r="B122" s="2">
        <v>5415</v>
      </c>
      <c r="C122" s="2">
        <v>1578.33</v>
      </c>
      <c r="D122" s="28">
        <v>0.05</v>
      </c>
      <c r="E122" t="str">
        <f t="shared" si="3"/>
        <v>Profit</v>
      </c>
      <c r="F122" t="str">
        <f t="shared" si="4"/>
        <v>Medium</v>
      </c>
      <c r="G122" t="str">
        <f>VLOOKUP(A122,DataSet!$1:$1048576,5,FALSE)</f>
        <v>Yusuf Dave</v>
      </c>
      <c r="H122" s="29">
        <f>INDEX(DataSet!B:B,MATCH('Advanced  Formulas'!A122,DataSet!A:A,0))</f>
        <v>45512</v>
      </c>
      <c r="I122" s="29">
        <f>INDEX(DataSet!C:C,MATCH('Advanced  Formulas'!A122,DataSet!A:A,0))</f>
        <v>46067</v>
      </c>
      <c r="J122" t="str">
        <f t="shared" si="5"/>
        <v>Good Order</v>
      </c>
      <c r="K122" s="10" t="str">
        <f>CONCATENATE(DataSet!E122,"-",DataSet!G122)</f>
        <v>Yusuf Dave-Pune</v>
      </c>
    </row>
    <row r="123" spans="1:11">
      <c r="A123" t="str">
        <v>ORD-2024-00122</v>
      </c>
      <c r="B123" s="2">
        <v>2925</v>
      </c>
      <c r="C123" s="2">
        <v>564.22</v>
      </c>
      <c r="D123" s="28">
        <v>0.1</v>
      </c>
      <c r="E123" t="str">
        <f t="shared" si="3"/>
        <v>Profit</v>
      </c>
      <c r="F123" t="str">
        <f t="shared" si="4"/>
        <v>Low</v>
      </c>
      <c r="G123" t="str">
        <f>VLOOKUP(A123,DataSet!$1:$1048576,5,FALSE)</f>
        <v>Meera Khan</v>
      </c>
      <c r="H123" s="29">
        <f>INDEX(DataSet!B:B,MATCH('Advanced  Formulas'!A123,DataSet!A:A,0))</f>
        <v>45451</v>
      </c>
      <c r="I123" s="29">
        <f>INDEX(DataSet!C:C,MATCH('Advanced  Formulas'!A123,DataSet!A:A,0))</f>
        <v>46068</v>
      </c>
      <c r="J123" t="str">
        <f t="shared" si="5"/>
        <v>Review</v>
      </c>
      <c r="K123" s="10" t="str">
        <f>CONCATENATE(DataSet!E123,"-",DataSet!G123)</f>
        <v>Meera Khan-Hyderabad</v>
      </c>
    </row>
    <row r="124" spans="1:11">
      <c r="A124" t="str">
        <v>ORD-2024-00123</v>
      </c>
      <c r="B124" s="2">
        <v>10150</v>
      </c>
      <c r="C124" s="2">
        <v>3109.51</v>
      </c>
      <c r="D124" s="28">
        <v>0</v>
      </c>
      <c r="E124" t="str">
        <f t="shared" si="3"/>
        <v>Profit</v>
      </c>
      <c r="F124" t="str">
        <f t="shared" si="4"/>
        <v>High</v>
      </c>
      <c r="G124" t="str">
        <f>VLOOKUP(A124,DataSet!$1:$1048576,5,FALSE)</f>
        <v>Yusuf Khan</v>
      </c>
      <c r="H124" s="29">
        <f>INDEX(DataSet!B:B,MATCH('Advanced  Formulas'!A124,DataSet!A:A,0))</f>
        <v>45512</v>
      </c>
      <c r="I124" s="29">
        <f>INDEX(DataSet!C:C,MATCH('Advanced  Formulas'!A124,DataSet!A:A,0))</f>
        <v>46069</v>
      </c>
      <c r="J124" t="str">
        <f t="shared" si="5"/>
        <v>Good Order</v>
      </c>
      <c r="K124" s="10" t="str">
        <f>CONCATENATE(DataSet!E124,"-",DataSet!G124)</f>
        <v>Yusuf Khan-Delhi</v>
      </c>
    </row>
    <row r="125" spans="1:11">
      <c r="A125" t="str">
        <v>ORD-2024-00124</v>
      </c>
      <c r="B125" s="2">
        <v>2470</v>
      </c>
      <c r="C125" s="2">
        <v>312.99</v>
      </c>
      <c r="D125" s="28">
        <v>0.05</v>
      </c>
      <c r="E125" t="str">
        <f t="shared" si="3"/>
        <v>Profit</v>
      </c>
      <c r="F125" t="str">
        <f t="shared" si="4"/>
        <v>Low</v>
      </c>
      <c r="G125" t="str">
        <f>VLOOKUP(A125,DataSet!$1:$1048576,5,FALSE)</f>
        <v>Vivaan Iyer</v>
      </c>
      <c r="H125" s="29">
        <f>INDEX(DataSet!B:B,MATCH('Advanced  Formulas'!A125,DataSet!A:A,0))</f>
        <v>45338</v>
      </c>
      <c r="I125" s="29">
        <f>INDEX(DataSet!C:C,MATCH('Advanced  Formulas'!A125,DataSet!A:A,0))</f>
        <v>46070</v>
      </c>
      <c r="J125" t="str">
        <f t="shared" si="5"/>
        <v>Review</v>
      </c>
      <c r="K125" s="10" t="str">
        <f>CONCATENATE(DataSet!E125,"-",DataSet!G125)</f>
        <v>Vivaan Iyer-Pune</v>
      </c>
    </row>
    <row r="126" spans="1:11">
      <c r="A126" t="str">
        <v>ORD-2024-00125</v>
      </c>
      <c r="B126" s="2">
        <v>4800</v>
      </c>
      <c r="C126" s="2">
        <v>1349.5</v>
      </c>
      <c r="D126" s="28">
        <v>0</v>
      </c>
      <c r="E126" t="str">
        <f t="shared" si="3"/>
        <v>Profit</v>
      </c>
      <c r="F126" t="str">
        <f t="shared" si="4"/>
        <v>Medium</v>
      </c>
      <c r="G126" t="str">
        <f>VLOOKUP(A126,DataSet!$1:$1048576,5,FALSE)</f>
        <v>Myra Soni</v>
      </c>
      <c r="H126" s="29">
        <f>INDEX(DataSet!B:B,MATCH('Advanced  Formulas'!A126,DataSet!A:A,0))</f>
        <v>45627</v>
      </c>
      <c r="I126" s="29">
        <f>INDEX(DataSet!C:C,MATCH('Advanced  Formulas'!A126,DataSet!A:A,0))</f>
        <v>46071</v>
      </c>
      <c r="J126" t="str">
        <f t="shared" si="5"/>
        <v>Good Order</v>
      </c>
      <c r="K126" s="10" t="str">
        <f>CONCATENATE(DataSet!E126,"-",DataSet!G126)</f>
        <v>Myra Soni-Ahmedabad</v>
      </c>
    </row>
    <row r="127" spans="1:11">
      <c r="A127" t="str">
        <v>ORD-2024-00126</v>
      </c>
      <c r="B127" s="2">
        <v>495</v>
      </c>
      <c r="C127" s="2">
        <v>62.12</v>
      </c>
      <c r="D127" s="28">
        <v>0.1</v>
      </c>
      <c r="E127" t="str">
        <f t="shared" si="3"/>
        <v>Loss</v>
      </c>
      <c r="F127" t="str">
        <f t="shared" si="4"/>
        <v>Low</v>
      </c>
      <c r="G127" t="str">
        <f>VLOOKUP(A127,DataSet!$1:$1048576,5,FALSE)</f>
        <v>Aditya Dave</v>
      </c>
      <c r="H127" s="29">
        <f>INDEX(DataSet!B:B,MATCH('Advanced  Formulas'!A127,DataSet!A:A,0))</f>
        <v>45365</v>
      </c>
      <c r="I127" s="29">
        <f>INDEX(DataSet!C:C,MATCH('Advanced  Formulas'!A127,DataSet!A:A,0))</f>
        <v>46072</v>
      </c>
      <c r="J127" t="str">
        <f t="shared" si="5"/>
        <v>Review</v>
      </c>
      <c r="K127" s="10" t="str">
        <f>CONCATENATE(DataSet!E127,"-",DataSet!G127)</f>
        <v>Aditya Dave-Kolkata</v>
      </c>
    </row>
    <row r="128" spans="1:11">
      <c r="A128" t="str">
        <v>ORD-2025-00127</v>
      </c>
      <c r="B128" s="2">
        <v>3420</v>
      </c>
      <c r="C128" s="2">
        <v>1229.75</v>
      </c>
      <c r="D128" s="28">
        <v>0.1</v>
      </c>
      <c r="E128" t="str">
        <f t="shared" si="3"/>
        <v>Profit</v>
      </c>
      <c r="F128" t="str">
        <f t="shared" si="4"/>
        <v>Medium</v>
      </c>
      <c r="G128" t="str">
        <f>VLOOKUP(A128,DataSet!$1:$1048576,5,FALSE)</f>
        <v>Isha Iyer</v>
      </c>
      <c r="H128" s="29">
        <f>INDEX(DataSet!B:B,MATCH('Advanced  Formulas'!A128,DataSet!A:A,0))</f>
        <v>45706</v>
      </c>
      <c r="I128" s="29">
        <f>INDEX(DataSet!C:C,MATCH('Advanced  Formulas'!A128,DataSet!A:A,0))</f>
        <v>46073</v>
      </c>
      <c r="J128" t="str">
        <f t="shared" si="5"/>
        <v>Good Order</v>
      </c>
      <c r="K128" s="10" t="str">
        <f>CONCATENATE(DataSet!E128,"-",DataSet!G128)</f>
        <v>Isha Iyer-Bengaluru</v>
      </c>
    </row>
    <row r="129" spans="1:11">
      <c r="A129" t="str">
        <v>ORD-2026-00128</v>
      </c>
      <c r="B129" s="2">
        <v>29400</v>
      </c>
      <c r="C129" s="2">
        <v>9312.09</v>
      </c>
      <c r="D129" s="28">
        <v>0</v>
      </c>
      <c r="E129" t="str">
        <f t="shared" si="3"/>
        <v>Profit</v>
      </c>
      <c r="F129" t="str">
        <f t="shared" si="4"/>
        <v>High</v>
      </c>
      <c r="G129" t="str">
        <f>VLOOKUP(A129,DataSet!$1:$1048576,5,FALSE)</f>
        <v>Krish Soni</v>
      </c>
      <c r="H129" s="29">
        <f>INDEX(DataSet!B:B,MATCH('Advanced  Formulas'!A129,DataSet!A:A,0))</f>
        <v>46143</v>
      </c>
      <c r="I129" s="29">
        <f>INDEX(DataSet!C:C,MATCH('Advanced  Formulas'!A129,DataSet!A:A,0))</f>
        <v>46074</v>
      </c>
      <c r="J129" t="str">
        <f t="shared" si="5"/>
        <v>Good Order</v>
      </c>
      <c r="K129" s="10" t="str">
        <f>CONCATENATE(DataSet!E129,"-",DataSet!G129)</f>
        <v>Krish Soni-Indore</v>
      </c>
    </row>
    <row r="130" spans="1:11">
      <c r="A130" t="str">
        <v>ORD-2026-00129</v>
      </c>
      <c r="B130" s="2">
        <v>39000</v>
      </c>
      <c r="C130" s="2">
        <v>14045.51</v>
      </c>
      <c r="D130" s="28">
        <v>0</v>
      </c>
      <c r="E130" t="str">
        <f t="shared" si="3"/>
        <v>Profit</v>
      </c>
      <c r="F130" t="str">
        <f t="shared" si="4"/>
        <v>High</v>
      </c>
      <c r="G130" t="str">
        <f>VLOOKUP(A130,DataSet!$1:$1048576,5,FALSE)</f>
        <v>Anaya Soni</v>
      </c>
      <c r="H130" s="29">
        <f>INDEX(DataSet!B:B,MATCH('Advanced  Formulas'!A130,DataSet!A:A,0))</f>
        <v>46183</v>
      </c>
      <c r="I130" s="29">
        <f>INDEX(DataSet!C:C,MATCH('Advanced  Formulas'!A130,DataSet!A:A,0))</f>
        <v>46075</v>
      </c>
      <c r="J130" t="str">
        <f t="shared" si="5"/>
        <v>Good Order</v>
      </c>
      <c r="K130" s="10" t="str">
        <f>CONCATENATE(DataSet!E130,"-",DataSet!G130)</f>
        <v>Anaya Soni-Chennai</v>
      </c>
    </row>
    <row r="131" spans="1:11">
      <c r="A131" t="str">
        <v>ORD-2026-00130</v>
      </c>
      <c r="B131" s="2">
        <v>26000</v>
      </c>
      <c r="C131" s="2">
        <v>8890.0400000000009</v>
      </c>
      <c r="D131" s="28">
        <v>0</v>
      </c>
      <c r="E131" t="str">
        <f t="shared" ref="E131:E194" si="6">IF(C131&gt;200,"Profit","Loss")</f>
        <v>Profit</v>
      </c>
      <c r="F131" t="str">
        <f t="shared" ref="F131:F194" si="7">IF(B131&gt;6000,"High",IF(B131&gt;=3000,"Medium",IF(B131&lt;3000,"Low")))</f>
        <v>High</v>
      </c>
      <c r="G131" t="str">
        <f>VLOOKUP(A131,DataSet!$1:$1048576,5,FALSE)</f>
        <v>Isha Dave</v>
      </c>
      <c r="H131" s="29">
        <f>INDEX(DataSet!B:B,MATCH('Advanced  Formulas'!A131,DataSet!A:A,0))</f>
        <v>46219</v>
      </c>
      <c r="I131" s="29">
        <f>INDEX(DataSet!C:C,MATCH('Advanced  Formulas'!A131,DataSet!A:A,0))</f>
        <v>46076</v>
      </c>
      <c r="J131" t="str">
        <f t="shared" ref="J131:J194" si="8">IF(AND(B131&gt;3000,C131&gt;0),"Good Order","Review")</f>
        <v>Good Order</v>
      </c>
      <c r="K131" s="10" t="str">
        <f>CONCATENATE(DataSet!E131,"-",DataSet!G131)</f>
        <v>Isha Dave-Mumbai</v>
      </c>
    </row>
    <row r="132" spans="1:11">
      <c r="A132" t="str">
        <v>ORD-2024-00131</v>
      </c>
      <c r="B132" s="2">
        <v>10240</v>
      </c>
      <c r="C132" s="2">
        <v>1123.53</v>
      </c>
      <c r="D132" s="28">
        <v>0.2</v>
      </c>
      <c r="E132" t="str">
        <f t="shared" si="6"/>
        <v>Profit</v>
      </c>
      <c r="F132" t="str">
        <f t="shared" si="7"/>
        <v>High</v>
      </c>
      <c r="G132" t="str">
        <f>VLOOKUP(A132,DataSet!$1:$1048576,5,FALSE)</f>
        <v>Meera Trivedi</v>
      </c>
      <c r="H132" s="29">
        <f>INDEX(DataSet!B:B,MATCH('Advanced  Formulas'!A132,DataSet!A:A,0))</f>
        <v>45473</v>
      </c>
      <c r="I132" s="29">
        <f>INDEX(DataSet!C:C,MATCH('Advanced  Formulas'!A132,DataSet!A:A,0))</f>
        <v>46077</v>
      </c>
      <c r="J132" t="str">
        <f t="shared" si="8"/>
        <v>Good Order</v>
      </c>
      <c r="K132" s="10" t="str">
        <f>CONCATENATE(DataSet!E132,"-",DataSet!G132)</f>
        <v>Meera Trivedi-Bengaluru</v>
      </c>
    </row>
    <row r="133" spans="1:11">
      <c r="A133" t="str">
        <v>ORD-2024-00132</v>
      </c>
      <c r="B133" s="2">
        <v>7600</v>
      </c>
      <c r="C133" s="2">
        <v>1662.35</v>
      </c>
      <c r="D133" s="28">
        <v>0.05</v>
      </c>
      <c r="E133" t="str">
        <f t="shared" si="6"/>
        <v>Profit</v>
      </c>
      <c r="F133" t="str">
        <f t="shared" si="7"/>
        <v>High</v>
      </c>
      <c r="G133" t="str">
        <f>VLOOKUP(A133,DataSet!$1:$1048576,5,FALSE)</f>
        <v>Dev Shah</v>
      </c>
      <c r="H133" s="29">
        <f>INDEX(DataSet!B:B,MATCH('Advanced  Formulas'!A133,DataSet!A:A,0))</f>
        <v>45446</v>
      </c>
      <c r="I133" s="29">
        <f>INDEX(DataSet!C:C,MATCH('Advanced  Formulas'!A133,DataSet!A:A,0))</f>
        <v>46078</v>
      </c>
      <c r="J133" t="str">
        <f t="shared" si="8"/>
        <v>Good Order</v>
      </c>
      <c r="K133" s="10" t="str">
        <f>CONCATENATE(DataSet!E133,"-",DataSet!G133)</f>
        <v>Dev Shah-Bhavnagar</v>
      </c>
    </row>
    <row r="134" spans="1:11">
      <c r="A134" t="str">
        <v>ORD-2025-00133</v>
      </c>
      <c r="B134" s="2">
        <v>4480</v>
      </c>
      <c r="C134" s="2">
        <v>561.32000000000005</v>
      </c>
      <c r="D134" s="28">
        <v>0.2</v>
      </c>
      <c r="E134" t="str">
        <f t="shared" si="6"/>
        <v>Profit</v>
      </c>
      <c r="F134" t="str">
        <f t="shared" si="7"/>
        <v>Medium</v>
      </c>
      <c r="G134" t="str">
        <f>VLOOKUP(A134,DataSet!$1:$1048576,5,FALSE)</f>
        <v>Kabir Dave</v>
      </c>
      <c r="H134" s="29">
        <f>INDEX(DataSet!B:B,MATCH('Advanced  Formulas'!A134,DataSet!A:A,0))</f>
        <v>45754</v>
      </c>
      <c r="I134" s="29">
        <f>INDEX(DataSet!C:C,MATCH('Advanced  Formulas'!A134,DataSet!A:A,0))</f>
        <v>46079</v>
      </c>
      <c r="J134" t="str">
        <f t="shared" si="8"/>
        <v>Good Order</v>
      </c>
      <c r="K134" s="10" t="str">
        <f>CONCATENATE(DataSet!E134,"-",DataSet!G134)</f>
        <v>Kabir Dave-Ahmedabad</v>
      </c>
    </row>
    <row r="135" spans="1:11">
      <c r="A135" t="str">
        <v>ORD-2025-00134</v>
      </c>
      <c r="B135" s="2">
        <v>2090</v>
      </c>
      <c r="C135" s="2">
        <v>449.76</v>
      </c>
      <c r="D135" s="28">
        <v>0.05</v>
      </c>
      <c r="E135" t="str">
        <f t="shared" si="6"/>
        <v>Profit</v>
      </c>
      <c r="F135" t="str">
        <f t="shared" si="7"/>
        <v>Low</v>
      </c>
      <c r="G135" t="str">
        <f>VLOOKUP(A135,DataSet!$1:$1048576,5,FALSE)</f>
        <v>Vivaan Patel</v>
      </c>
      <c r="H135" s="29">
        <f>INDEX(DataSet!B:B,MATCH('Advanced  Formulas'!A135,DataSet!A:A,0))</f>
        <v>45685</v>
      </c>
      <c r="I135" s="29">
        <f>INDEX(DataSet!C:C,MATCH('Advanced  Formulas'!A135,DataSet!A:A,0))</f>
        <v>46080</v>
      </c>
      <c r="J135" t="str">
        <f t="shared" si="8"/>
        <v>Review</v>
      </c>
      <c r="K135" s="10" t="str">
        <f>CONCATENATE(DataSet!E135,"-",DataSet!G135)</f>
        <v>Vivaan Patel-Lucknow</v>
      </c>
    </row>
    <row r="136" spans="1:11">
      <c r="A136" t="str">
        <v>ORD-2026-00135</v>
      </c>
      <c r="B136" s="2">
        <v>25500</v>
      </c>
      <c r="C136" s="2">
        <v>8047.46</v>
      </c>
      <c r="D136" s="28">
        <v>0</v>
      </c>
      <c r="E136" t="str">
        <f t="shared" si="6"/>
        <v>Profit</v>
      </c>
      <c r="F136" t="str">
        <f t="shared" si="7"/>
        <v>High</v>
      </c>
      <c r="G136" t="str">
        <f>VLOOKUP(A136,DataSet!$1:$1048576,5,FALSE)</f>
        <v>Rohan Soni</v>
      </c>
      <c r="H136" s="29">
        <f>INDEX(DataSet!B:B,MATCH('Advanced  Formulas'!A136,DataSet!A:A,0))</f>
        <v>46122</v>
      </c>
      <c r="I136" s="29">
        <f>INDEX(DataSet!C:C,MATCH('Advanced  Formulas'!A136,DataSet!A:A,0))</f>
        <v>46081</v>
      </c>
      <c r="J136" t="str">
        <f t="shared" si="8"/>
        <v>Good Order</v>
      </c>
      <c r="K136" s="10" t="str">
        <f>CONCATENATE(DataSet!E136,"-",DataSet!G136)</f>
        <v>Rohan Soni-Mumbai</v>
      </c>
    </row>
    <row r="137" spans="1:11">
      <c r="A137" t="str">
        <v>ORD-2024-00136</v>
      </c>
      <c r="B137" s="2">
        <v>4987.5</v>
      </c>
      <c r="C137" s="2">
        <v>977.48</v>
      </c>
      <c r="D137" s="28">
        <v>0.05</v>
      </c>
      <c r="E137" t="str">
        <f t="shared" si="6"/>
        <v>Profit</v>
      </c>
      <c r="F137" t="str">
        <f t="shared" si="7"/>
        <v>Medium</v>
      </c>
      <c r="G137" t="str">
        <f>VLOOKUP(A137,DataSet!$1:$1048576,5,FALSE)</f>
        <v>Aditya Shah</v>
      </c>
      <c r="H137" s="29">
        <f>INDEX(DataSet!B:B,MATCH('Advanced  Formulas'!A137,DataSet!A:A,0))</f>
        <v>45454</v>
      </c>
      <c r="I137" s="29">
        <f>INDEX(DataSet!C:C,MATCH('Advanced  Formulas'!A137,DataSet!A:A,0))</f>
        <v>46082</v>
      </c>
      <c r="J137" t="str">
        <f t="shared" si="8"/>
        <v>Good Order</v>
      </c>
      <c r="K137" s="10" t="str">
        <f>CONCATENATE(DataSet!E137,"-",DataSet!G137)</f>
        <v>Aditya Shah-Mumbai</v>
      </c>
    </row>
    <row r="138" spans="1:11">
      <c r="A138" t="str">
        <v>ORD-2025-00137</v>
      </c>
      <c r="B138" s="2">
        <v>7980</v>
      </c>
      <c r="C138" s="2">
        <v>2803.45</v>
      </c>
      <c r="D138" s="28">
        <v>0.05</v>
      </c>
      <c r="E138" t="str">
        <f t="shared" si="6"/>
        <v>Profit</v>
      </c>
      <c r="F138" t="str">
        <f t="shared" si="7"/>
        <v>High</v>
      </c>
      <c r="G138" t="str">
        <f>VLOOKUP(A138,DataSet!$1:$1048576,5,FALSE)</f>
        <v>Vivaan Sheikh</v>
      </c>
      <c r="H138" s="29">
        <f>INDEX(DataSet!B:B,MATCH('Advanced  Formulas'!A138,DataSet!A:A,0))</f>
        <v>45863</v>
      </c>
      <c r="I138" s="29">
        <f>INDEX(DataSet!C:C,MATCH('Advanced  Formulas'!A138,DataSet!A:A,0))</f>
        <v>46083</v>
      </c>
      <c r="J138" t="str">
        <f t="shared" si="8"/>
        <v>Good Order</v>
      </c>
      <c r="K138" s="10" t="str">
        <f>CONCATENATE(DataSet!E138,"-",DataSet!G138)</f>
        <v>Vivaan Sheikh-Pune</v>
      </c>
    </row>
    <row r="139" spans="1:11">
      <c r="A139" t="str">
        <v>ORD-2026-00138</v>
      </c>
      <c r="B139" s="2">
        <v>665</v>
      </c>
      <c r="C139" s="2">
        <v>151.07</v>
      </c>
      <c r="D139" s="28">
        <v>0.05</v>
      </c>
      <c r="E139" t="str">
        <f t="shared" si="6"/>
        <v>Loss</v>
      </c>
      <c r="F139" t="str">
        <f t="shared" si="7"/>
        <v>Low</v>
      </c>
      <c r="G139" t="str">
        <f>VLOOKUP(A139,DataSet!$1:$1048576,5,FALSE)</f>
        <v>Aditya Rao</v>
      </c>
      <c r="H139" s="29">
        <f>INDEX(DataSet!B:B,MATCH('Advanced  Formulas'!A139,DataSet!A:A,0))</f>
        <v>46282</v>
      </c>
      <c r="I139" s="29">
        <f>INDEX(DataSet!C:C,MATCH('Advanced  Formulas'!A139,DataSet!A:A,0))</f>
        <v>46084</v>
      </c>
      <c r="J139" t="str">
        <f t="shared" si="8"/>
        <v>Review</v>
      </c>
      <c r="K139" s="10" t="str">
        <f>CONCATENATE(DataSet!E139,"-",DataSet!G139)</f>
        <v>Aditya Rao-Chennai</v>
      </c>
    </row>
    <row r="140" spans="1:11">
      <c r="A140" t="str">
        <v>ORD-2024-00139</v>
      </c>
      <c r="B140" s="2">
        <v>1320</v>
      </c>
      <c r="C140" s="2">
        <v>377.16</v>
      </c>
      <c r="D140" s="28">
        <v>0</v>
      </c>
      <c r="E140" t="str">
        <f t="shared" si="6"/>
        <v>Profit</v>
      </c>
      <c r="F140" t="str">
        <f t="shared" si="7"/>
        <v>Low</v>
      </c>
      <c r="G140" t="str">
        <f>VLOOKUP(A140,DataSet!$1:$1048576,5,FALSE)</f>
        <v>Reyansh Trivedi</v>
      </c>
      <c r="H140" s="29">
        <f>INDEX(DataSet!B:B,MATCH('Advanced  Formulas'!A140,DataSet!A:A,0))</f>
        <v>45387</v>
      </c>
      <c r="I140" s="29">
        <f>INDEX(DataSet!C:C,MATCH('Advanced  Formulas'!A140,DataSet!A:A,0))</f>
        <v>46085</v>
      </c>
      <c r="J140" t="str">
        <f t="shared" si="8"/>
        <v>Review</v>
      </c>
      <c r="K140" s="10" t="str">
        <f>CONCATENATE(DataSet!E140,"-",DataSet!G140)</f>
        <v>Reyansh Trivedi-Bengaluru</v>
      </c>
    </row>
    <row r="141" spans="1:11">
      <c r="A141" t="str">
        <v>ORD-2024-00140</v>
      </c>
      <c r="B141" s="2">
        <v>2465</v>
      </c>
      <c r="C141" s="2">
        <v>387.18</v>
      </c>
      <c r="D141" s="28">
        <v>0.15</v>
      </c>
      <c r="E141" t="str">
        <f t="shared" si="6"/>
        <v>Profit</v>
      </c>
      <c r="F141" t="str">
        <f t="shared" si="7"/>
        <v>Low</v>
      </c>
      <c r="G141" t="str">
        <f>VLOOKUP(A141,DataSet!$1:$1048576,5,FALSE)</f>
        <v>Dev Patel</v>
      </c>
      <c r="H141" s="29">
        <f>INDEX(DataSet!B:B,MATCH('Advanced  Formulas'!A141,DataSet!A:A,0))</f>
        <v>45523</v>
      </c>
      <c r="I141" s="29">
        <f>INDEX(DataSet!C:C,MATCH('Advanced  Formulas'!A141,DataSet!A:A,0))</f>
        <v>46086</v>
      </c>
      <c r="J141" t="str">
        <f t="shared" si="8"/>
        <v>Review</v>
      </c>
      <c r="K141" s="10" t="str">
        <f>CONCATENATE(DataSet!E141,"-",DataSet!G141)</f>
        <v>Dev Patel-Surat</v>
      </c>
    </row>
    <row r="142" spans="1:11">
      <c r="A142" t="str">
        <v>ORD-2026-00141</v>
      </c>
      <c r="B142" s="2">
        <v>630</v>
      </c>
      <c r="C142" s="2">
        <v>212.82</v>
      </c>
      <c r="D142" s="28">
        <v>0</v>
      </c>
      <c r="E142" t="str">
        <f t="shared" si="6"/>
        <v>Profit</v>
      </c>
      <c r="F142" t="str">
        <f t="shared" si="7"/>
        <v>Low</v>
      </c>
      <c r="G142" t="str">
        <f>VLOOKUP(A142,DataSet!$1:$1048576,5,FALSE)</f>
        <v>Meera Iyer</v>
      </c>
      <c r="H142" s="29">
        <f>INDEX(DataSet!B:B,MATCH('Advanced  Formulas'!A142,DataSet!A:A,0))</f>
        <v>46189</v>
      </c>
      <c r="I142" s="29">
        <f>INDEX(DataSet!C:C,MATCH('Advanced  Formulas'!A142,DataSet!A:A,0))</f>
        <v>46087</v>
      </c>
      <c r="J142" t="str">
        <f t="shared" si="8"/>
        <v>Review</v>
      </c>
      <c r="K142" s="10" t="str">
        <f>CONCATENATE(DataSet!E142,"-",DataSet!G142)</f>
        <v>Meera Iyer-Lucknow</v>
      </c>
    </row>
    <row r="143" spans="1:11">
      <c r="A143" t="str">
        <v>ORD-2024-00142</v>
      </c>
      <c r="B143" s="2">
        <v>600</v>
      </c>
      <c r="C143" s="2">
        <v>87.73</v>
      </c>
      <c r="D143" s="28">
        <v>0.2</v>
      </c>
      <c r="E143" t="str">
        <f t="shared" si="6"/>
        <v>Loss</v>
      </c>
      <c r="F143" t="str">
        <f t="shared" si="7"/>
        <v>Low</v>
      </c>
      <c r="G143" t="str">
        <f>VLOOKUP(A143,DataSet!$1:$1048576,5,FALSE)</f>
        <v>Kiara Desai</v>
      </c>
      <c r="H143" s="29">
        <f>INDEX(DataSet!B:B,MATCH('Advanced  Formulas'!A143,DataSet!A:A,0))</f>
        <v>45336</v>
      </c>
      <c r="I143" s="29">
        <f>INDEX(DataSet!C:C,MATCH('Advanced  Formulas'!A143,DataSet!A:A,0))</f>
        <v>46088</v>
      </c>
      <c r="J143" t="str">
        <f t="shared" si="8"/>
        <v>Review</v>
      </c>
      <c r="K143" s="10" t="str">
        <f>CONCATENATE(DataSet!E143,"-",DataSet!G143)</f>
        <v>Kiara Desai-Mumbai</v>
      </c>
    </row>
    <row r="144" spans="1:11">
      <c r="A144" t="str">
        <v>ORD-2026-00143</v>
      </c>
      <c r="B144" s="2">
        <v>22320</v>
      </c>
      <c r="C144" s="2">
        <v>3681.59</v>
      </c>
      <c r="D144" s="28">
        <v>0.1</v>
      </c>
      <c r="E144" t="str">
        <f t="shared" si="6"/>
        <v>Profit</v>
      </c>
      <c r="F144" t="str">
        <f t="shared" si="7"/>
        <v>High</v>
      </c>
      <c r="G144" t="str">
        <f>VLOOKUP(A144,DataSet!$1:$1048576,5,FALSE)</f>
        <v>Krish Soni</v>
      </c>
      <c r="H144" s="29">
        <f>INDEX(DataSet!B:B,MATCH('Advanced  Formulas'!A144,DataSet!A:A,0))</f>
        <v>46217</v>
      </c>
      <c r="I144" s="29">
        <f>INDEX(DataSet!C:C,MATCH('Advanced  Formulas'!A144,DataSet!A:A,0))</f>
        <v>46089</v>
      </c>
      <c r="J144" t="str">
        <f t="shared" si="8"/>
        <v>Good Order</v>
      </c>
      <c r="K144" s="10" t="str">
        <f>CONCATENATE(DataSet!E144,"-",DataSet!G144)</f>
        <v>Krish Soni-Vadodara</v>
      </c>
    </row>
    <row r="145" spans="1:11">
      <c r="A145" t="str">
        <v>ORD-2026-00144</v>
      </c>
      <c r="B145" s="2">
        <v>256.5</v>
      </c>
      <c r="C145" s="2">
        <v>92.07</v>
      </c>
      <c r="D145" s="28">
        <v>0.05</v>
      </c>
      <c r="E145" t="str">
        <f t="shared" si="6"/>
        <v>Loss</v>
      </c>
      <c r="F145" t="str">
        <f t="shared" si="7"/>
        <v>Low</v>
      </c>
      <c r="G145" t="str">
        <f>VLOOKUP(A145,DataSet!$1:$1048576,5,FALSE)</f>
        <v>Zoya Soni</v>
      </c>
      <c r="H145" s="29">
        <f>INDEX(DataSet!B:B,MATCH('Advanced  Formulas'!A145,DataSet!A:A,0))</f>
        <v>46281</v>
      </c>
      <c r="I145" s="29">
        <f>INDEX(DataSet!C:C,MATCH('Advanced  Formulas'!A145,DataSet!A:A,0))</f>
        <v>46090</v>
      </c>
      <c r="J145" t="str">
        <f t="shared" si="8"/>
        <v>Review</v>
      </c>
      <c r="K145" s="10" t="str">
        <f>CONCATENATE(DataSet!E145,"-",DataSet!G145)</f>
        <v>Zoya Soni-Kolkata</v>
      </c>
    </row>
    <row r="146" spans="1:11">
      <c r="A146" t="str">
        <v>ORD-2026-00145</v>
      </c>
      <c r="B146" s="2">
        <v>4275</v>
      </c>
      <c r="C146" s="2">
        <v>554.13</v>
      </c>
      <c r="D146" s="28">
        <v>0.1</v>
      </c>
      <c r="E146" t="str">
        <f t="shared" si="6"/>
        <v>Profit</v>
      </c>
      <c r="F146" t="str">
        <f t="shared" si="7"/>
        <v>Medium</v>
      </c>
      <c r="G146" t="str">
        <f>VLOOKUP(A146,DataSet!$1:$1048576,5,FALSE)</f>
        <v>Aanya Shah</v>
      </c>
      <c r="H146" s="29">
        <f>INDEX(DataSet!B:B,MATCH('Advanced  Formulas'!A146,DataSet!A:A,0))</f>
        <v>46163</v>
      </c>
      <c r="I146" s="29">
        <f>INDEX(DataSet!C:C,MATCH('Advanced  Formulas'!A146,DataSet!A:A,0))</f>
        <v>46091</v>
      </c>
      <c r="J146" t="str">
        <f t="shared" si="8"/>
        <v>Good Order</v>
      </c>
      <c r="K146" s="10" t="str">
        <f>CONCATENATE(DataSet!E146,"-",DataSet!G146)</f>
        <v>Aanya Shah-Rajkot</v>
      </c>
    </row>
    <row r="147" spans="1:11">
      <c r="A147" t="str">
        <v>ORD-2026-00146</v>
      </c>
      <c r="B147" s="2">
        <v>495</v>
      </c>
      <c r="C147" s="2">
        <v>116.07</v>
      </c>
      <c r="D147" s="28">
        <v>0.1</v>
      </c>
      <c r="E147" t="str">
        <f t="shared" si="6"/>
        <v>Loss</v>
      </c>
      <c r="F147" t="str">
        <f t="shared" si="7"/>
        <v>Low</v>
      </c>
      <c r="G147" t="str">
        <f>VLOOKUP(A147,DataSet!$1:$1048576,5,FALSE)</f>
        <v>Krish Shah</v>
      </c>
      <c r="H147" s="29">
        <f>INDEX(DataSet!B:B,MATCH('Advanced  Formulas'!A147,DataSet!A:A,0))</f>
        <v>46197</v>
      </c>
      <c r="I147" s="29">
        <f>INDEX(DataSet!C:C,MATCH('Advanced  Formulas'!A147,DataSet!A:A,0))</f>
        <v>46092</v>
      </c>
      <c r="J147" t="str">
        <f t="shared" si="8"/>
        <v>Review</v>
      </c>
      <c r="K147" s="10" t="str">
        <f>CONCATENATE(DataSet!E147,"-",DataSet!G147)</f>
        <v>Krish Shah-Indore</v>
      </c>
    </row>
    <row r="148" spans="1:11">
      <c r="A148" t="str">
        <v>ORD-2024-00147</v>
      </c>
      <c r="B148" s="2">
        <v>4350</v>
      </c>
      <c r="C148" s="2">
        <v>1609.68</v>
      </c>
      <c r="D148" s="28">
        <v>0</v>
      </c>
      <c r="E148" t="str">
        <f t="shared" si="6"/>
        <v>Profit</v>
      </c>
      <c r="F148" t="str">
        <f t="shared" si="7"/>
        <v>Medium</v>
      </c>
      <c r="G148" t="str">
        <f>VLOOKUP(A148,DataSet!$1:$1048576,5,FALSE)</f>
        <v>Fatima Verma</v>
      </c>
      <c r="H148" s="29">
        <f>INDEX(DataSet!B:B,MATCH('Advanced  Formulas'!A148,DataSet!A:A,0))</f>
        <v>45320</v>
      </c>
      <c r="I148" s="29">
        <f>INDEX(DataSet!C:C,MATCH('Advanced  Formulas'!A148,DataSet!A:A,0))</f>
        <v>46093</v>
      </c>
      <c r="J148" t="str">
        <f t="shared" si="8"/>
        <v>Good Order</v>
      </c>
      <c r="K148" s="10" t="str">
        <f>CONCATENATE(DataSet!E148,"-",DataSet!G148)</f>
        <v>Fatima Verma-Indore</v>
      </c>
    </row>
    <row r="149" spans="1:11">
      <c r="A149" t="str">
        <v>ORD-2025-00148</v>
      </c>
      <c r="B149" s="2">
        <v>3250</v>
      </c>
      <c r="C149" s="2">
        <v>529.46</v>
      </c>
      <c r="D149" s="28">
        <v>0</v>
      </c>
      <c r="E149" t="str">
        <f t="shared" si="6"/>
        <v>Profit</v>
      </c>
      <c r="F149" t="str">
        <f t="shared" si="7"/>
        <v>Medium</v>
      </c>
      <c r="G149" t="str">
        <f>VLOOKUP(A149,DataSet!$1:$1048576,5,FALSE)</f>
        <v>Meera Soni</v>
      </c>
      <c r="H149" s="29">
        <f>INDEX(DataSet!B:B,MATCH('Advanced  Formulas'!A149,DataSet!A:A,0))</f>
        <v>45751</v>
      </c>
      <c r="I149" s="29">
        <f>INDEX(DataSet!C:C,MATCH('Advanced  Formulas'!A149,DataSet!A:A,0))</f>
        <v>46094</v>
      </c>
      <c r="J149" t="str">
        <f t="shared" si="8"/>
        <v>Good Order</v>
      </c>
      <c r="K149" s="10" t="str">
        <f>CONCATENATE(DataSet!E149,"-",DataSet!G149)</f>
        <v>Meera Soni-Ahmedabad</v>
      </c>
    </row>
    <row r="150" spans="1:11">
      <c r="A150" t="str">
        <v>ORD-2026-00149</v>
      </c>
      <c r="B150" s="2">
        <v>4200</v>
      </c>
      <c r="C150" s="2">
        <v>1137.55</v>
      </c>
      <c r="D150" s="28">
        <v>0</v>
      </c>
      <c r="E150" t="str">
        <f t="shared" si="6"/>
        <v>Profit</v>
      </c>
      <c r="F150" t="str">
        <f t="shared" si="7"/>
        <v>Medium</v>
      </c>
      <c r="G150" t="str">
        <f>VLOOKUP(A150,DataSet!$1:$1048576,5,FALSE)</f>
        <v>Meera Khan</v>
      </c>
      <c r="H150" s="29">
        <f>INDEX(DataSet!B:B,MATCH('Advanced  Formulas'!A150,DataSet!A:A,0))</f>
        <v>46086</v>
      </c>
      <c r="I150" s="29">
        <f>INDEX(DataSet!C:C,MATCH('Advanced  Formulas'!A150,DataSet!A:A,0))</f>
        <v>46095</v>
      </c>
      <c r="J150" t="str">
        <f t="shared" si="8"/>
        <v>Good Order</v>
      </c>
      <c r="K150" s="10" t="str">
        <f>CONCATENATE(DataSet!E150,"-",DataSet!G150)</f>
        <v>Meera Khan-Vadodara</v>
      </c>
    </row>
    <row r="151" spans="1:11">
      <c r="A151" t="str">
        <v>ORD-2026-00150</v>
      </c>
      <c r="B151" s="2">
        <v>27200</v>
      </c>
      <c r="C151" s="2">
        <v>8504.6200000000008</v>
      </c>
      <c r="D151" s="28">
        <v>0.2</v>
      </c>
      <c r="E151" t="str">
        <f t="shared" si="6"/>
        <v>Profit</v>
      </c>
      <c r="F151" t="str">
        <f t="shared" si="7"/>
        <v>High</v>
      </c>
      <c r="G151" t="str">
        <f>VLOOKUP(A151,DataSet!$1:$1048576,5,FALSE)</f>
        <v>Aarav Dave</v>
      </c>
      <c r="H151" s="29">
        <f>INDEX(DataSet!B:B,MATCH('Advanced  Formulas'!A151,DataSet!A:A,0))</f>
        <v>46148</v>
      </c>
      <c r="I151" s="29">
        <f>INDEX(DataSet!C:C,MATCH('Advanced  Formulas'!A151,DataSet!A:A,0))</f>
        <v>46096</v>
      </c>
      <c r="J151" t="str">
        <f t="shared" si="8"/>
        <v>Good Order</v>
      </c>
      <c r="K151" s="10" t="str">
        <f>CONCATENATE(DataSet!E151,"-",DataSet!G151)</f>
        <v>Aarav Dave-Lucknow</v>
      </c>
    </row>
    <row r="152" spans="1:11">
      <c r="A152" t="str">
        <v>ORD-2025-00151</v>
      </c>
      <c r="B152" s="2">
        <v>51000</v>
      </c>
      <c r="C152" s="2">
        <v>6737.87</v>
      </c>
      <c r="D152" s="28">
        <v>0</v>
      </c>
      <c r="E152" t="str">
        <f t="shared" si="6"/>
        <v>Profit</v>
      </c>
      <c r="F152" t="str">
        <f t="shared" si="7"/>
        <v>High</v>
      </c>
      <c r="G152" t="str">
        <f>VLOOKUP(A152,DataSet!$1:$1048576,5,FALSE)</f>
        <v>Dev Iyer</v>
      </c>
      <c r="H152" s="29">
        <f>INDEX(DataSet!B:B,MATCH('Advanced  Formulas'!A152,DataSet!A:A,0))</f>
        <v>45876</v>
      </c>
      <c r="I152" s="29">
        <f>INDEX(DataSet!C:C,MATCH('Advanced  Formulas'!A152,DataSet!A:A,0))</f>
        <v>46097</v>
      </c>
      <c r="J152" t="str">
        <f t="shared" si="8"/>
        <v>Good Order</v>
      </c>
      <c r="K152" s="10" t="str">
        <f>CONCATENATE(DataSet!E152,"-",DataSet!G152)</f>
        <v>Dev Iyer-Surat</v>
      </c>
    </row>
    <row r="153" spans="1:11">
      <c r="A153" t="str">
        <v>ORD-2024-00152</v>
      </c>
      <c r="B153" s="2">
        <v>7315</v>
      </c>
      <c r="C153" s="2">
        <v>2242.42</v>
      </c>
      <c r="D153" s="28">
        <v>0.05</v>
      </c>
      <c r="E153" t="str">
        <f t="shared" si="6"/>
        <v>Profit</v>
      </c>
      <c r="F153" t="str">
        <f t="shared" si="7"/>
        <v>High</v>
      </c>
      <c r="G153" t="str">
        <f>VLOOKUP(A153,DataSet!$1:$1048576,5,FALSE)</f>
        <v>Zoya Iyer</v>
      </c>
      <c r="H153" s="29">
        <f>INDEX(DataSet!B:B,MATCH('Advanced  Formulas'!A153,DataSet!A:A,0))</f>
        <v>45312</v>
      </c>
      <c r="I153" s="29">
        <f>INDEX(DataSet!C:C,MATCH('Advanced  Formulas'!A153,DataSet!A:A,0))</f>
        <v>46098</v>
      </c>
      <c r="J153" t="str">
        <f t="shared" si="8"/>
        <v>Good Order</v>
      </c>
      <c r="K153" s="10" t="str">
        <f>CONCATENATE(DataSet!E153,"-",DataSet!G153)</f>
        <v>Zoya Iyer-Kolkata</v>
      </c>
    </row>
    <row r="154" spans="1:11">
      <c r="A154" t="str">
        <v>ORD-2024-00153</v>
      </c>
      <c r="B154" s="2">
        <v>51000</v>
      </c>
      <c r="C154" s="2">
        <v>18792.11</v>
      </c>
      <c r="D154" s="28">
        <v>0</v>
      </c>
      <c r="E154" t="str">
        <f t="shared" si="6"/>
        <v>Profit</v>
      </c>
      <c r="F154" t="str">
        <f t="shared" si="7"/>
        <v>High</v>
      </c>
      <c r="G154" t="str">
        <f>VLOOKUP(A154,DataSet!$1:$1048576,5,FALSE)</f>
        <v>Aditya Rao</v>
      </c>
      <c r="H154" s="29">
        <f>INDEX(DataSet!B:B,MATCH('Advanced  Formulas'!A154,DataSet!A:A,0))</f>
        <v>45538</v>
      </c>
      <c r="I154" s="29">
        <f>INDEX(DataSet!C:C,MATCH('Advanced  Formulas'!A154,DataSet!A:A,0))</f>
        <v>46099</v>
      </c>
      <c r="J154" t="str">
        <f t="shared" si="8"/>
        <v>Good Order</v>
      </c>
      <c r="K154" s="10" t="str">
        <f>CONCATENATE(DataSet!E154,"-",DataSet!G154)</f>
        <v>Aditya Rao-Bengaluru</v>
      </c>
    </row>
    <row r="155" spans="1:11">
      <c r="A155" t="str">
        <v>ORD-2026-00154</v>
      </c>
      <c r="B155" s="2">
        <v>4800</v>
      </c>
      <c r="C155" s="2">
        <v>1745.25</v>
      </c>
      <c r="D155" s="28">
        <v>0</v>
      </c>
      <c r="E155" t="str">
        <f t="shared" si="6"/>
        <v>Profit</v>
      </c>
      <c r="F155" t="str">
        <f t="shared" si="7"/>
        <v>Medium</v>
      </c>
      <c r="G155" t="str">
        <f>VLOOKUP(A155,DataSet!$1:$1048576,5,FALSE)</f>
        <v>Rohan Patel</v>
      </c>
      <c r="H155" s="29">
        <f>INDEX(DataSet!B:B,MATCH('Advanced  Formulas'!A155,DataSet!A:A,0))</f>
        <v>46142</v>
      </c>
      <c r="I155" s="29">
        <f>INDEX(DataSet!C:C,MATCH('Advanced  Formulas'!A155,DataSet!A:A,0))</f>
        <v>46100</v>
      </c>
      <c r="J155" t="str">
        <f t="shared" si="8"/>
        <v>Good Order</v>
      </c>
      <c r="K155" s="10" t="str">
        <f>CONCATENATE(DataSet!E155,"-",DataSet!G155)</f>
        <v>Rohan Patel-Bengaluru</v>
      </c>
    </row>
    <row r="156" spans="1:11">
      <c r="A156" t="str">
        <v>ORD-2024-00155</v>
      </c>
      <c r="B156" s="2">
        <v>6162.5</v>
      </c>
      <c r="C156" s="2">
        <v>1565.04</v>
      </c>
      <c r="D156" s="28">
        <v>0.15</v>
      </c>
      <c r="E156" t="str">
        <f t="shared" si="6"/>
        <v>Profit</v>
      </c>
      <c r="F156" t="str">
        <f t="shared" si="7"/>
        <v>High</v>
      </c>
      <c r="G156" t="str">
        <f>VLOOKUP(A156,DataSet!$1:$1048576,5,FALSE)</f>
        <v>Kiara Khan</v>
      </c>
      <c r="H156" s="29">
        <f>INDEX(DataSet!B:B,MATCH('Advanced  Formulas'!A156,DataSet!A:A,0))</f>
        <v>45336</v>
      </c>
      <c r="I156" s="29">
        <f>INDEX(DataSet!C:C,MATCH('Advanced  Formulas'!A156,DataSet!A:A,0))</f>
        <v>46101</v>
      </c>
      <c r="J156" t="str">
        <f t="shared" si="8"/>
        <v>Good Order</v>
      </c>
      <c r="K156" s="10" t="str">
        <f>CONCATENATE(DataSet!E156,"-",DataSet!G156)</f>
        <v>Kiara Khan-Vadodara</v>
      </c>
    </row>
    <row r="157" spans="1:11">
      <c r="A157" t="str">
        <v>ORD-2026-00156</v>
      </c>
      <c r="B157" s="2">
        <v>2240</v>
      </c>
      <c r="C157" s="2">
        <v>590.69000000000005</v>
      </c>
      <c r="D157" s="28">
        <v>0.2</v>
      </c>
      <c r="E157" t="str">
        <f t="shared" si="6"/>
        <v>Profit</v>
      </c>
      <c r="F157" t="str">
        <f t="shared" si="7"/>
        <v>Low</v>
      </c>
      <c r="G157" t="str">
        <f>VLOOKUP(A157,DataSet!$1:$1048576,5,FALSE)</f>
        <v>Zoya Panjwani</v>
      </c>
      <c r="H157" s="29">
        <f>INDEX(DataSet!B:B,MATCH('Advanced  Formulas'!A157,DataSet!A:A,0))</f>
        <v>46063</v>
      </c>
      <c r="I157" s="29">
        <f>INDEX(DataSet!C:C,MATCH('Advanced  Formulas'!A157,DataSet!A:A,0))</f>
        <v>46102</v>
      </c>
      <c r="J157" t="str">
        <f t="shared" si="8"/>
        <v>Review</v>
      </c>
      <c r="K157" s="10" t="str">
        <f>CONCATENATE(DataSet!E157,"-",DataSet!G157)</f>
        <v>Zoya Panjwani-Vadodara</v>
      </c>
    </row>
    <row r="158" spans="1:11">
      <c r="A158" t="str">
        <v>ORD-2026-00157</v>
      </c>
      <c r="B158" s="2">
        <v>1140</v>
      </c>
      <c r="C158" s="2">
        <v>150.68</v>
      </c>
      <c r="D158" s="28">
        <v>0.05</v>
      </c>
      <c r="E158" t="str">
        <f t="shared" si="6"/>
        <v>Loss</v>
      </c>
      <c r="F158" t="str">
        <f t="shared" si="7"/>
        <v>Low</v>
      </c>
      <c r="G158" t="str">
        <f>VLOOKUP(A158,DataSet!$1:$1048576,5,FALSE)</f>
        <v>Arjun Iyer</v>
      </c>
      <c r="H158" s="29">
        <f>INDEX(DataSet!B:B,MATCH('Advanced  Formulas'!A158,DataSet!A:A,0))</f>
        <v>46208</v>
      </c>
      <c r="I158" s="29">
        <f>INDEX(DataSet!C:C,MATCH('Advanced  Formulas'!A158,DataSet!A:A,0))</f>
        <v>46103</v>
      </c>
      <c r="J158" t="str">
        <f t="shared" si="8"/>
        <v>Review</v>
      </c>
      <c r="K158" s="10" t="str">
        <f>CONCATENATE(DataSet!E158,"-",DataSet!G158)</f>
        <v>Arjun Iyer-Mumbai</v>
      </c>
    </row>
    <row r="159" spans="1:11">
      <c r="A159" t="str">
        <v>ORD-2024-00158</v>
      </c>
      <c r="B159" s="2">
        <v>427.5</v>
      </c>
      <c r="C159" s="2">
        <v>147.84</v>
      </c>
      <c r="D159" s="28">
        <v>0.05</v>
      </c>
      <c r="E159" t="str">
        <f t="shared" si="6"/>
        <v>Loss</v>
      </c>
      <c r="F159" t="str">
        <f t="shared" si="7"/>
        <v>Low</v>
      </c>
      <c r="G159" t="str">
        <f>VLOOKUP(A159,DataSet!$1:$1048576,5,FALSE)</f>
        <v>Sara Joshi</v>
      </c>
      <c r="H159" s="29">
        <f>INDEX(DataSet!B:B,MATCH('Advanced  Formulas'!A159,DataSet!A:A,0))</f>
        <v>45372</v>
      </c>
      <c r="I159" s="29">
        <f>INDEX(DataSet!C:C,MATCH('Advanced  Formulas'!A159,DataSet!A:A,0))</f>
        <v>46104</v>
      </c>
      <c r="J159" t="str">
        <f t="shared" si="8"/>
        <v>Review</v>
      </c>
      <c r="K159" s="10" t="str">
        <f>CONCATENATE(DataSet!E159,"-",DataSet!G159)</f>
        <v>Sara Joshi-Lucknow</v>
      </c>
    </row>
    <row r="160" spans="1:11">
      <c r="A160" t="str">
        <v>ORD-2026-00159</v>
      </c>
      <c r="B160" s="2">
        <v>15200</v>
      </c>
      <c r="C160" s="2">
        <v>2903.63</v>
      </c>
      <c r="D160" s="28">
        <v>0</v>
      </c>
      <c r="E160" t="str">
        <f t="shared" si="6"/>
        <v>Profit</v>
      </c>
      <c r="F160" t="str">
        <f t="shared" si="7"/>
        <v>High</v>
      </c>
      <c r="G160" t="str">
        <f>VLOOKUP(A160,DataSet!$1:$1048576,5,FALSE)</f>
        <v>Zoya Dave</v>
      </c>
      <c r="H160" s="29">
        <f>INDEX(DataSet!B:B,MATCH('Advanced  Formulas'!A160,DataSet!A:A,0))</f>
        <v>46026</v>
      </c>
      <c r="I160" s="29">
        <f>INDEX(DataSet!C:C,MATCH('Advanced  Formulas'!A160,DataSet!A:A,0))</f>
        <v>46105</v>
      </c>
      <c r="J160" t="str">
        <f t="shared" si="8"/>
        <v>Good Order</v>
      </c>
      <c r="K160" s="10" t="str">
        <f>CONCATENATE(DataSet!E160,"-",DataSet!G160)</f>
        <v>Zoya Dave-Surat</v>
      </c>
    </row>
    <row r="161" spans="1:11">
      <c r="A161" t="str">
        <v>ORD-2025-00160</v>
      </c>
      <c r="B161" s="2">
        <v>2805</v>
      </c>
      <c r="C161" s="2">
        <v>418.55</v>
      </c>
      <c r="D161" s="28">
        <v>0.15</v>
      </c>
      <c r="E161" t="str">
        <f t="shared" si="6"/>
        <v>Profit</v>
      </c>
      <c r="F161" t="str">
        <f t="shared" si="7"/>
        <v>Low</v>
      </c>
      <c r="G161" t="str">
        <f>VLOOKUP(A161,DataSet!$1:$1048576,5,FALSE)</f>
        <v>Isha Patel</v>
      </c>
      <c r="H161" s="29">
        <f>INDEX(DataSet!B:B,MATCH('Advanced  Formulas'!A161,DataSet!A:A,0))</f>
        <v>45946</v>
      </c>
      <c r="I161" s="29">
        <f>INDEX(DataSet!C:C,MATCH('Advanced  Formulas'!A161,DataSet!A:A,0))</f>
        <v>46106</v>
      </c>
      <c r="J161" t="str">
        <f t="shared" si="8"/>
        <v>Review</v>
      </c>
      <c r="K161" s="10" t="str">
        <f>CONCATENATE(DataSet!E161,"-",DataSet!G161)</f>
        <v>Isha Patel-Ahmedabad</v>
      </c>
    </row>
    <row r="162" spans="1:11">
      <c r="A162" t="str">
        <v>ORD-2025-00161</v>
      </c>
      <c r="B162" s="2">
        <v>1900</v>
      </c>
      <c r="C162" s="2">
        <v>337.41</v>
      </c>
      <c r="D162" s="28">
        <v>0</v>
      </c>
      <c r="E162" t="str">
        <f t="shared" si="6"/>
        <v>Profit</v>
      </c>
      <c r="F162" t="str">
        <f t="shared" si="7"/>
        <v>Low</v>
      </c>
      <c r="G162" t="str">
        <f>VLOOKUP(A162,DataSet!$1:$1048576,5,FALSE)</f>
        <v>Zoya Panjwani</v>
      </c>
      <c r="H162" s="29">
        <f>INDEX(DataSet!B:B,MATCH('Advanced  Formulas'!A162,DataSet!A:A,0))</f>
        <v>45986</v>
      </c>
      <c r="I162" s="29">
        <f>INDEX(DataSet!C:C,MATCH('Advanced  Formulas'!A162,DataSet!A:A,0))</f>
        <v>46107</v>
      </c>
      <c r="J162" t="str">
        <f t="shared" si="8"/>
        <v>Review</v>
      </c>
      <c r="K162" s="10" t="str">
        <f>CONCATENATE(DataSet!E162,"-",DataSet!G162)</f>
        <v>Zoya Panjwani-Jaipur</v>
      </c>
    </row>
    <row r="163" spans="1:11">
      <c r="A163" t="str">
        <v>ORD-2025-00162</v>
      </c>
      <c r="B163" s="2">
        <v>10260</v>
      </c>
      <c r="C163" s="2">
        <v>1709.3</v>
      </c>
      <c r="D163" s="28">
        <v>0.1</v>
      </c>
      <c r="E163" t="str">
        <f t="shared" si="6"/>
        <v>Profit</v>
      </c>
      <c r="F163" t="str">
        <f t="shared" si="7"/>
        <v>High</v>
      </c>
      <c r="G163" t="str">
        <f>VLOOKUP(A163,DataSet!$1:$1048576,5,FALSE)</f>
        <v>Vivaan Soni</v>
      </c>
      <c r="H163" s="29">
        <f>INDEX(DataSet!B:B,MATCH('Advanced  Formulas'!A163,DataSet!A:A,0))</f>
        <v>45911</v>
      </c>
      <c r="I163" s="29">
        <f>INDEX(DataSet!C:C,MATCH('Advanced  Formulas'!A163,DataSet!A:A,0))</f>
        <v>46108</v>
      </c>
      <c r="J163" t="str">
        <f t="shared" si="8"/>
        <v>Good Order</v>
      </c>
      <c r="K163" s="10" t="str">
        <f>CONCATENATE(DataSet!E163,"-",DataSet!G163)</f>
        <v>Vivaan Soni-Bengaluru</v>
      </c>
    </row>
    <row r="164" spans="1:11">
      <c r="A164" t="str">
        <v>ORD-2024-00163</v>
      </c>
      <c r="B164" s="2">
        <v>144</v>
      </c>
      <c r="C164" s="2">
        <v>43.43</v>
      </c>
      <c r="D164" s="28">
        <v>0.2</v>
      </c>
      <c r="E164" t="str">
        <f t="shared" si="6"/>
        <v>Loss</v>
      </c>
      <c r="F164" t="str">
        <f t="shared" si="7"/>
        <v>Low</v>
      </c>
      <c r="G164" t="str">
        <f>VLOOKUP(A164,DataSet!$1:$1048576,5,FALSE)</f>
        <v>Krish Sheikh</v>
      </c>
      <c r="H164" s="29">
        <f>INDEX(DataSet!B:B,MATCH('Advanced  Formulas'!A164,DataSet!A:A,0))</f>
        <v>45613</v>
      </c>
      <c r="I164" s="29">
        <f>INDEX(DataSet!C:C,MATCH('Advanced  Formulas'!A164,DataSet!A:A,0))</f>
        <v>46109</v>
      </c>
      <c r="J164" t="str">
        <f t="shared" si="8"/>
        <v>Review</v>
      </c>
      <c r="K164" s="10" t="str">
        <f>CONCATENATE(DataSet!E164,"-",DataSet!G164)</f>
        <v>Krish Sheikh-Rajkot</v>
      </c>
    </row>
    <row r="165" spans="1:11">
      <c r="A165" t="str">
        <v>ORD-2024-00164</v>
      </c>
      <c r="B165" s="2">
        <v>1400</v>
      </c>
      <c r="C165" s="2">
        <v>156.4</v>
      </c>
      <c r="D165" s="28">
        <v>0.2</v>
      </c>
      <c r="E165" t="str">
        <f t="shared" si="6"/>
        <v>Loss</v>
      </c>
      <c r="F165" t="str">
        <f t="shared" si="7"/>
        <v>Low</v>
      </c>
      <c r="G165" t="str">
        <f>VLOOKUP(A165,DataSet!$1:$1048576,5,FALSE)</f>
        <v>Reyansh Shah</v>
      </c>
      <c r="H165" s="29">
        <f>INDEX(DataSet!B:B,MATCH('Advanced  Formulas'!A165,DataSet!A:A,0))</f>
        <v>45560</v>
      </c>
      <c r="I165" s="29">
        <f>INDEX(DataSet!C:C,MATCH('Advanced  Formulas'!A165,DataSet!A:A,0))</f>
        <v>46110</v>
      </c>
      <c r="J165" t="str">
        <f t="shared" si="8"/>
        <v>Review</v>
      </c>
      <c r="K165" s="10" t="str">
        <f>CONCATENATE(DataSet!E165,"-",DataSet!G165)</f>
        <v>Reyansh Shah-Rajkot</v>
      </c>
    </row>
    <row r="166" spans="1:11">
      <c r="A166" t="str">
        <v>ORD-2025-00165</v>
      </c>
      <c r="B166" s="2">
        <v>5280</v>
      </c>
      <c r="C166" s="2">
        <v>1371.05</v>
      </c>
      <c r="D166" s="28">
        <v>0.2</v>
      </c>
      <c r="E166" t="str">
        <f t="shared" si="6"/>
        <v>Profit</v>
      </c>
      <c r="F166" t="str">
        <f t="shared" si="7"/>
        <v>Medium</v>
      </c>
      <c r="G166" t="str">
        <f>VLOOKUP(A166,DataSet!$1:$1048576,5,FALSE)</f>
        <v>Kiara Soni</v>
      </c>
      <c r="H166" s="29">
        <f>INDEX(DataSet!B:B,MATCH('Advanced  Formulas'!A166,DataSet!A:A,0))</f>
        <v>45754</v>
      </c>
      <c r="I166" s="29">
        <f>INDEX(DataSet!C:C,MATCH('Advanced  Formulas'!A166,DataSet!A:A,0))</f>
        <v>46111</v>
      </c>
      <c r="J166" t="str">
        <f t="shared" si="8"/>
        <v>Good Order</v>
      </c>
      <c r="K166" s="10" t="str">
        <f>CONCATENATE(DataSet!E166,"-",DataSet!G166)</f>
        <v>Kiara Soni-Indore</v>
      </c>
    </row>
    <row r="167" spans="1:11">
      <c r="A167" t="str">
        <v>ORD-2026-00166</v>
      </c>
      <c r="B167" s="2">
        <v>1280</v>
      </c>
      <c r="C167" s="2">
        <v>158.55000000000001</v>
      </c>
      <c r="D167" s="28">
        <v>0</v>
      </c>
      <c r="E167" t="str">
        <f t="shared" si="6"/>
        <v>Loss</v>
      </c>
      <c r="F167" t="str">
        <f t="shared" si="7"/>
        <v>Low</v>
      </c>
      <c r="G167" t="str">
        <f>VLOOKUP(A167,DataSet!$1:$1048576,5,FALSE)</f>
        <v>Vivaan Desai</v>
      </c>
      <c r="H167" s="29">
        <f>INDEX(DataSet!B:B,MATCH('Advanced  Formulas'!A167,DataSet!A:A,0))</f>
        <v>46163</v>
      </c>
      <c r="I167" s="29">
        <f>INDEX(DataSet!C:C,MATCH('Advanced  Formulas'!A167,DataSet!A:A,0))</f>
        <v>46112</v>
      </c>
      <c r="J167" t="str">
        <f t="shared" si="8"/>
        <v>Review</v>
      </c>
      <c r="K167" s="10" t="str">
        <f>CONCATENATE(DataSet!E167,"-",DataSet!G167)</f>
        <v>Vivaan Desai-Chennai</v>
      </c>
    </row>
    <row r="168" spans="1:11">
      <c r="A168" t="str">
        <v>ORD-2025-00167</v>
      </c>
      <c r="B168" s="2">
        <v>1912.5</v>
      </c>
      <c r="C168" s="2">
        <v>244.03</v>
      </c>
      <c r="D168" s="28">
        <v>0.15</v>
      </c>
      <c r="E168" t="str">
        <f t="shared" si="6"/>
        <v>Profit</v>
      </c>
      <c r="F168" t="str">
        <f t="shared" si="7"/>
        <v>Low</v>
      </c>
      <c r="G168" t="str">
        <f>VLOOKUP(A168,DataSet!$1:$1048576,5,FALSE)</f>
        <v>Sara Panjwani</v>
      </c>
      <c r="H168" s="29">
        <f>INDEX(DataSet!B:B,MATCH('Advanced  Formulas'!A168,DataSet!A:A,0))</f>
        <v>45661</v>
      </c>
      <c r="I168" s="29">
        <f>INDEX(DataSet!C:C,MATCH('Advanced  Formulas'!A168,DataSet!A:A,0))</f>
        <v>46113</v>
      </c>
      <c r="J168" t="str">
        <f t="shared" si="8"/>
        <v>Review</v>
      </c>
      <c r="K168" s="10" t="str">
        <f>CONCATENATE(DataSet!E168,"-",DataSet!G168)</f>
        <v>Sara Panjwani-Lucknow</v>
      </c>
    </row>
    <row r="169" spans="1:11">
      <c r="A169" t="str">
        <v>ORD-2025-00168</v>
      </c>
      <c r="B169" s="2">
        <v>440</v>
      </c>
      <c r="C169" s="2">
        <v>55.96</v>
      </c>
      <c r="D169" s="28">
        <v>0</v>
      </c>
      <c r="E169" t="str">
        <f t="shared" si="6"/>
        <v>Loss</v>
      </c>
      <c r="F169" t="str">
        <f t="shared" si="7"/>
        <v>Low</v>
      </c>
      <c r="G169" t="str">
        <f>VLOOKUP(A169,DataSet!$1:$1048576,5,FALSE)</f>
        <v>Kabir Khan</v>
      </c>
      <c r="H169" s="29">
        <f>INDEX(DataSet!B:B,MATCH('Advanced  Formulas'!A169,DataSet!A:A,0))</f>
        <v>45830</v>
      </c>
      <c r="I169" s="29">
        <f>INDEX(DataSet!C:C,MATCH('Advanced  Formulas'!A169,DataSet!A:A,0))</f>
        <v>46114</v>
      </c>
      <c r="J169" t="str">
        <f t="shared" si="8"/>
        <v>Review</v>
      </c>
      <c r="K169" s="10" t="str">
        <f>CONCATENATE(DataSet!E169,"-",DataSet!G169)</f>
        <v>Kabir Khan-Hyderabad</v>
      </c>
    </row>
    <row r="170" spans="1:11">
      <c r="A170" t="str">
        <v>ORD-2024-00169</v>
      </c>
      <c r="B170" s="2">
        <v>714</v>
      </c>
      <c r="C170" s="2">
        <v>86.19</v>
      </c>
      <c r="D170" s="28">
        <v>0.15</v>
      </c>
      <c r="E170" t="str">
        <f t="shared" si="6"/>
        <v>Loss</v>
      </c>
      <c r="F170" t="str">
        <f t="shared" si="7"/>
        <v>Low</v>
      </c>
      <c r="G170" t="str">
        <f>VLOOKUP(A170,DataSet!$1:$1048576,5,FALSE)</f>
        <v>Anaya Soni</v>
      </c>
      <c r="H170" s="29">
        <f>INDEX(DataSet!B:B,MATCH('Advanced  Formulas'!A170,DataSet!A:A,0))</f>
        <v>45644</v>
      </c>
      <c r="I170" s="29">
        <f>INDEX(DataSet!C:C,MATCH('Advanced  Formulas'!A170,DataSet!A:A,0))</f>
        <v>46115</v>
      </c>
      <c r="J170" t="str">
        <f t="shared" si="8"/>
        <v>Review</v>
      </c>
      <c r="K170" s="10" t="str">
        <f>CONCATENATE(DataSet!E170,"-",DataSet!G170)</f>
        <v>Anaya Soni-Indore</v>
      </c>
    </row>
    <row r="171" spans="1:11">
      <c r="A171" t="str">
        <v>ORD-2024-00170</v>
      </c>
      <c r="B171" s="2">
        <v>1600</v>
      </c>
      <c r="C171" s="2">
        <v>503.75</v>
      </c>
      <c r="D171" s="28">
        <v>0</v>
      </c>
      <c r="E171" t="str">
        <f t="shared" si="6"/>
        <v>Profit</v>
      </c>
      <c r="F171" t="str">
        <f t="shared" si="7"/>
        <v>Low</v>
      </c>
      <c r="G171" t="str">
        <f>VLOOKUP(A171,DataSet!$1:$1048576,5,FALSE)</f>
        <v>Kiara Joshi</v>
      </c>
      <c r="H171" s="29">
        <f>INDEX(DataSet!B:B,MATCH('Advanced  Formulas'!A171,DataSet!A:A,0))</f>
        <v>45460</v>
      </c>
      <c r="I171" s="29">
        <f>INDEX(DataSet!C:C,MATCH('Advanced  Formulas'!A171,DataSet!A:A,0))</f>
        <v>46116</v>
      </c>
      <c r="J171" t="str">
        <f t="shared" si="8"/>
        <v>Review</v>
      </c>
      <c r="K171" s="10" t="str">
        <f>CONCATENATE(DataSet!E171,"-",DataSet!G171)</f>
        <v>Kiara Joshi-Mumbai</v>
      </c>
    </row>
    <row r="172" spans="1:11">
      <c r="A172" t="str">
        <v>ORD-2025-00171</v>
      </c>
      <c r="B172" s="2">
        <v>270</v>
      </c>
      <c r="C172" s="2">
        <v>56.36</v>
      </c>
      <c r="D172" s="28">
        <v>0</v>
      </c>
      <c r="E172" t="str">
        <f t="shared" si="6"/>
        <v>Loss</v>
      </c>
      <c r="F172" t="str">
        <f t="shared" si="7"/>
        <v>Low</v>
      </c>
      <c r="G172" t="str">
        <f>VLOOKUP(A172,DataSet!$1:$1048576,5,FALSE)</f>
        <v>Meera Trivedi</v>
      </c>
      <c r="H172" s="29">
        <f>INDEX(DataSet!B:B,MATCH('Advanced  Formulas'!A172,DataSet!A:A,0))</f>
        <v>45921</v>
      </c>
      <c r="I172" s="29">
        <f>INDEX(DataSet!C:C,MATCH('Advanced  Formulas'!A172,DataSet!A:A,0))</f>
        <v>46117</v>
      </c>
      <c r="J172" t="str">
        <f t="shared" si="8"/>
        <v>Review</v>
      </c>
      <c r="K172" s="10" t="str">
        <f>CONCATENATE(DataSet!E172,"-",DataSet!G172)</f>
        <v>Meera Trivedi-Bhavnagar</v>
      </c>
    </row>
    <row r="173" spans="1:11">
      <c r="A173" t="str">
        <v>ORD-2026-00172</v>
      </c>
      <c r="B173" s="2">
        <v>2600</v>
      </c>
      <c r="C173" s="2">
        <v>767.49</v>
      </c>
      <c r="D173" s="28">
        <v>0.2</v>
      </c>
      <c r="E173" t="str">
        <f t="shared" si="6"/>
        <v>Profit</v>
      </c>
      <c r="F173" t="str">
        <f t="shared" si="7"/>
        <v>Low</v>
      </c>
      <c r="G173" t="str">
        <f>VLOOKUP(A173,DataSet!$1:$1048576,5,FALSE)</f>
        <v>Aanya Dave</v>
      </c>
      <c r="H173" s="29">
        <f>INDEX(DataSet!B:B,MATCH('Advanced  Formulas'!A173,DataSet!A:A,0))</f>
        <v>46137</v>
      </c>
      <c r="I173" s="29">
        <f>INDEX(DataSet!C:C,MATCH('Advanced  Formulas'!A173,DataSet!A:A,0))</f>
        <v>46118</v>
      </c>
      <c r="J173" t="str">
        <f t="shared" si="8"/>
        <v>Review</v>
      </c>
      <c r="K173" s="10" t="str">
        <f>CONCATENATE(DataSet!E173,"-",DataSet!G173)</f>
        <v>Aanya Dave-Ahmedabad</v>
      </c>
    </row>
    <row r="174" spans="1:11">
      <c r="A174" t="str">
        <v>ORD-2025-00173</v>
      </c>
      <c r="B174" s="2">
        <v>22400</v>
      </c>
      <c r="C174" s="2">
        <v>3825.5</v>
      </c>
      <c r="D174" s="28">
        <v>0</v>
      </c>
      <c r="E174" t="str">
        <f t="shared" si="6"/>
        <v>Profit</v>
      </c>
      <c r="F174" t="str">
        <f t="shared" si="7"/>
        <v>High</v>
      </c>
      <c r="G174" t="str">
        <f>VLOOKUP(A174,DataSet!$1:$1048576,5,FALSE)</f>
        <v>Krish Joshi</v>
      </c>
      <c r="H174" s="29">
        <f>INDEX(DataSet!B:B,MATCH('Advanced  Formulas'!A174,DataSet!A:A,0))</f>
        <v>45801</v>
      </c>
      <c r="I174" s="29">
        <f>INDEX(DataSet!C:C,MATCH('Advanced  Formulas'!A174,DataSet!A:A,0))</f>
        <v>46119</v>
      </c>
      <c r="J174" t="str">
        <f t="shared" si="8"/>
        <v>Good Order</v>
      </c>
      <c r="K174" s="10" t="str">
        <f>CONCATENATE(DataSet!E174,"-",DataSet!G174)</f>
        <v>Krish Joshi-Delhi</v>
      </c>
    </row>
    <row r="175" spans="1:11">
      <c r="A175" t="str">
        <v>ORD-2025-00174</v>
      </c>
      <c r="B175" s="2">
        <v>11520</v>
      </c>
      <c r="C175" s="2">
        <v>3593.71</v>
      </c>
      <c r="D175" s="28">
        <v>0.1</v>
      </c>
      <c r="E175" t="str">
        <f t="shared" si="6"/>
        <v>Profit</v>
      </c>
      <c r="F175" t="str">
        <f t="shared" si="7"/>
        <v>High</v>
      </c>
      <c r="G175" t="str">
        <f>VLOOKUP(A175,DataSet!$1:$1048576,5,FALSE)</f>
        <v>Vivaan Trivedi</v>
      </c>
      <c r="H175" s="29">
        <f>INDEX(DataSet!B:B,MATCH('Advanced  Formulas'!A175,DataSet!A:A,0))</f>
        <v>45997</v>
      </c>
      <c r="I175" s="29">
        <f>INDEX(DataSet!C:C,MATCH('Advanced  Formulas'!A175,DataSet!A:A,0))</f>
        <v>46120</v>
      </c>
      <c r="J175" t="str">
        <f t="shared" si="8"/>
        <v>Good Order</v>
      </c>
      <c r="K175" s="10" t="str">
        <f>CONCATENATE(DataSet!E175,"-",DataSet!G175)</f>
        <v>Vivaan Trivedi-Surat</v>
      </c>
    </row>
    <row r="176" spans="1:11">
      <c r="A176" t="str">
        <v>ORD-2026-00175</v>
      </c>
      <c r="B176" s="2">
        <v>1785</v>
      </c>
      <c r="C176" s="2">
        <v>377.48</v>
      </c>
      <c r="D176" s="28">
        <v>0.15</v>
      </c>
      <c r="E176" t="str">
        <f t="shared" si="6"/>
        <v>Profit</v>
      </c>
      <c r="F176" t="str">
        <f t="shared" si="7"/>
        <v>Low</v>
      </c>
      <c r="G176" t="str">
        <f>VLOOKUP(A176,DataSet!$1:$1048576,5,FALSE)</f>
        <v>Myra Khan</v>
      </c>
      <c r="H176" s="29">
        <f>INDEX(DataSet!B:B,MATCH('Advanced  Formulas'!A176,DataSet!A:A,0))</f>
        <v>46043</v>
      </c>
      <c r="I176" s="29">
        <f>INDEX(DataSet!C:C,MATCH('Advanced  Formulas'!A176,DataSet!A:A,0))</f>
        <v>46121</v>
      </c>
      <c r="J176" t="str">
        <f t="shared" si="8"/>
        <v>Review</v>
      </c>
      <c r="K176" s="10" t="str">
        <f>CONCATENATE(DataSet!E176,"-",DataSet!G176)</f>
        <v>Myra Khan-Mumbai</v>
      </c>
    </row>
    <row r="177" spans="1:11">
      <c r="A177" t="str">
        <v>ORD-2025-00176</v>
      </c>
      <c r="B177" s="2">
        <v>2925</v>
      </c>
      <c r="C177" s="2">
        <v>410.43</v>
      </c>
      <c r="D177" s="28">
        <v>0.1</v>
      </c>
      <c r="E177" t="str">
        <f t="shared" si="6"/>
        <v>Profit</v>
      </c>
      <c r="F177" t="str">
        <f t="shared" si="7"/>
        <v>Low</v>
      </c>
      <c r="G177" t="str">
        <f>VLOOKUP(A177,DataSet!$1:$1048576,5,FALSE)</f>
        <v>Myra Rao</v>
      </c>
      <c r="H177" s="29">
        <f>INDEX(DataSet!B:B,MATCH('Advanced  Formulas'!A177,DataSet!A:A,0))</f>
        <v>45752</v>
      </c>
      <c r="I177" s="29">
        <f>INDEX(DataSet!C:C,MATCH('Advanced  Formulas'!A177,DataSet!A:A,0))</f>
        <v>46122</v>
      </c>
      <c r="J177" t="str">
        <f t="shared" si="8"/>
        <v>Review</v>
      </c>
      <c r="K177" s="10" t="str">
        <f>CONCATENATE(DataSet!E177,"-",DataSet!G177)</f>
        <v>Myra Rao-Surat</v>
      </c>
    </row>
    <row r="178" spans="1:11">
      <c r="A178" t="str">
        <v>ORD-2026-00177</v>
      </c>
      <c r="B178" s="2">
        <v>17550</v>
      </c>
      <c r="C178" s="2">
        <v>1861.14</v>
      </c>
      <c r="D178" s="28">
        <v>0.1</v>
      </c>
      <c r="E178" t="str">
        <f t="shared" si="6"/>
        <v>Profit</v>
      </c>
      <c r="F178" t="str">
        <f t="shared" si="7"/>
        <v>High</v>
      </c>
      <c r="G178" t="str">
        <f>VLOOKUP(A178,DataSet!$1:$1048576,5,FALSE)</f>
        <v>Fatima Sheikh</v>
      </c>
      <c r="H178" s="29">
        <f>INDEX(DataSet!B:B,MATCH('Advanced  Formulas'!A178,DataSet!A:A,0))</f>
        <v>46248</v>
      </c>
      <c r="I178" s="29">
        <f>INDEX(DataSet!C:C,MATCH('Advanced  Formulas'!A178,DataSet!A:A,0))</f>
        <v>46123</v>
      </c>
      <c r="J178" t="str">
        <f t="shared" si="8"/>
        <v>Good Order</v>
      </c>
      <c r="K178" s="10" t="str">
        <f>CONCATENATE(DataSet!E178,"-",DataSet!G178)</f>
        <v>Fatima Sheikh-Chennai</v>
      </c>
    </row>
    <row r="179" spans="1:11">
      <c r="A179" t="str">
        <v>ORD-2024-00178</v>
      </c>
      <c r="B179" s="2">
        <v>1190</v>
      </c>
      <c r="C179" s="2">
        <v>316.24</v>
      </c>
      <c r="D179" s="28">
        <v>0.15</v>
      </c>
      <c r="E179" t="str">
        <f t="shared" si="6"/>
        <v>Profit</v>
      </c>
      <c r="F179" t="str">
        <f t="shared" si="7"/>
        <v>Low</v>
      </c>
      <c r="G179" t="str">
        <f>VLOOKUP(A179,DataSet!$1:$1048576,5,FALSE)</f>
        <v>Sara Khan</v>
      </c>
      <c r="H179" s="29">
        <f>INDEX(DataSet!B:B,MATCH('Advanced  Formulas'!A179,DataSet!A:A,0))</f>
        <v>45315</v>
      </c>
      <c r="I179" s="29">
        <f>INDEX(DataSet!C:C,MATCH('Advanced  Formulas'!A179,DataSet!A:A,0))</f>
        <v>46124</v>
      </c>
      <c r="J179" t="str">
        <f t="shared" si="8"/>
        <v>Review</v>
      </c>
      <c r="K179" s="10" t="str">
        <f>CONCATENATE(DataSet!E179,"-",DataSet!G179)</f>
        <v>Sara Khan-Pune</v>
      </c>
    </row>
    <row r="180" spans="1:11">
      <c r="A180" t="str">
        <v>ORD-2024-00179</v>
      </c>
      <c r="B180" s="2">
        <v>1567.5</v>
      </c>
      <c r="C180" s="2">
        <v>287.39999999999998</v>
      </c>
      <c r="D180" s="28">
        <v>0.05</v>
      </c>
      <c r="E180" t="str">
        <f t="shared" si="6"/>
        <v>Profit</v>
      </c>
      <c r="F180" t="str">
        <f t="shared" si="7"/>
        <v>Low</v>
      </c>
      <c r="G180" t="str">
        <f>VLOOKUP(A180,DataSet!$1:$1048576,5,FALSE)</f>
        <v>Krish Trivedi</v>
      </c>
      <c r="H180" s="29">
        <f>INDEX(DataSet!B:B,MATCH('Advanced  Formulas'!A180,DataSet!A:A,0))</f>
        <v>45584</v>
      </c>
      <c r="I180" s="29">
        <f>INDEX(DataSet!C:C,MATCH('Advanced  Formulas'!A180,DataSet!A:A,0))</f>
        <v>46125</v>
      </c>
      <c r="J180" t="str">
        <f t="shared" si="8"/>
        <v>Review</v>
      </c>
      <c r="K180" s="10" t="str">
        <f>CONCATENATE(DataSet!E180,"-",DataSet!G180)</f>
        <v>Krish Trivedi-Ahmedabad</v>
      </c>
    </row>
    <row r="181" spans="1:11">
      <c r="A181" t="str">
        <v>ORD-2024-00180</v>
      </c>
      <c r="B181" s="2">
        <v>1600</v>
      </c>
      <c r="C181" s="2">
        <v>447.28</v>
      </c>
      <c r="D181" s="28">
        <v>0</v>
      </c>
      <c r="E181" t="str">
        <f t="shared" si="6"/>
        <v>Profit</v>
      </c>
      <c r="F181" t="str">
        <f t="shared" si="7"/>
        <v>Low</v>
      </c>
      <c r="G181" t="str">
        <f>VLOOKUP(A181,DataSet!$1:$1048576,5,FALSE)</f>
        <v>Kiara Joshi</v>
      </c>
      <c r="H181" s="29">
        <f>INDEX(DataSet!B:B,MATCH('Advanced  Formulas'!A181,DataSet!A:A,0))</f>
        <v>45344</v>
      </c>
      <c r="I181" s="29">
        <f>INDEX(DataSet!C:C,MATCH('Advanced  Formulas'!A181,DataSet!A:A,0))</f>
        <v>46126</v>
      </c>
      <c r="J181" t="str">
        <f t="shared" si="8"/>
        <v>Review</v>
      </c>
      <c r="K181" s="10" t="str">
        <f>CONCATENATE(DataSet!E181,"-",DataSet!G181)</f>
        <v>Kiara Joshi-Delhi</v>
      </c>
    </row>
    <row r="182" spans="1:11">
      <c r="A182" t="str">
        <v>ORD-2024-00181</v>
      </c>
      <c r="B182" s="2">
        <v>9690</v>
      </c>
      <c r="C182" s="2">
        <v>1098.5899999999999</v>
      </c>
      <c r="D182" s="28">
        <v>0.15</v>
      </c>
      <c r="E182" t="str">
        <f t="shared" si="6"/>
        <v>Profit</v>
      </c>
      <c r="F182" t="str">
        <f t="shared" si="7"/>
        <v>High</v>
      </c>
      <c r="G182" t="str">
        <f>VLOOKUP(A182,DataSet!$1:$1048576,5,FALSE)</f>
        <v>Vivaan Desai</v>
      </c>
      <c r="H182" s="29">
        <f>INDEX(DataSet!B:B,MATCH('Advanced  Formulas'!A182,DataSet!A:A,0))</f>
        <v>45413</v>
      </c>
      <c r="I182" s="29">
        <f>INDEX(DataSet!C:C,MATCH('Advanced  Formulas'!A182,DataSet!A:A,0))</f>
        <v>46127</v>
      </c>
      <c r="J182" t="str">
        <f t="shared" si="8"/>
        <v>Good Order</v>
      </c>
      <c r="K182" s="10" t="str">
        <f>CONCATENATE(DataSet!E182,"-",DataSet!G182)</f>
        <v>Vivaan Desai-Bhavnagar</v>
      </c>
    </row>
    <row r="183" spans="1:11">
      <c r="A183" t="str">
        <v>ORD-2025-00182</v>
      </c>
      <c r="B183" s="2">
        <v>1560</v>
      </c>
      <c r="C183" s="2">
        <v>410.92</v>
      </c>
      <c r="D183" s="28">
        <v>0.2</v>
      </c>
      <c r="E183" t="str">
        <f t="shared" si="6"/>
        <v>Profit</v>
      </c>
      <c r="F183" t="str">
        <f t="shared" si="7"/>
        <v>Low</v>
      </c>
      <c r="G183" t="str">
        <f>VLOOKUP(A183,DataSet!$1:$1048576,5,FALSE)</f>
        <v>Dev Khan</v>
      </c>
      <c r="H183" s="29">
        <f>INDEX(DataSet!B:B,MATCH('Advanced  Formulas'!A183,DataSet!A:A,0))</f>
        <v>45703</v>
      </c>
      <c r="I183" s="29">
        <f>INDEX(DataSet!C:C,MATCH('Advanced  Formulas'!A183,DataSet!A:A,0))</f>
        <v>46128</v>
      </c>
      <c r="J183" t="str">
        <f t="shared" si="8"/>
        <v>Review</v>
      </c>
      <c r="K183" s="10" t="str">
        <f>CONCATENATE(DataSet!E183,"-",DataSet!G183)</f>
        <v>Dev Khan-Ahmedabad</v>
      </c>
    </row>
    <row r="184" spans="1:11">
      <c r="A184" t="str">
        <v>ORD-2026-00183</v>
      </c>
      <c r="B184" s="2">
        <v>18600</v>
      </c>
      <c r="C184" s="2">
        <v>5167.67</v>
      </c>
      <c r="D184" s="28">
        <v>0</v>
      </c>
      <c r="E184" t="str">
        <f t="shared" si="6"/>
        <v>Profit</v>
      </c>
      <c r="F184" t="str">
        <f t="shared" si="7"/>
        <v>High</v>
      </c>
      <c r="G184" t="str">
        <f>VLOOKUP(A184,DataSet!$1:$1048576,5,FALSE)</f>
        <v>Sara Dave</v>
      </c>
      <c r="H184" s="29">
        <f>INDEX(DataSet!B:B,MATCH('Advanced  Formulas'!A184,DataSet!A:A,0))</f>
        <v>46206</v>
      </c>
      <c r="I184" s="29">
        <f>INDEX(DataSet!C:C,MATCH('Advanced  Formulas'!A184,DataSet!A:A,0))</f>
        <v>46129</v>
      </c>
      <c r="J184" t="str">
        <f t="shared" si="8"/>
        <v>Good Order</v>
      </c>
      <c r="K184" s="10" t="str">
        <f>CONCATENATE(DataSet!E184,"-",DataSet!G184)</f>
        <v>Sara Dave-Surat</v>
      </c>
    </row>
    <row r="185" spans="1:11">
      <c r="A185" t="str">
        <v>ORD-2026-00184</v>
      </c>
      <c r="B185" s="2">
        <v>990</v>
      </c>
      <c r="C185" s="2">
        <v>151.38</v>
      </c>
      <c r="D185" s="28">
        <v>0.1</v>
      </c>
      <c r="E185" t="str">
        <f t="shared" si="6"/>
        <v>Loss</v>
      </c>
      <c r="F185" t="str">
        <f t="shared" si="7"/>
        <v>Low</v>
      </c>
      <c r="G185" t="str">
        <f>VLOOKUP(A185,DataSet!$1:$1048576,5,FALSE)</f>
        <v>Aditya Kapoor</v>
      </c>
      <c r="H185" s="29">
        <f>INDEX(DataSet!B:B,MATCH('Advanced  Formulas'!A185,DataSet!A:A,0))</f>
        <v>46140</v>
      </c>
      <c r="I185" s="29">
        <f>INDEX(DataSet!C:C,MATCH('Advanced  Formulas'!A185,DataSet!A:A,0))</f>
        <v>46130</v>
      </c>
      <c r="J185" t="str">
        <f t="shared" si="8"/>
        <v>Review</v>
      </c>
      <c r="K185" s="10" t="str">
        <f>CONCATENATE(DataSet!E185,"-",DataSet!G185)</f>
        <v>Aditya Kapoor-Delhi</v>
      </c>
    </row>
    <row r="186" spans="1:11">
      <c r="A186" t="str">
        <v>ORD-2025-00185</v>
      </c>
      <c r="B186" s="2">
        <v>64600</v>
      </c>
      <c r="C186" s="2">
        <v>7820.58</v>
      </c>
      <c r="D186" s="28">
        <v>0.05</v>
      </c>
      <c r="E186" t="str">
        <f t="shared" si="6"/>
        <v>Profit</v>
      </c>
      <c r="F186" t="str">
        <f t="shared" si="7"/>
        <v>High</v>
      </c>
      <c r="G186" t="str">
        <f>VLOOKUP(A186,DataSet!$1:$1048576,5,FALSE)</f>
        <v>Yusuf Dave</v>
      </c>
      <c r="H186" s="29">
        <f>INDEX(DataSet!B:B,MATCH('Advanced  Formulas'!A186,DataSet!A:A,0))</f>
        <v>45889</v>
      </c>
      <c r="I186" s="29">
        <f>INDEX(DataSet!C:C,MATCH('Advanced  Formulas'!A186,DataSet!A:A,0))</f>
        <v>46131</v>
      </c>
      <c r="J186" t="str">
        <f t="shared" si="8"/>
        <v>Good Order</v>
      </c>
      <c r="K186" s="10" t="str">
        <f>CONCATENATE(DataSet!E186,"-",DataSet!G186)</f>
        <v>Yusuf Dave-Hyderabad</v>
      </c>
    </row>
    <row r="187" spans="1:11">
      <c r="A187" t="str">
        <v>ORD-2025-00186</v>
      </c>
      <c r="B187" s="2">
        <v>1400</v>
      </c>
      <c r="C187" s="2">
        <v>323.58</v>
      </c>
      <c r="D187" s="28">
        <v>0</v>
      </c>
      <c r="E187" t="str">
        <f t="shared" si="6"/>
        <v>Profit</v>
      </c>
      <c r="F187" t="str">
        <f t="shared" si="7"/>
        <v>Low</v>
      </c>
      <c r="G187" t="str">
        <f>VLOOKUP(A187,DataSet!$1:$1048576,5,FALSE)</f>
        <v>Anaya Desai</v>
      </c>
      <c r="H187" s="29">
        <f>INDEX(DataSet!B:B,MATCH('Advanced  Formulas'!A187,DataSet!A:A,0))</f>
        <v>45889</v>
      </c>
      <c r="I187" s="29">
        <f>INDEX(DataSet!C:C,MATCH('Advanced  Formulas'!A187,DataSet!A:A,0))</f>
        <v>46132</v>
      </c>
      <c r="J187" t="str">
        <f t="shared" si="8"/>
        <v>Review</v>
      </c>
      <c r="K187" s="10" t="str">
        <f>CONCATENATE(DataSet!E187,"-",DataSet!G187)</f>
        <v>Anaya Desai-Surat</v>
      </c>
    </row>
    <row r="188" spans="1:11">
      <c r="A188" t="str">
        <v>ORD-2024-00187</v>
      </c>
      <c r="B188" s="2">
        <v>2082.5</v>
      </c>
      <c r="C188" s="2">
        <v>324.88</v>
      </c>
      <c r="D188" s="28">
        <v>0.15</v>
      </c>
      <c r="E188" t="str">
        <f t="shared" si="6"/>
        <v>Profit</v>
      </c>
      <c r="F188" t="str">
        <f t="shared" si="7"/>
        <v>Low</v>
      </c>
      <c r="G188" t="str">
        <f>VLOOKUP(A188,DataSet!$1:$1048576,5,FALSE)</f>
        <v>Fatima Rao</v>
      </c>
      <c r="H188" s="29">
        <f>INDEX(DataSet!B:B,MATCH('Advanced  Formulas'!A188,DataSet!A:A,0))</f>
        <v>45613</v>
      </c>
      <c r="I188" s="29">
        <f>INDEX(DataSet!C:C,MATCH('Advanced  Formulas'!A188,DataSet!A:A,0))</f>
        <v>46133</v>
      </c>
      <c r="J188" t="str">
        <f t="shared" si="8"/>
        <v>Review</v>
      </c>
      <c r="K188" s="10" t="str">
        <f>CONCATENATE(DataSet!E188,"-",DataSet!G188)</f>
        <v>Fatima Rao-Surat</v>
      </c>
    </row>
    <row r="189" spans="1:11">
      <c r="A189" t="str">
        <v>ORD-2025-00188</v>
      </c>
      <c r="B189" s="2">
        <v>432</v>
      </c>
      <c r="C189" s="2">
        <v>97.47</v>
      </c>
      <c r="D189" s="28">
        <v>0.2</v>
      </c>
      <c r="E189" t="str">
        <f t="shared" si="6"/>
        <v>Loss</v>
      </c>
      <c r="F189" t="str">
        <f t="shared" si="7"/>
        <v>Low</v>
      </c>
      <c r="G189" t="str">
        <f>VLOOKUP(A189,DataSet!$1:$1048576,5,FALSE)</f>
        <v>Aditya Mehta</v>
      </c>
      <c r="H189" s="29">
        <f>INDEX(DataSet!B:B,MATCH('Advanced  Formulas'!A189,DataSet!A:A,0))</f>
        <v>46014</v>
      </c>
      <c r="I189" s="29">
        <f>INDEX(DataSet!C:C,MATCH('Advanced  Formulas'!A189,DataSet!A:A,0))</f>
        <v>46134</v>
      </c>
      <c r="J189" t="str">
        <f t="shared" si="8"/>
        <v>Review</v>
      </c>
      <c r="K189" s="10" t="str">
        <f>CONCATENATE(DataSet!E189,"-",DataSet!G189)</f>
        <v>Aditya Mehta-Delhi</v>
      </c>
    </row>
    <row r="190" spans="1:11">
      <c r="A190" t="str">
        <v>ORD-2024-00189</v>
      </c>
      <c r="B190" s="2">
        <v>24800</v>
      </c>
      <c r="C190" s="2">
        <v>3251.09</v>
      </c>
      <c r="D190" s="28">
        <v>0</v>
      </c>
      <c r="E190" t="str">
        <f t="shared" si="6"/>
        <v>Profit</v>
      </c>
      <c r="F190" t="str">
        <f t="shared" si="7"/>
        <v>High</v>
      </c>
      <c r="G190" t="str">
        <f>VLOOKUP(A190,DataSet!$1:$1048576,5,FALSE)</f>
        <v>Kiara Joshi</v>
      </c>
      <c r="H190" s="29">
        <f>INDEX(DataSet!B:B,MATCH('Advanced  Formulas'!A190,DataSet!A:A,0))</f>
        <v>45642</v>
      </c>
      <c r="I190" s="29">
        <f>INDEX(DataSet!C:C,MATCH('Advanced  Formulas'!A190,DataSet!A:A,0))</f>
        <v>46135</v>
      </c>
      <c r="J190" t="str">
        <f t="shared" si="8"/>
        <v>Good Order</v>
      </c>
      <c r="K190" s="10" t="str">
        <f>CONCATENATE(DataSet!E190,"-",DataSet!G190)</f>
        <v>Kiara Joshi-Mumbai</v>
      </c>
    </row>
    <row r="191" spans="1:11">
      <c r="A191" t="str">
        <v>ORD-2026-00190</v>
      </c>
      <c r="B191" s="2">
        <v>810</v>
      </c>
      <c r="C191" s="2">
        <v>222.19</v>
      </c>
      <c r="D191" s="28">
        <v>0.1</v>
      </c>
      <c r="E191" t="str">
        <f t="shared" si="6"/>
        <v>Profit</v>
      </c>
      <c r="F191" t="str">
        <f t="shared" si="7"/>
        <v>Low</v>
      </c>
      <c r="G191" t="str">
        <f>VLOOKUP(A191,DataSet!$1:$1048576,5,FALSE)</f>
        <v>Arjun Joshi</v>
      </c>
      <c r="H191" s="29">
        <f>INDEX(DataSet!B:B,MATCH('Advanced  Formulas'!A191,DataSet!A:A,0))</f>
        <v>46081</v>
      </c>
      <c r="I191" s="29">
        <f>INDEX(DataSet!C:C,MATCH('Advanced  Formulas'!A191,DataSet!A:A,0))</f>
        <v>46136</v>
      </c>
      <c r="J191" t="str">
        <f t="shared" si="8"/>
        <v>Review</v>
      </c>
      <c r="K191" s="10" t="str">
        <f>CONCATENATE(DataSet!E191,"-",DataSet!G191)</f>
        <v>Arjun Joshi-Chennai</v>
      </c>
    </row>
    <row r="192" spans="1:11">
      <c r="A192" t="str">
        <v>ORD-2025-00191</v>
      </c>
      <c r="B192" s="2">
        <v>5415</v>
      </c>
      <c r="C192" s="2">
        <v>1957.86</v>
      </c>
      <c r="D192" s="28">
        <v>0.05</v>
      </c>
      <c r="E192" t="str">
        <f t="shared" si="6"/>
        <v>Profit</v>
      </c>
      <c r="F192" t="str">
        <f t="shared" si="7"/>
        <v>Medium</v>
      </c>
      <c r="G192" t="str">
        <f>VLOOKUP(A192,DataSet!$1:$1048576,5,FALSE)</f>
        <v>Kabir Trivedi</v>
      </c>
      <c r="H192" s="29">
        <f>INDEX(DataSet!B:B,MATCH('Advanced  Formulas'!A192,DataSet!A:A,0))</f>
        <v>45984</v>
      </c>
      <c r="I192" s="29">
        <f>INDEX(DataSet!C:C,MATCH('Advanced  Formulas'!A192,DataSet!A:A,0))</f>
        <v>46137</v>
      </c>
      <c r="J192" t="str">
        <f t="shared" si="8"/>
        <v>Good Order</v>
      </c>
      <c r="K192" s="10" t="str">
        <f>CONCATENATE(DataSet!E192,"-",DataSet!G192)</f>
        <v>Kabir Trivedi-Pune</v>
      </c>
    </row>
    <row r="193" spans="1:11">
      <c r="A193" t="str">
        <v>ORD-2026-00192</v>
      </c>
      <c r="B193" s="2">
        <v>382.5</v>
      </c>
      <c r="C193" s="2">
        <v>67.510000000000005</v>
      </c>
      <c r="D193" s="28">
        <v>0.15</v>
      </c>
      <c r="E193" t="str">
        <f t="shared" si="6"/>
        <v>Loss</v>
      </c>
      <c r="F193" t="str">
        <f t="shared" si="7"/>
        <v>Low</v>
      </c>
      <c r="G193" t="str">
        <f>VLOOKUP(A193,DataSet!$1:$1048576,5,FALSE)</f>
        <v>Anaya Dave</v>
      </c>
      <c r="H193" s="29">
        <f>INDEX(DataSet!B:B,MATCH('Advanced  Formulas'!A193,DataSet!A:A,0))</f>
        <v>46057</v>
      </c>
      <c r="I193" s="29">
        <f>INDEX(DataSet!C:C,MATCH('Advanced  Formulas'!A193,DataSet!A:A,0))</f>
        <v>46138</v>
      </c>
      <c r="J193" t="str">
        <f t="shared" si="8"/>
        <v>Review</v>
      </c>
      <c r="K193" s="10" t="str">
        <f>CONCATENATE(DataSet!E193,"-",DataSet!G193)</f>
        <v>Anaya Dave-Vadodara</v>
      </c>
    </row>
    <row r="194" spans="1:11">
      <c r="A194" t="str">
        <v>ORD-2024-00193</v>
      </c>
      <c r="B194" s="2">
        <v>120</v>
      </c>
      <c r="C194" s="2">
        <v>32.700000000000003</v>
      </c>
      <c r="D194" s="28">
        <v>0</v>
      </c>
      <c r="E194" t="str">
        <f t="shared" si="6"/>
        <v>Loss</v>
      </c>
      <c r="F194" t="str">
        <f t="shared" si="7"/>
        <v>Low</v>
      </c>
      <c r="G194" t="str">
        <f>VLOOKUP(A194,DataSet!$1:$1048576,5,FALSE)</f>
        <v>Fatima Shah</v>
      </c>
      <c r="H194" s="29">
        <f>INDEX(DataSet!B:B,MATCH('Advanced  Formulas'!A194,DataSet!A:A,0))</f>
        <v>45537</v>
      </c>
      <c r="I194" s="29">
        <f>INDEX(DataSet!C:C,MATCH('Advanced  Formulas'!A194,DataSet!A:A,0))</f>
        <v>46139</v>
      </c>
      <c r="J194" t="str">
        <f t="shared" si="8"/>
        <v>Review</v>
      </c>
      <c r="K194" s="10" t="str">
        <f>CONCATENATE(DataSet!E194,"-",DataSet!G194)</f>
        <v>Fatima Shah-Ahmedabad</v>
      </c>
    </row>
    <row r="195" spans="1:11">
      <c r="A195" t="str">
        <v>ORD-2024-00194</v>
      </c>
      <c r="B195" s="2">
        <v>1080</v>
      </c>
      <c r="C195" s="2">
        <v>211.53</v>
      </c>
      <c r="D195" s="28">
        <v>0.1</v>
      </c>
      <c r="E195" t="str">
        <f t="shared" ref="E195:E258" si="9">IF(C195&gt;200,"Profit","Loss")</f>
        <v>Profit</v>
      </c>
      <c r="F195" t="str">
        <f t="shared" ref="F195:F258" si="10">IF(B195&gt;6000,"High",IF(B195&gt;=3000,"Medium",IF(B195&lt;3000,"Low")))</f>
        <v>Low</v>
      </c>
      <c r="G195" t="str">
        <f>VLOOKUP(A195,DataSet!$1:$1048576,5,FALSE)</f>
        <v>Sara Trivedi</v>
      </c>
      <c r="H195" s="29">
        <f>INDEX(DataSet!B:B,MATCH('Advanced  Formulas'!A195,DataSet!A:A,0))</f>
        <v>45297</v>
      </c>
      <c r="I195" s="29">
        <f>INDEX(DataSet!C:C,MATCH('Advanced  Formulas'!A195,DataSet!A:A,0))</f>
        <v>46140</v>
      </c>
      <c r="J195" t="str">
        <f t="shared" ref="J195:J258" si="11">IF(AND(B195&gt;3000,C195&gt;0),"Good Order","Review")</f>
        <v>Review</v>
      </c>
      <c r="K195" s="10" t="str">
        <f>CONCATENATE(DataSet!E195,"-",DataSet!G195)</f>
        <v>Sara Trivedi-Indore</v>
      </c>
    </row>
    <row r="196" spans="1:11">
      <c r="A196" t="str">
        <v>ORD-2026-00195</v>
      </c>
      <c r="B196" s="2">
        <v>90</v>
      </c>
      <c r="C196" s="2">
        <v>24.42</v>
      </c>
      <c r="D196" s="28">
        <v>0</v>
      </c>
      <c r="E196" t="str">
        <f t="shared" si="9"/>
        <v>Loss</v>
      </c>
      <c r="F196" t="str">
        <f t="shared" si="10"/>
        <v>Low</v>
      </c>
      <c r="G196" t="str">
        <f>VLOOKUP(A196,DataSet!$1:$1048576,5,FALSE)</f>
        <v>Isha Sheikh</v>
      </c>
      <c r="H196" s="29">
        <f>INDEX(DataSet!B:B,MATCH('Advanced  Formulas'!A196,DataSet!A:A,0))</f>
        <v>46221</v>
      </c>
      <c r="I196" s="29">
        <f>INDEX(DataSet!C:C,MATCH('Advanced  Formulas'!A196,DataSet!A:A,0))</f>
        <v>46141</v>
      </c>
      <c r="J196" t="str">
        <f t="shared" si="11"/>
        <v>Review</v>
      </c>
      <c r="K196" s="10" t="str">
        <f>CONCATENATE(DataSet!E196,"-",DataSet!G196)</f>
        <v>Isha Sheikh-Bhavnagar</v>
      </c>
    </row>
    <row r="197" spans="1:11">
      <c r="A197" t="str">
        <v>ORD-2026-00196</v>
      </c>
      <c r="B197" s="2">
        <v>3990</v>
      </c>
      <c r="C197" s="2">
        <v>897.07</v>
      </c>
      <c r="D197" s="28">
        <v>0.05</v>
      </c>
      <c r="E197" t="str">
        <f t="shared" si="9"/>
        <v>Profit</v>
      </c>
      <c r="F197" t="str">
        <f t="shared" si="10"/>
        <v>Medium</v>
      </c>
      <c r="G197" t="str">
        <f>VLOOKUP(A197,DataSet!$1:$1048576,5,FALSE)</f>
        <v>Aditya Joshi</v>
      </c>
      <c r="H197" s="29">
        <f>INDEX(DataSet!B:B,MATCH('Advanced  Formulas'!A197,DataSet!A:A,0))</f>
        <v>46098</v>
      </c>
      <c r="I197" s="29">
        <f>INDEX(DataSet!C:C,MATCH('Advanced  Formulas'!A197,DataSet!A:A,0))</f>
        <v>46142</v>
      </c>
      <c r="J197" t="str">
        <f t="shared" si="11"/>
        <v>Good Order</v>
      </c>
      <c r="K197" s="10" t="str">
        <f>CONCATENATE(DataSet!E197,"-",DataSet!G197)</f>
        <v>Aditya Joshi-Surat</v>
      </c>
    </row>
    <row r="198" spans="1:11">
      <c r="A198" t="str">
        <v>ORD-2025-00197</v>
      </c>
      <c r="B198" s="2">
        <v>684</v>
      </c>
      <c r="C198" s="2">
        <v>220.5</v>
      </c>
      <c r="D198" s="28">
        <v>0.05</v>
      </c>
      <c r="E198" t="str">
        <f t="shared" si="9"/>
        <v>Profit</v>
      </c>
      <c r="F198" t="str">
        <f t="shared" si="10"/>
        <v>Low</v>
      </c>
      <c r="G198" t="str">
        <f>VLOOKUP(A198,DataSet!$1:$1048576,5,FALSE)</f>
        <v>Aditya Mehta</v>
      </c>
      <c r="H198" s="29">
        <f>INDEX(DataSet!B:B,MATCH('Advanced  Formulas'!A198,DataSet!A:A,0))</f>
        <v>45828</v>
      </c>
      <c r="I198" s="29">
        <f>INDEX(DataSet!C:C,MATCH('Advanced  Formulas'!A198,DataSet!A:A,0))</f>
        <v>46143</v>
      </c>
      <c r="J198" t="str">
        <f t="shared" si="11"/>
        <v>Review</v>
      </c>
      <c r="K198" s="10" t="str">
        <f>CONCATENATE(DataSet!E198,"-",DataSet!G198)</f>
        <v>Aditya Mehta-Indore</v>
      </c>
    </row>
    <row r="199" spans="1:11">
      <c r="A199" t="str">
        <v>ORD-2025-00198</v>
      </c>
      <c r="B199" s="2">
        <v>1026</v>
      </c>
      <c r="C199" s="2">
        <v>230.72</v>
      </c>
      <c r="D199" s="28">
        <v>0.05</v>
      </c>
      <c r="E199" t="str">
        <f t="shared" si="9"/>
        <v>Profit</v>
      </c>
      <c r="F199" t="str">
        <f t="shared" si="10"/>
        <v>Low</v>
      </c>
      <c r="G199" t="str">
        <f>VLOOKUP(A199,DataSet!$1:$1048576,5,FALSE)</f>
        <v>Reyansh Mehta</v>
      </c>
      <c r="H199" s="29">
        <f>INDEX(DataSet!B:B,MATCH('Advanced  Formulas'!A199,DataSet!A:A,0))</f>
        <v>45955</v>
      </c>
      <c r="I199" s="29">
        <f>INDEX(DataSet!C:C,MATCH('Advanced  Formulas'!A199,DataSet!A:A,0))</f>
        <v>46144</v>
      </c>
      <c r="J199" t="str">
        <f t="shared" si="11"/>
        <v>Review</v>
      </c>
      <c r="K199" s="10" t="str">
        <f>CONCATENATE(DataSet!E199,"-",DataSet!G199)</f>
        <v>Reyansh Mehta-Chennai</v>
      </c>
    </row>
    <row r="200" spans="1:11">
      <c r="A200" t="str">
        <v>ORD-2026-00199</v>
      </c>
      <c r="B200" s="2">
        <v>23520</v>
      </c>
      <c r="C200" s="2">
        <v>7648.7</v>
      </c>
      <c r="D200" s="28">
        <v>0.2</v>
      </c>
      <c r="E200" t="str">
        <f t="shared" si="9"/>
        <v>Profit</v>
      </c>
      <c r="F200" t="str">
        <f t="shared" si="10"/>
        <v>High</v>
      </c>
      <c r="G200" t="str">
        <f>VLOOKUP(A200,DataSet!$1:$1048576,5,FALSE)</f>
        <v>Fatima Trivedi</v>
      </c>
      <c r="H200" s="29">
        <f>INDEX(DataSet!B:B,MATCH('Advanced  Formulas'!A200,DataSet!A:A,0))</f>
        <v>46138</v>
      </c>
      <c r="I200" s="29">
        <f>INDEX(DataSet!C:C,MATCH('Advanced  Formulas'!A200,DataSet!A:A,0))</f>
        <v>46145</v>
      </c>
      <c r="J200" t="str">
        <f t="shared" si="11"/>
        <v>Good Order</v>
      </c>
      <c r="K200" s="10" t="str">
        <f>CONCATENATE(DataSet!E200,"-",DataSet!G200)</f>
        <v>Fatima Trivedi-Delhi</v>
      </c>
    </row>
    <row r="201" spans="1:11">
      <c r="A201" t="str">
        <v>ORD-2024-00200</v>
      </c>
      <c r="B201" s="2">
        <v>10830</v>
      </c>
      <c r="C201" s="2">
        <v>2394.08</v>
      </c>
      <c r="D201" s="28">
        <v>0.05</v>
      </c>
      <c r="E201" t="str">
        <f t="shared" si="9"/>
        <v>Profit</v>
      </c>
      <c r="F201" t="str">
        <f t="shared" si="10"/>
        <v>High</v>
      </c>
      <c r="G201" t="str">
        <f>VLOOKUP(A201,DataSet!$1:$1048576,5,FALSE)</f>
        <v>Aarav Joshi</v>
      </c>
      <c r="H201" s="29">
        <f>INDEX(DataSet!B:B,MATCH('Advanced  Formulas'!A201,DataSet!A:A,0))</f>
        <v>45559</v>
      </c>
      <c r="I201" s="29">
        <f>INDEX(DataSet!C:C,MATCH('Advanced  Formulas'!A201,DataSet!A:A,0))</f>
        <v>46146</v>
      </c>
      <c r="J201" t="str">
        <f t="shared" si="11"/>
        <v>Good Order</v>
      </c>
      <c r="K201" s="10" t="str">
        <f>CONCATENATE(DataSet!E201,"-",DataSet!G201)</f>
        <v>Aarav Joshi-Vadodara</v>
      </c>
    </row>
    <row r="202" spans="1:11">
      <c r="A202" t="str">
        <v>ORD-2025-00201</v>
      </c>
      <c r="B202" s="2">
        <v>2750</v>
      </c>
      <c r="C202" s="2">
        <v>755.13</v>
      </c>
      <c r="D202" s="28">
        <v>0</v>
      </c>
      <c r="E202" t="str">
        <f t="shared" si="9"/>
        <v>Profit</v>
      </c>
      <c r="F202" t="str">
        <f t="shared" si="10"/>
        <v>Low</v>
      </c>
      <c r="G202" t="str">
        <f>VLOOKUP(A202,DataSet!$1:$1048576,5,FALSE)</f>
        <v>Sara Verma</v>
      </c>
      <c r="H202" s="29">
        <f>INDEX(DataSet!B:B,MATCH('Advanced  Formulas'!A202,DataSet!A:A,0))</f>
        <v>46001</v>
      </c>
      <c r="I202" s="29">
        <f>INDEX(DataSet!C:C,MATCH('Advanced  Formulas'!A202,DataSet!A:A,0))</f>
        <v>46147</v>
      </c>
      <c r="J202" t="str">
        <f t="shared" si="11"/>
        <v>Review</v>
      </c>
      <c r="K202" s="10" t="str">
        <f>CONCATENATE(DataSet!E202,"-",DataSet!G202)</f>
        <v>Sara Verma-Ahmedabad</v>
      </c>
    </row>
    <row r="203" spans="1:11">
      <c r="A203" t="str">
        <v>ORD-2025-00202</v>
      </c>
      <c r="B203" s="2">
        <v>960</v>
      </c>
      <c r="C203" s="2">
        <v>251.24</v>
      </c>
      <c r="D203" s="28">
        <v>0</v>
      </c>
      <c r="E203" t="str">
        <f t="shared" si="9"/>
        <v>Profit</v>
      </c>
      <c r="F203" t="str">
        <f t="shared" si="10"/>
        <v>Low</v>
      </c>
      <c r="G203" t="str">
        <f>VLOOKUP(A203,DataSet!$1:$1048576,5,FALSE)</f>
        <v>Zoya Panjwani</v>
      </c>
      <c r="H203" s="29">
        <f>INDEX(DataSet!B:B,MATCH('Advanced  Formulas'!A203,DataSet!A:A,0))</f>
        <v>45668</v>
      </c>
      <c r="I203" s="29">
        <f>INDEX(DataSet!C:C,MATCH('Advanced  Formulas'!A203,DataSet!A:A,0))</f>
        <v>46148</v>
      </c>
      <c r="J203" t="str">
        <f t="shared" si="11"/>
        <v>Review</v>
      </c>
      <c r="K203" s="10" t="str">
        <f>CONCATENATE(DataSet!E203,"-",DataSet!G203)</f>
        <v>Zoya Panjwani-Vadodara</v>
      </c>
    </row>
    <row r="204" spans="1:11">
      <c r="A204" t="str">
        <v>ORD-2026-00203</v>
      </c>
      <c r="B204" s="2">
        <v>204</v>
      </c>
      <c r="C204" s="2">
        <v>49.23</v>
      </c>
      <c r="D204" s="28">
        <v>0.15</v>
      </c>
      <c r="E204" t="str">
        <f t="shared" si="9"/>
        <v>Loss</v>
      </c>
      <c r="F204" t="str">
        <f t="shared" si="10"/>
        <v>Low</v>
      </c>
      <c r="G204" t="str">
        <f>VLOOKUP(A204,DataSet!$1:$1048576,5,FALSE)</f>
        <v>Zoya Shah</v>
      </c>
      <c r="H204" s="29">
        <f>INDEX(DataSet!B:B,MATCH('Advanced  Formulas'!A204,DataSet!A:A,0))</f>
        <v>46226</v>
      </c>
      <c r="I204" s="29">
        <f>INDEX(DataSet!C:C,MATCH('Advanced  Formulas'!A204,DataSet!A:A,0))</f>
        <v>46149</v>
      </c>
      <c r="J204" t="str">
        <f t="shared" si="11"/>
        <v>Review</v>
      </c>
      <c r="K204" s="10" t="str">
        <f>CONCATENATE(DataSet!E204,"-",DataSet!G204)</f>
        <v>Zoya Shah-Hyderabad</v>
      </c>
    </row>
    <row r="205" spans="1:11">
      <c r="A205" t="str">
        <v>ORD-2024-00204</v>
      </c>
      <c r="B205" s="2">
        <v>270</v>
      </c>
      <c r="C205" s="2">
        <v>79.569999999999993</v>
      </c>
      <c r="D205" s="28">
        <v>0</v>
      </c>
      <c r="E205" t="str">
        <f t="shared" si="9"/>
        <v>Loss</v>
      </c>
      <c r="F205" t="str">
        <f t="shared" si="10"/>
        <v>Low</v>
      </c>
      <c r="G205" t="str">
        <f>VLOOKUP(A205,DataSet!$1:$1048576,5,FALSE)</f>
        <v>Rohan Shah</v>
      </c>
      <c r="H205" s="29">
        <f>INDEX(DataSet!B:B,MATCH('Advanced  Formulas'!A205,DataSet!A:A,0))</f>
        <v>45355</v>
      </c>
      <c r="I205" s="29">
        <f>INDEX(DataSet!C:C,MATCH('Advanced  Formulas'!A205,DataSet!A:A,0))</f>
        <v>46150</v>
      </c>
      <c r="J205" t="str">
        <f t="shared" si="11"/>
        <v>Review</v>
      </c>
      <c r="K205" s="10" t="str">
        <f>CONCATENATE(DataSet!E205,"-",DataSet!G205)</f>
        <v>Rohan Shah-Delhi</v>
      </c>
    </row>
    <row r="206" spans="1:11">
      <c r="A206" t="str">
        <v>ORD-2026-00205</v>
      </c>
      <c r="B206" s="2">
        <v>68000</v>
      </c>
      <c r="C206" s="2">
        <v>17823.32</v>
      </c>
      <c r="D206" s="28">
        <v>0</v>
      </c>
      <c r="E206" t="str">
        <f t="shared" si="9"/>
        <v>Profit</v>
      </c>
      <c r="F206" t="str">
        <f t="shared" si="10"/>
        <v>High</v>
      </c>
      <c r="G206" t="str">
        <f>VLOOKUP(A206,DataSet!$1:$1048576,5,FALSE)</f>
        <v>Aanya Khan</v>
      </c>
      <c r="H206" s="29">
        <f>INDEX(DataSet!B:B,MATCH('Advanced  Formulas'!A206,DataSet!A:A,0))</f>
        <v>46026</v>
      </c>
      <c r="I206" s="29">
        <f>INDEX(DataSet!C:C,MATCH('Advanced  Formulas'!A206,DataSet!A:A,0))</f>
        <v>46151</v>
      </c>
      <c r="J206" t="str">
        <f t="shared" si="11"/>
        <v>Good Order</v>
      </c>
      <c r="K206" s="10" t="str">
        <f>CONCATENATE(DataSet!E206,"-",DataSet!G206)</f>
        <v>Aanya Khan-Jaipur</v>
      </c>
    </row>
    <row r="207" spans="1:11">
      <c r="A207" t="str">
        <v>ORD-2025-00206</v>
      </c>
      <c r="B207" s="2">
        <v>27930</v>
      </c>
      <c r="C207" s="2">
        <v>4475</v>
      </c>
      <c r="D207" s="28">
        <v>0.05</v>
      </c>
      <c r="E207" t="str">
        <f t="shared" si="9"/>
        <v>Profit</v>
      </c>
      <c r="F207" t="str">
        <f t="shared" si="10"/>
        <v>High</v>
      </c>
      <c r="G207" t="str">
        <f>VLOOKUP(A207,DataSet!$1:$1048576,5,FALSE)</f>
        <v>Reyansh Dave</v>
      </c>
      <c r="H207" s="29">
        <f>INDEX(DataSet!B:B,MATCH('Advanced  Formulas'!A207,DataSet!A:A,0))</f>
        <v>45864</v>
      </c>
      <c r="I207" s="29">
        <f>INDEX(DataSet!C:C,MATCH('Advanced  Formulas'!A207,DataSet!A:A,0))</f>
        <v>46152</v>
      </c>
      <c r="J207" t="str">
        <f t="shared" si="11"/>
        <v>Good Order</v>
      </c>
      <c r="K207" s="10" t="str">
        <f>CONCATENATE(DataSet!E207,"-",DataSet!G207)</f>
        <v>Reyansh Dave-Bengaluru</v>
      </c>
    </row>
    <row r="208" spans="1:11">
      <c r="A208" t="str">
        <v>ORD-2025-00207</v>
      </c>
      <c r="B208" s="2">
        <v>8500</v>
      </c>
      <c r="C208" s="2">
        <v>1050.6400000000001</v>
      </c>
      <c r="D208" s="28">
        <v>0</v>
      </c>
      <c r="E208" t="str">
        <f t="shared" si="9"/>
        <v>Profit</v>
      </c>
      <c r="F208" t="str">
        <f t="shared" si="10"/>
        <v>High</v>
      </c>
      <c r="G208" t="str">
        <f>VLOOKUP(A208,DataSet!$1:$1048576,5,FALSE)</f>
        <v>Diya Joshi</v>
      </c>
      <c r="H208" s="29">
        <f>INDEX(DataSet!B:B,MATCH('Advanced  Formulas'!A208,DataSet!A:A,0))</f>
        <v>45725</v>
      </c>
      <c r="I208" s="29">
        <f>INDEX(DataSet!C:C,MATCH('Advanced  Formulas'!A208,DataSet!A:A,0))</f>
        <v>46153</v>
      </c>
      <c r="J208" t="str">
        <f t="shared" si="11"/>
        <v>Good Order</v>
      </c>
      <c r="K208" s="10" t="str">
        <f>CONCATENATE(DataSet!E208,"-",DataSet!G208)</f>
        <v>Diya Joshi-Chennai</v>
      </c>
    </row>
    <row r="209" spans="1:11">
      <c r="A209" t="str">
        <v>ORD-2026-00208</v>
      </c>
      <c r="B209" s="2">
        <v>11970</v>
      </c>
      <c r="C209" s="2">
        <v>1662.62</v>
      </c>
      <c r="D209" s="28">
        <v>0.1</v>
      </c>
      <c r="E209" t="str">
        <f t="shared" si="9"/>
        <v>Profit</v>
      </c>
      <c r="F209" t="str">
        <f t="shared" si="10"/>
        <v>High</v>
      </c>
      <c r="G209" t="str">
        <f>VLOOKUP(A209,DataSet!$1:$1048576,5,FALSE)</f>
        <v>Krish Panjwani</v>
      </c>
      <c r="H209" s="29">
        <f>INDEX(DataSet!B:B,MATCH('Advanced  Formulas'!A209,DataSet!A:A,0))</f>
        <v>46079</v>
      </c>
      <c r="I209" s="29">
        <f>INDEX(DataSet!C:C,MATCH('Advanced  Formulas'!A209,DataSet!A:A,0))</f>
        <v>46154</v>
      </c>
      <c r="J209" t="str">
        <f t="shared" si="11"/>
        <v>Good Order</v>
      </c>
      <c r="K209" s="10" t="str">
        <f>CONCATENATE(DataSet!E209,"-",DataSet!G209)</f>
        <v>Krish Panjwani-Hyderabad</v>
      </c>
    </row>
    <row r="210" spans="1:11">
      <c r="A210" t="str">
        <v>ORD-2024-00209</v>
      </c>
      <c r="B210" s="2">
        <v>10710</v>
      </c>
      <c r="C210" s="2">
        <v>2734.31</v>
      </c>
      <c r="D210" s="28">
        <v>0.15</v>
      </c>
      <c r="E210" t="str">
        <f t="shared" si="9"/>
        <v>Profit</v>
      </c>
      <c r="F210" t="str">
        <f t="shared" si="10"/>
        <v>High</v>
      </c>
      <c r="G210" t="str">
        <f>VLOOKUP(A210,DataSet!$1:$1048576,5,FALSE)</f>
        <v>Myra Rao</v>
      </c>
      <c r="H210" s="29">
        <f>INDEX(DataSet!B:B,MATCH('Advanced  Formulas'!A210,DataSet!A:A,0))</f>
        <v>45428</v>
      </c>
      <c r="I210" s="29">
        <f>INDEX(DataSet!C:C,MATCH('Advanced  Formulas'!A210,DataSet!A:A,0))</f>
        <v>46155</v>
      </c>
      <c r="J210" t="str">
        <f t="shared" si="11"/>
        <v>Good Order</v>
      </c>
      <c r="K210" s="10" t="str">
        <f>CONCATENATE(DataSet!E210,"-",DataSet!G210)</f>
        <v>Myra Rao-Kolkata</v>
      </c>
    </row>
    <row r="211" spans="1:11">
      <c r="A211" t="str">
        <v>ORD-2024-00210</v>
      </c>
      <c r="B211" s="2">
        <v>1540</v>
      </c>
      <c r="C211" s="2">
        <v>486.1</v>
      </c>
      <c r="D211" s="28">
        <v>0</v>
      </c>
      <c r="E211" t="str">
        <f t="shared" si="9"/>
        <v>Profit</v>
      </c>
      <c r="F211" t="str">
        <f t="shared" si="10"/>
        <v>Low</v>
      </c>
      <c r="G211" t="str">
        <f>VLOOKUP(A211,DataSet!$1:$1048576,5,FALSE)</f>
        <v>Vivaan Joshi</v>
      </c>
      <c r="H211" s="29">
        <f>INDEX(DataSet!B:B,MATCH('Advanced  Formulas'!A211,DataSet!A:A,0))</f>
        <v>45597</v>
      </c>
      <c r="I211" s="29">
        <f>INDEX(DataSet!C:C,MATCH('Advanced  Formulas'!A211,DataSet!A:A,0))</f>
        <v>46156</v>
      </c>
      <c r="J211" t="str">
        <f t="shared" si="11"/>
        <v>Review</v>
      </c>
      <c r="K211" s="10" t="str">
        <f>CONCATENATE(DataSet!E211,"-",DataSet!G211)</f>
        <v>Vivaan Joshi-Bengaluru</v>
      </c>
    </row>
    <row r="212" spans="1:11">
      <c r="A212" t="str">
        <v>ORD-2024-00211</v>
      </c>
      <c r="B212" s="2">
        <v>220</v>
      </c>
      <c r="C212" s="2">
        <v>71.81</v>
      </c>
      <c r="D212" s="28">
        <v>0</v>
      </c>
      <c r="E212" t="str">
        <f t="shared" si="9"/>
        <v>Loss</v>
      </c>
      <c r="F212" t="str">
        <f t="shared" si="10"/>
        <v>Low</v>
      </c>
      <c r="G212" t="str">
        <f>VLOOKUP(A212,DataSet!$1:$1048576,5,FALSE)</f>
        <v>Meera Patel</v>
      </c>
      <c r="H212" s="29">
        <f>INDEX(DataSet!B:B,MATCH('Advanced  Formulas'!A212,DataSet!A:A,0))</f>
        <v>45324</v>
      </c>
      <c r="I212" s="29">
        <f>INDEX(DataSet!C:C,MATCH('Advanced  Formulas'!A212,DataSet!A:A,0))</f>
        <v>46157</v>
      </c>
      <c r="J212" t="str">
        <f t="shared" si="11"/>
        <v>Review</v>
      </c>
      <c r="K212" s="10" t="str">
        <f>CONCATENATE(DataSet!E212,"-",DataSet!G212)</f>
        <v>Meera Patel-Bengaluru</v>
      </c>
    </row>
    <row r="213" spans="1:11">
      <c r="A213" t="str">
        <v>ORD-2025-00212</v>
      </c>
      <c r="B213" s="2">
        <v>855</v>
      </c>
      <c r="C213" s="2">
        <v>214.49</v>
      </c>
      <c r="D213" s="28">
        <v>0.1</v>
      </c>
      <c r="E213" t="str">
        <f t="shared" si="9"/>
        <v>Profit</v>
      </c>
      <c r="F213" t="str">
        <f t="shared" si="10"/>
        <v>Low</v>
      </c>
      <c r="G213" t="str">
        <f>VLOOKUP(A213,DataSet!$1:$1048576,5,FALSE)</f>
        <v>Reyansh Iyer</v>
      </c>
      <c r="H213" s="29">
        <f>INDEX(DataSet!B:B,MATCH('Advanced  Formulas'!A213,DataSet!A:A,0))</f>
        <v>45980</v>
      </c>
      <c r="I213" s="29">
        <f>INDEX(DataSet!C:C,MATCH('Advanced  Formulas'!A213,DataSet!A:A,0))</f>
        <v>46158</v>
      </c>
      <c r="J213" t="str">
        <f t="shared" si="11"/>
        <v>Review</v>
      </c>
      <c r="K213" s="10" t="str">
        <f>CONCATENATE(DataSet!E213,"-",DataSet!G213)</f>
        <v>Reyansh Iyer-Kolkata</v>
      </c>
    </row>
    <row r="214" spans="1:11">
      <c r="A214" t="str">
        <v>ORD-2025-00213</v>
      </c>
      <c r="B214" s="2">
        <v>18600</v>
      </c>
      <c r="C214" s="2">
        <v>5608.67</v>
      </c>
      <c r="D214" s="28">
        <v>0</v>
      </c>
      <c r="E214" t="str">
        <f t="shared" si="9"/>
        <v>Profit</v>
      </c>
      <c r="F214" t="str">
        <f t="shared" si="10"/>
        <v>High</v>
      </c>
      <c r="G214" t="str">
        <f>VLOOKUP(A214,DataSet!$1:$1048576,5,FALSE)</f>
        <v>Dev Desai</v>
      </c>
      <c r="H214" s="29">
        <f>INDEX(DataSet!B:B,MATCH('Advanced  Formulas'!A214,DataSet!A:A,0))</f>
        <v>45807</v>
      </c>
      <c r="I214" s="29">
        <f>INDEX(DataSet!C:C,MATCH('Advanced  Formulas'!A214,DataSet!A:A,0))</f>
        <v>46159</v>
      </c>
      <c r="J214" t="str">
        <f t="shared" si="11"/>
        <v>Good Order</v>
      </c>
      <c r="K214" s="10" t="str">
        <f>CONCATENATE(DataSet!E214,"-",DataSet!G214)</f>
        <v>Dev Desai-Vadodara</v>
      </c>
    </row>
    <row r="215" spans="1:11">
      <c r="A215" t="str">
        <v>ORD-2024-00214</v>
      </c>
      <c r="B215" s="2">
        <v>1200</v>
      </c>
      <c r="C215" s="2">
        <v>152.65</v>
      </c>
      <c r="D215" s="28">
        <v>0</v>
      </c>
      <c r="E215" t="str">
        <f t="shared" si="9"/>
        <v>Loss</v>
      </c>
      <c r="F215" t="str">
        <f t="shared" si="10"/>
        <v>Low</v>
      </c>
      <c r="G215" t="str">
        <f>VLOOKUP(A215,DataSet!$1:$1048576,5,FALSE)</f>
        <v>Krish Iyer</v>
      </c>
      <c r="H215" s="29">
        <f>INDEX(DataSet!B:B,MATCH('Advanced  Formulas'!A215,DataSet!A:A,0))</f>
        <v>45573</v>
      </c>
      <c r="I215" s="29">
        <f>INDEX(DataSet!C:C,MATCH('Advanced  Formulas'!A215,DataSet!A:A,0))</f>
        <v>46160</v>
      </c>
      <c r="J215" t="str">
        <f t="shared" si="11"/>
        <v>Review</v>
      </c>
      <c r="K215" s="10" t="str">
        <f>CONCATENATE(DataSet!E215,"-",DataSet!G215)</f>
        <v>Krish Iyer-Delhi</v>
      </c>
    </row>
    <row r="216" spans="1:11">
      <c r="A216" t="str">
        <v>ORD-2025-00215</v>
      </c>
      <c r="B216" s="2">
        <v>2240</v>
      </c>
      <c r="C216" s="2">
        <v>411.83</v>
      </c>
      <c r="D216" s="28">
        <v>0</v>
      </c>
      <c r="E216" t="str">
        <f t="shared" si="9"/>
        <v>Profit</v>
      </c>
      <c r="F216" t="str">
        <f t="shared" si="10"/>
        <v>Low</v>
      </c>
      <c r="G216" t="str">
        <f>VLOOKUP(A216,DataSet!$1:$1048576,5,FALSE)</f>
        <v>Myra Rao</v>
      </c>
      <c r="H216" s="29">
        <f>INDEX(DataSet!B:B,MATCH('Advanced  Formulas'!A216,DataSet!A:A,0))</f>
        <v>46005</v>
      </c>
      <c r="I216" s="29">
        <f>INDEX(DataSet!C:C,MATCH('Advanced  Formulas'!A216,DataSet!A:A,0))</f>
        <v>46161</v>
      </c>
      <c r="J216" t="str">
        <f t="shared" si="11"/>
        <v>Review</v>
      </c>
      <c r="K216" s="10" t="str">
        <f>CONCATENATE(DataSet!E216,"-",DataSet!G216)</f>
        <v>Myra Rao-Pune</v>
      </c>
    </row>
    <row r="217" spans="1:11">
      <c r="A217" t="str">
        <v>ORD-2026-00216</v>
      </c>
      <c r="B217" s="2">
        <v>6930</v>
      </c>
      <c r="C217" s="2">
        <v>1525.33</v>
      </c>
      <c r="D217" s="28">
        <v>0.1</v>
      </c>
      <c r="E217" t="str">
        <f t="shared" si="9"/>
        <v>Profit</v>
      </c>
      <c r="F217" t="str">
        <f t="shared" si="10"/>
        <v>High</v>
      </c>
      <c r="G217" t="str">
        <f>VLOOKUP(A217,DataSet!$1:$1048576,5,FALSE)</f>
        <v>Krish Desai</v>
      </c>
      <c r="H217" s="29">
        <f>INDEX(DataSet!B:B,MATCH('Advanced  Formulas'!A217,DataSet!A:A,0))</f>
        <v>46170</v>
      </c>
      <c r="I217" s="29">
        <f>INDEX(DataSet!C:C,MATCH('Advanced  Formulas'!A217,DataSet!A:A,0))</f>
        <v>46162</v>
      </c>
      <c r="J217" t="str">
        <f t="shared" si="11"/>
        <v>Good Order</v>
      </c>
      <c r="K217" s="10" t="str">
        <f>CONCATENATE(DataSet!E217,"-",DataSet!G217)</f>
        <v>Krish Desai-Surat</v>
      </c>
    </row>
    <row r="218" spans="1:11">
      <c r="A218" t="str">
        <v>ORD-2024-00217</v>
      </c>
      <c r="B218" s="2">
        <v>3230</v>
      </c>
      <c r="C218" s="2">
        <v>546.22</v>
      </c>
      <c r="D218" s="28">
        <v>0.15</v>
      </c>
      <c r="E218" t="str">
        <f t="shared" si="9"/>
        <v>Profit</v>
      </c>
      <c r="F218" t="str">
        <f t="shared" si="10"/>
        <v>Medium</v>
      </c>
      <c r="G218" t="str">
        <f>VLOOKUP(A218,DataSet!$1:$1048576,5,FALSE)</f>
        <v>Diya Joshi</v>
      </c>
      <c r="H218" s="29">
        <f>INDEX(DataSet!B:B,MATCH('Advanced  Formulas'!A218,DataSet!A:A,0))</f>
        <v>45630</v>
      </c>
      <c r="I218" s="29">
        <f>INDEX(DataSet!C:C,MATCH('Advanced  Formulas'!A218,DataSet!A:A,0))</f>
        <v>46163</v>
      </c>
      <c r="J218" t="str">
        <f t="shared" si="11"/>
        <v>Good Order</v>
      </c>
      <c r="K218" s="10" t="str">
        <f>CONCATENATE(DataSet!E218,"-",DataSet!G218)</f>
        <v>Diya Joshi-Bhavnagar</v>
      </c>
    </row>
    <row r="219" spans="1:11">
      <c r="A219" t="str">
        <v>ORD-2025-00218</v>
      </c>
      <c r="B219" s="2">
        <v>3420</v>
      </c>
      <c r="C219" s="2">
        <v>1062.56</v>
      </c>
      <c r="D219" s="28">
        <v>0.1</v>
      </c>
      <c r="E219" t="str">
        <f t="shared" si="9"/>
        <v>Profit</v>
      </c>
      <c r="F219" t="str">
        <f t="shared" si="10"/>
        <v>Medium</v>
      </c>
      <c r="G219" t="str">
        <f>VLOOKUP(A219,DataSet!$1:$1048576,5,FALSE)</f>
        <v>Aditya Joshi</v>
      </c>
      <c r="H219" s="29">
        <f>INDEX(DataSet!B:B,MATCH('Advanced  Formulas'!A219,DataSet!A:A,0))</f>
        <v>45909</v>
      </c>
      <c r="I219" s="29">
        <f>INDEX(DataSet!C:C,MATCH('Advanced  Formulas'!A219,DataSet!A:A,0))</f>
        <v>46164</v>
      </c>
      <c r="J219" t="str">
        <f t="shared" si="11"/>
        <v>Good Order</v>
      </c>
      <c r="K219" s="10" t="str">
        <f>CONCATENATE(DataSet!E219,"-",DataSet!G219)</f>
        <v>Aditya Joshi-Kolkata</v>
      </c>
    </row>
    <row r="220" spans="1:11">
      <c r="A220" t="str">
        <v>ORD-2026-00219</v>
      </c>
      <c r="B220" s="2">
        <v>1760</v>
      </c>
      <c r="C220" s="2">
        <v>339.43</v>
      </c>
      <c r="D220" s="28">
        <v>0.2</v>
      </c>
      <c r="E220" t="str">
        <f t="shared" si="9"/>
        <v>Profit</v>
      </c>
      <c r="F220" t="str">
        <f t="shared" si="10"/>
        <v>Low</v>
      </c>
      <c r="G220" t="str">
        <f>VLOOKUP(A220,DataSet!$1:$1048576,5,FALSE)</f>
        <v>Krish Sheikh</v>
      </c>
      <c r="H220" s="29">
        <f>INDEX(DataSet!B:B,MATCH('Advanced  Formulas'!A220,DataSet!A:A,0))</f>
        <v>46251</v>
      </c>
      <c r="I220" s="29">
        <f>INDEX(DataSet!C:C,MATCH('Advanced  Formulas'!A220,DataSet!A:A,0))</f>
        <v>46165</v>
      </c>
      <c r="J220" t="str">
        <f t="shared" si="11"/>
        <v>Review</v>
      </c>
      <c r="K220" s="10" t="str">
        <f>CONCATENATE(DataSet!E220,"-",DataSet!G220)</f>
        <v>Krish Sheikh-Chennai</v>
      </c>
    </row>
    <row r="221" spans="1:11">
      <c r="A221" t="str">
        <v>ORD-2024-00220</v>
      </c>
      <c r="B221" s="2">
        <v>9120</v>
      </c>
      <c r="C221" s="2">
        <v>2776.99</v>
      </c>
      <c r="D221" s="28">
        <v>0.05</v>
      </c>
      <c r="E221" t="str">
        <f t="shared" si="9"/>
        <v>Profit</v>
      </c>
      <c r="F221" t="str">
        <f t="shared" si="10"/>
        <v>High</v>
      </c>
      <c r="G221" t="str">
        <f>VLOOKUP(A221,DataSet!$1:$1048576,5,FALSE)</f>
        <v>Fatima Khan</v>
      </c>
      <c r="H221" s="29">
        <f>INDEX(DataSet!B:B,MATCH('Advanced  Formulas'!A221,DataSet!A:A,0))</f>
        <v>45621</v>
      </c>
      <c r="I221" s="29">
        <f>INDEX(DataSet!C:C,MATCH('Advanced  Formulas'!A221,DataSet!A:A,0))</f>
        <v>46166</v>
      </c>
      <c r="J221" t="str">
        <f t="shared" si="11"/>
        <v>Good Order</v>
      </c>
      <c r="K221" s="10" t="str">
        <f>CONCATENATE(DataSet!E221,"-",DataSet!G221)</f>
        <v>Fatima Khan-Rajkot</v>
      </c>
    </row>
    <row r="222" spans="1:11">
      <c r="A222" t="str">
        <v>ORD-2026-00221</v>
      </c>
      <c r="B222" s="2">
        <v>1728</v>
      </c>
      <c r="C222" s="2">
        <v>610.17999999999995</v>
      </c>
      <c r="D222" s="28">
        <v>0.1</v>
      </c>
      <c r="E222" t="str">
        <f t="shared" si="9"/>
        <v>Profit</v>
      </c>
      <c r="F222" t="str">
        <f t="shared" si="10"/>
        <v>Low</v>
      </c>
      <c r="G222" t="str">
        <f>VLOOKUP(A222,DataSet!$1:$1048576,5,FALSE)</f>
        <v>Myra Verma</v>
      </c>
      <c r="H222" s="29">
        <f>INDEX(DataSet!B:B,MATCH('Advanced  Formulas'!A222,DataSet!A:A,0))</f>
        <v>46071</v>
      </c>
      <c r="I222" s="29">
        <f>INDEX(DataSet!C:C,MATCH('Advanced  Formulas'!A222,DataSet!A:A,0))</f>
        <v>46167</v>
      </c>
      <c r="J222" t="str">
        <f t="shared" si="11"/>
        <v>Review</v>
      </c>
      <c r="K222" s="10" t="str">
        <f>CONCATENATE(DataSet!E222,"-",DataSet!G222)</f>
        <v>Myra Verma-Mumbai</v>
      </c>
    </row>
    <row r="223" spans="1:11">
      <c r="A223" t="str">
        <v>ORD-2024-00222</v>
      </c>
      <c r="B223" s="2">
        <v>5700</v>
      </c>
      <c r="C223" s="2">
        <v>1677.14</v>
      </c>
      <c r="D223" s="28">
        <v>0</v>
      </c>
      <c r="E223" t="str">
        <f t="shared" si="9"/>
        <v>Profit</v>
      </c>
      <c r="F223" t="str">
        <f t="shared" si="10"/>
        <v>Medium</v>
      </c>
      <c r="G223" t="str">
        <f>VLOOKUP(A223,DataSet!$1:$1048576,5,FALSE)</f>
        <v>Yusuf Rao</v>
      </c>
      <c r="H223" s="29">
        <f>INDEX(DataSet!B:B,MATCH('Advanced  Formulas'!A223,DataSet!A:A,0))</f>
        <v>45559</v>
      </c>
      <c r="I223" s="29">
        <f>INDEX(DataSet!C:C,MATCH('Advanced  Formulas'!A223,DataSet!A:A,0))</f>
        <v>46168</v>
      </c>
      <c r="J223" t="str">
        <f t="shared" si="11"/>
        <v>Good Order</v>
      </c>
      <c r="K223" s="10" t="str">
        <f>CONCATENATE(DataSet!E223,"-",DataSet!G223)</f>
        <v>Yusuf Rao-Indore</v>
      </c>
    </row>
    <row r="224" spans="1:11">
      <c r="A224" t="str">
        <v>ORD-2025-00223</v>
      </c>
      <c r="B224" s="2">
        <v>17920</v>
      </c>
      <c r="C224" s="2">
        <v>3282.22</v>
      </c>
      <c r="D224" s="28">
        <v>0.2</v>
      </c>
      <c r="E224" t="str">
        <f t="shared" si="9"/>
        <v>Profit</v>
      </c>
      <c r="F224" t="str">
        <f t="shared" si="10"/>
        <v>High</v>
      </c>
      <c r="G224" t="str">
        <f>VLOOKUP(A224,DataSet!$1:$1048576,5,FALSE)</f>
        <v>Rohan Mehta</v>
      </c>
      <c r="H224" s="29">
        <f>INDEX(DataSet!B:B,MATCH('Advanced  Formulas'!A224,DataSet!A:A,0))</f>
        <v>45855</v>
      </c>
      <c r="I224" s="29">
        <f>INDEX(DataSet!C:C,MATCH('Advanced  Formulas'!A224,DataSet!A:A,0))</f>
        <v>46169</v>
      </c>
      <c r="J224" t="str">
        <f t="shared" si="11"/>
        <v>Good Order</v>
      </c>
      <c r="K224" s="10" t="str">
        <f>CONCATENATE(DataSet!E224,"-",DataSet!G224)</f>
        <v>Rohan Mehta-Bengaluru</v>
      </c>
    </row>
    <row r="225" spans="1:11">
      <c r="A225" t="str">
        <v>ORD-2024-00224</v>
      </c>
      <c r="B225" s="2">
        <v>297.5</v>
      </c>
      <c r="C225" s="2">
        <v>103.74</v>
      </c>
      <c r="D225" s="28">
        <v>0.15</v>
      </c>
      <c r="E225" t="str">
        <f t="shared" si="9"/>
        <v>Loss</v>
      </c>
      <c r="F225" t="str">
        <f t="shared" si="10"/>
        <v>Low</v>
      </c>
      <c r="G225" t="str">
        <f>VLOOKUP(A225,DataSet!$1:$1048576,5,FALSE)</f>
        <v>Kabir Rao</v>
      </c>
      <c r="H225" s="29">
        <f>INDEX(DataSet!B:B,MATCH('Advanced  Formulas'!A225,DataSet!A:A,0))</f>
        <v>45465</v>
      </c>
      <c r="I225" s="29">
        <f>INDEX(DataSet!C:C,MATCH('Advanced  Formulas'!A225,DataSet!A:A,0))</f>
        <v>46170</v>
      </c>
      <c r="J225" t="str">
        <f t="shared" si="11"/>
        <v>Review</v>
      </c>
      <c r="K225" s="10" t="str">
        <f>CONCATENATE(DataSet!E225,"-",DataSet!G225)</f>
        <v>Kabir Rao-Chennai</v>
      </c>
    </row>
    <row r="226" spans="1:11">
      <c r="A226" t="str">
        <v>ORD-2026-00225</v>
      </c>
      <c r="B226" s="2">
        <v>192</v>
      </c>
      <c r="C226" s="2">
        <v>59.66</v>
      </c>
      <c r="D226" s="28">
        <v>0.2</v>
      </c>
      <c r="E226" t="str">
        <f t="shared" si="9"/>
        <v>Loss</v>
      </c>
      <c r="F226" t="str">
        <f t="shared" si="10"/>
        <v>Low</v>
      </c>
      <c r="G226" t="str">
        <f>VLOOKUP(A226,DataSet!$1:$1048576,5,FALSE)</f>
        <v>Dev Khan</v>
      </c>
      <c r="H226" s="29">
        <f>INDEX(DataSet!B:B,MATCH('Advanced  Formulas'!A226,DataSet!A:A,0))</f>
        <v>46074</v>
      </c>
      <c r="I226" s="29">
        <f>INDEX(DataSet!C:C,MATCH('Advanced  Formulas'!A226,DataSet!A:A,0))</f>
        <v>46171</v>
      </c>
      <c r="J226" t="str">
        <f t="shared" si="11"/>
        <v>Review</v>
      </c>
      <c r="K226" s="10" t="str">
        <f>CONCATENATE(DataSet!E226,"-",DataSet!G226)</f>
        <v>Dev Khan-Pune</v>
      </c>
    </row>
    <row r="227" spans="1:11">
      <c r="A227" t="str">
        <v>ORD-2025-00226</v>
      </c>
      <c r="B227" s="2">
        <v>1600</v>
      </c>
      <c r="C227" s="2">
        <v>386.6</v>
      </c>
      <c r="D227" s="28">
        <v>0</v>
      </c>
      <c r="E227" t="str">
        <f t="shared" si="9"/>
        <v>Profit</v>
      </c>
      <c r="F227" t="str">
        <f t="shared" si="10"/>
        <v>Low</v>
      </c>
      <c r="G227" t="str">
        <f>VLOOKUP(A227,DataSet!$1:$1048576,5,FALSE)</f>
        <v>Aarav Patel</v>
      </c>
      <c r="H227" s="29">
        <f>INDEX(DataSet!B:B,MATCH('Advanced  Formulas'!A227,DataSet!A:A,0))</f>
        <v>45924</v>
      </c>
      <c r="I227" s="29">
        <f>INDEX(DataSet!C:C,MATCH('Advanced  Formulas'!A227,DataSet!A:A,0))</f>
        <v>46172</v>
      </c>
      <c r="J227" t="str">
        <f t="shared" si="11"/>
        <v>Review</v>
      </c>
      <c r="K227" s="10" t="str">
        <f>CONCATENATE(DataSet!E227,"-",DataSet!G227)</f>
        <v>Aarav Patel-Bengaluru</v>
      </c>
    </row>
    <row r="228" spans="1:11">
      <c r="A228" t="str">
        <v>ORD-2025-00227</v>
      </c>
      <c r="B228" s="2">
        <v>700</v>
      </c>
      <c r="C228" s="2">
        <v>170.56</v>
      </c>
      <c r="D228" s="28">
        <v>0</v>
      </c>
      <c r="E228" t="str">
        <f t="shared" si="9"/>
        <v>Loss</v>
      </c>
      <c r="F228" t="str">
        <f t="shared" si="10"/>
        <v>Low</v>
      </c>
      <c r="G228" t="str">
        <f>VLOOKUP(A228,DataSet!$1:$1048576,5,FALSE)</f>
        <v>Reyansh Dave</v>
      </c>
      <c r="H228" s="29">
        <f>INDEX(DataSet!B:B,MATCH('Advanced  Formulas'!A228,DataSet!A:A,0))</f>
        <v>45840</v>
      </c>
      <c r="I228" s="29">
        <f>INDEX(DataSet!C:C,MATCH('Advanced  Formulas'!A228,DataSet!A:A,0))</f>
        <v>46173</v>
      </c>
      <c r="J228" t="str">
        <f t="shared" si="11"/>
        <v>Review</v>
      </c>
      <c r="K228" s="10" t="str">
        <f>CONCATENATE(DataSet!E228,"-",DataSet!G228)</f>
        <v>Reyansh Dave-Ahmedabad</v>
      </c>
    </row>
    <row r="229" spans="1:11">
      <c r="A229" t="str">
        <v>ORD-2026-00228</v>
      </c>
      <c r="B229" s="2">
        <v>5940</v>
      </c>
      <c r="C229" s="2">
        <v>1459.22</v>
      </c>
      <c r="D229" s="28">
        <v>0.1</v>
      </c>
      <c r="E229" t="str">
        <f t="shared" si="9"/>
        <v>Profit</v>
      </c>
      <c r="F229" t="str">
        <f t="shared" si="10"/>
        <v>Medium</v>
      </c>
      <c r="G229" t="str">
        <f>VLOOKUP(A229,DataSet!$1:$1048576,5,FALSE)</f>
        <v>Myra Joshi</v>
      </c>
      <c r="H229" s="29">
        <f>INDEX(DataSet!B:B,MATCH('Advanced  Formulas'!A229,DataSet!A:A,0))</f>
        <v>46126</v>
      </c>
      <c r="I229" s="29">
        <f>INDEX(DataSet!C:C,MATCH('Advanced  Formulas'!A229,DataSet!A:A,0))</f>
        <v>46174</v>
      </c>
      <c r="J229" t="str">
        <f t="shared" si="11"/>
        <v>Good Order</v>
      </c>
      <c r="K229" s="10" t="str">
        <f>CONCATENATE(DataSet!E229,"-",DataSet!G229)</f>
        <v>Myra Joshi-Rajkot</v>
      </c>
    </row>
    <row r="230" spans="1:11">
      <c r="A230" t="str">
        <v>ORD-2025-00229</v>
      </c>
      <c r="B230" s="2">
        <v>4095</v>
      </c>
      <c r="C230" s="2">
        <v>1093.0999999999999</v>
      </c>
      <c r="D230" s="28">
        <v>0.1</v>
      </c>
      <c r="E230" t="str">
        <f t="shared" si="9"/>
        <v>Profit</v>
      </c>
      <c r="F230" t="str">
        <f t="shared" si="10"/>
        <v>Medium</v>
      </c>
      <c r="G230" t="str">
        <f>VLOOKUP(A230,DataSet!$1:$1048576,5,FALSE)</f>
        <v>Diya Kapoor</v>
      </c>
      <c r="H230" s="29">
        <f>INDEX(DataSet!B:B,MATCH('Advanced  Formulas'!A230,DataSet!A:A,0))</f>
        <v>45961</v>
      </c>
      <c r="I230" s="29">
        <f>INDEX(DataSet!C:C,MATCH('Advanced  Formulas'!A230,DataSet!A:A,0))</f>
        <v>46175</v>
      </c>
      <c r="J230" t="str">
        <f t="shared" si="11"/>
        <v>Good Order</v>
      </c>
      <c r="K230" s="10" t="str">
        <f>CONCATENATE(DataSet!E230,"-",DataSet!G230)</f>
        <v>Diya Kapoor-Bengaluru</v>
      </c>
    </row>
    <row r="231" spans="1:11">
      <c r="A231" t="str">
        <v>ORD-2024-00230</v>
      </c>
      <c r="B231" s="2">
        <v>3230</v>
      </c>
      <c r="C231" s="2">
        <v>382.82</v>
      </c>
      <c r="D231" s="28">
        <v>0.15</v>
      </c>
      <c r="E231" t="str">
        <f t="shared" si="9"/>
        <v>Profit</v>
      </c>
      <c r="F231" t="str">
        <f t="shared" si="10"/>
        <v>Medium</v>
      </c>
      <c r="G231" t="str">
        <f>VLOOKUP(A231,DataSet!$1:$1048576,5,FALSE)</f>
        <v>Reyansh Sheikh</v>
      </c>
      <c r="H231" s="29">
        <f>INDEX(DataSet!B:B,MATCH('Advanced  Formulas'!A231,DataSet!A:A,0))</f>
        <v>45376</v>
      </c>
      <c r="I231" s="29">
        <f>INDEX(DataSet!C:C,MATCH('Advanced  Formulas'!A231,DataSet!A:A,0))</f>
        <v>46176</v>
      </c>
      <c r="J231" t="str">
        <f t="shared" si="11"/>
        <v>Good Order</v>
      </c>
      <c r="K231" s="10" t="str">
        <f>CONCATENATE(DataSet!E231,"-",DataSet!G231)</f>
        <v>Reyansh Sheikh-Kolkata</v>
      </c>
    </row>
    <row r="232" spans="1:11">
      <c r="A232" t="str">
        <v>ORD-2025-00231</v>
      </c>
      <c r="B232" s="2">
        <v>1450</v>
      </c>
      <c r="C232" s="2">
        <v>200.86</v>
      </c>
      <c r="D232" s="28">
        <v>0</v>
      </c>
      <c r="E232" t="str">
        <f t="shared" si="9"/>
        <v>Profit</v>
      </c>
      <c r="F232" t="str">
        <f t="shared" si="10"/>
        <v>Low</v>
      </c>
      <c r="G232" t="str">
        <f>VLOOKUP(A232,DataSet!$1:$1048576,5,FALSE)</f>
        <v>Aarav Desai</v>
      </c>
      <c r="H232" s="29">
        <f>INDEX(DataSet!B:B,MATCH('Advanced  Formulas'!A232,DataSet!A:A,0))</f>
        <v>45778</v>
      </c>
      <c r="I232" s="29">
        <f>INDEX(DataSet!C:C,MATCH('Advanced  Formulas'!A232,DataSet!A:A,0))</f>
        <v>46177</v>
      </c>
      <c r="J232" t="str">
        <f t="shared" si="11"/>
        <v>Review</v>
      </c>
      <c r="K232" s="10" t="str">
        <f>CONCATENATE(DataSet!E232,"-",DataSet!G232)</f>
        <v>Aarav Desai-Ahmedabad</v>
      </c>
    </row>
    <row r="233" spans="1:11">
      <c r="A233" t="str">
        <v>ORD-2026-00232</v>
      </c>
      <c r="B233" s="2">
        <v>5500</v>
      </c>
      <c r="C233" s="2">
        <v>1283.54</v>
      </c>
      <c r="D233" s="28">
        <v>0</v>
      </c>
      <c r="E233" t="str">
        <f t="shared" si="9"/>
        <v>Profit</v>
      </c>
      <c r="F233" t="str">
        <f t="shared" si="10"/>
        <v>Medium</v>
      </c>
      <c r="G233" t="str">
        <f>VLOOKUP(A233,DataSet!$1:$1048576,5,FALSE)</f>
        <v>Krish Kapoor</v>
      </c>
      <c r="H233" s="29">
        <f>INDEX(DataSet!B:B,MATCH('Advanced  Formulas'!A233,DataSet!A:A,0))</f>
        <v>46062</v>
      </c>
      <c r="I233" s="29">
        <f>INDEX(DataSet!C:C,MATCH('Advanced  Formulas'!A233,DataSet!A:A,0))</f>
        <v>46178</v>
      </c>
      <c r="J233" t="str">
        <f t="shared" si="11"/>
        <v>Good Order</v>
      </c>
      <c r="K233" s="10" t="str">
        <f>CONCATENATE(DataSet!E233,"-",DataSet!G233)</f>
        <v>Krish Kapoor-Chennai</v>
      </c>
    </row>
    <row r="234" spans="1:11">
      <c r="A234" t="str">
        <v>ORD-2025-00233</v>
      </c>
      <c r="B234" s="2">
        <v>1080</v>
      </c>
      <c r="C234" s="2">
        <v>382.97</v>
      </c>
      <c r="D234" s="28">
        <v>0</v>
      </c>
      <c r="E234" t="str">
        <f t="shared" si="9"/>
        <v>Profit</v>
      </c>
      <c r="F234" t="str">
        <f t="shared" si="10"/>
        <v>Low</v>
      </c>
      <c r="G234" t="str">
        <f>VLOOKUP(A234,DataSet!$1:$1048576,5,FALSE)</f>
        <v>Kabir Trivedi</v>
      </c>
      <c r="H234" s="29">
        <f>INDEX(DataSet!B:B,MATCH('Advanced  Formulas'!A234,DataSet!A:A,0))</f>
        <v>45685</v>
      </c>
      <c r="I234" s="29">
        <f>INDEX(DataSet!C:C,MATCH('Advanced  Formulas'!A234,DataSet!A:A,0))</f>
        <v>46179</v>
      </c>
      <c r="J234" t="str">
        <f t="shared" si="11"/>
        <v>Review</v>
      </c>
      <c r="K234" s="10" t="str">
        <f>CONCATENATE(DataSet!E234,"-",DataSet!G234)</f>
        <v>Kabir Trivedi-Chennai</v>
      </c>
    </row>
    <row r="235" spans="1:11">
      <c r="A235" t="str">
        <v>ORD-2026-00234</v>
      </c>
      <c r="B235" s="2">
        <v>18900</v>
      </c>
      <c r="C235" s="2">
        <v>4487.67</v>
      </c>
      <c r="D235" s="28">
        <v>0.1</v>
      </c>
      <c r="E235" t="str">
        <f t="shared" si="9"/>
        <v>Profit</v>
      </c>
      <c r="F235" t="str">
        <f t="shared" si="10"/>
        <v>High</v>
      </c>
      <c r="G235" t="str">
        <f>VLOOKUP(A235,DataSet!$1:$1048576,5,FALSE)</f>
        <v>Kiara Panjwani</v>
      </c>
      <c r="H235" s="29">
        <f>INDEX(DataSet!B:B,MATCH('Advanced  Formulas'!A235,DataSet!A:A,0))</f>
        <v>46269</v>
      </c>
      <c r="I235" s="29">
        <f>INDEX(DataSet!C:C,MATCH('Advanced  Formulas'!A235,DataSet!A:A,0))</f>
        <v>46180</v>
      </c>
      <c r="J235" t="str">
        <f t="shared" si="11"/>
        <v>Good Order</v>
      </c>
      <c r="K235" s="10" t="str">
        <f>CONCATENATE(DataSet!E235,"-",DataSet!G235)</f>
        <v>Kiara Panjwani-Pune</v>
      </c>
    </row>
    <row r="236" spans="1:11">
      <c r="A236" t="str">
        <v>ORD-2025-00235</v>
      </c>
      <c r="B236" s="2">
        <v>5500</v>
      </c>
      <c r="C236" s="2">
        <v>1070.25</v>
      </c>
      <c r="D236" s="28">
        <v>0</v>
      </c>
      <c r="E236" t="str">
        <f t="shared" si="9"/>
        <v>Profit</v>
      </c>
      <c r="F236" t="str">
        <f t="shared" si="10"/>
        <v>Medium</v>
      </c>
      <c r="G236" t="str">
        <f>VLOOKUP(A236,DataSet!$1:$1048576,5,FALSE)</f>
        <v>Arjun Mehta</v>
      </c>
      <c r="H236" s="29">
        <f>INDEX(DataSet!B:B,MATCH('Advanced  Formulas'!A236,DataSet!A:A,0))</f>
        <v>45988</v>
      </c>
      <c r="I236" s="29">
        <f>INDEX(DataSet!C:C,MATCH('Advanced  Formulas'!A236,DataSet!A:A,0))</f>
        <v>46181</v>
      </c>
      <c r="J236" t="str">
        <f t="shared" si="11"/>
        <v>Good Order</v>
      </c>
      <c r="K236" s="10" t="str">
        <f>CONCATENATE(DataSet!E236,"-",DataSet!G236)</f>
        <v>Arjun Mehta-Bengaluru</v>
      </c>
    </row>
    <row r="237" spans="1:11">
      <c r="A237" t="str">
        <v>ORD-2026-00236</v>
      </c>
      <c r="B237" s="2">
        <v>8400</v>
      </c>
      <c r="C237" s="2">
        <v>1132.57</v>
      </c>
      <c r="D237" s="28">
        <v>0</v>
      </c>
      <c r="E237" t="str">
        <f t="shared" si="9"/>
        <v>Profit</v>
      </c>
      <c r="F237" t="str">
        <f t="shared" si="10"/>
        <v>High</v>
      </c>
      <c r="G237" t="str">
        <f>VLOOKUP(A237,DataSet!$1:$1048576,5,FALSE)</f>
        <v>Zoya Iyer</v>
      </c>
      <c r="H237" s="29">
        <f>INDEX(DataSet!B:B,MATCH('Advanced  Formulas'!A237,DataSet!A:A,0))</f>
        <v>46049</v>
      </c>
      <c r="I237" s="29">
        <f>INDEX(DataSet!C:C,MATCH('Advanced  Formulas'!A237,DataSet!A:A,0))</f>
        <v>46182</v>
      </c>
      <c r="J237" t="str">
        <f t="shared" si="11"/>
        <v>Good Order</v>
      </c>
      <c r="K237" s="10" t="str">
        <f>CONCATENATE(DataSet!E237,"-",DataSet!G237)</f>
        <v>Zoya Iyer-Mumbai</v>
      </c>
    </row>
    <row r="238" spans="1:11">
      <c r="A238" t="str">
        <v>ORD-2024-00237</v>
      </c>
      <c r="B238" s="2">
        <v>11200</v>
      </c>
      <c r="C238" s="2">
        <v>4179.53</v>
      </c>
      <c r="D238" s="28">
        <v>0</v>
      </c>
      <c r="E238" t="str">
        <f t="shared" si="9"/>
        <v>Profit</v>
      </c>
      <c r="F238" t="str">
        <f t="shared" si="10"/>
        <v>High</v>
      </c>
      <c r="G238" t="str">
        <f>VLOOKUP(A238,DataSet!$1:$1048576,5,FALSE)</f>
        <v>Kiara Shah</v>
      </c>
      <c r="H238" s="29">
        <f>INDEX(DataSet!B:B,MATCH('Advanced  Formulas'!A238,DataSet!A:A,0))</f>
        <v>45427</v>
      </c>
      <c r="I238" s="29">
        <f>INDEX(DataSet!C:C,MATCH('Advanced  Formulas'!A238,DataSet!A:A,0))</f>
        <v>46183</v>
      </c>
      <c r="J238" t="str">
        <f t="shared" si="11"/>
        <v>Good Order</v>
      </c>
      <c r="K238" s="10" t="str">
        <f>CONCATENATE(DataSet!E238,"-",DataSet!G238)</f>
        <v>Kiara Shah-Surat</v>
      </c>
    </row>
    <row r="239" spans="1:11">
      <c r="A239" t="str">
        <v>ORD-2026-00238</v>
      </c>
      <c r="B239" s="2">
        <v>4950</v>
      </c>
      <c r="C239" s="2">
        <v>1307.6500000000001</v>
      </c>
      <c r="D239" s="28">
        <v>0.1</v>
      </c>
      <c r="E239" t="str">
        <f t="shared" si="9"/>
        <v>Profit</v>
      </c>
      <c r="F239" t="str">
        <f t="shared" si="10"/>
        <v>Medium</v>
      </c>
      <c r="G239" t="str">
        <f>VLOOKUP(A239,DataSet!$1:$1048576,5,FALSE)</f>
        <v>Kiara Sheikh</v>
      </c>
      <c r="H239" s="29">
        <f>INDEX(DataSet!B:B,MATCH('Advanced  Formulas'!A239,DataSet!A:A,0))</f>
        <v>46095</v>
      </c>
      <c r="I239" s="29">
        <f>INDEX(DataSet!C:C,MATCH('Advanced  Formulas'!A239,DataSet!A:A,0))</f>
        <v>46184</v>
      </c>
      <c r="J239" t="str">
        <f t="shared" si="11"/>
        <v>Good Order</v>
      </c>
      <c r="K239" s="10" t="str">
        <f>CONCATENATE(DataSet!E239,"-",DataSet!G239)</f>
        <v>Kiara Sheikh-Kolkata</v>
      </c>
    </row>
    <row r="240" spans="1:11">
      <c r="A240" t="str">
        <v>ORD-2025-00239</v>
      </c>
      <c r="B240" s="2">
        <v>997.5</v>
      </c>
      <c r="C240" s="2">
        <v>293.47000000000003</v>
      </c>
      <c r="D240" s="28">
        <v>0.05</v>
      </c>
      <c r="E240" t="str">
        <f t="shared" si="9"/>
        <v>Profit</v>
      </c>
      <c r="F240" t="str">
        <f t="shared" si="10"/>
        <v>Low</v>
      </c>
      <c r="G240" t="str">
        <f>VLOOKUP(A240,DataSet!$1:$1048576,5,FALSE)</f>
        <v>Vivaan Shah</v>
      </c>
      <c r="H240" s="29">
        <f>INDEX(DataSet!B:B,MATCH('Advanced  Formulas'!A240,DataSet!A:A,0))</f>
        <v>45825</v>
      </c>
      <c r="I240" s="29">
        <f>INDEX(DataSet!C:C,MATCH('Advanced  Formulas'!A240,DataSet!A:A,0))</f>
        <v>46185</v>
      </c>
      <c r="J240" t="str">
        <f t="shared" si="11"/>
        <v>Review</v>
      </c>
      <c r="K240" s="10" t="str">
        <f>CONCATENATE(DataSet!E240,"-",DataSet!G240)</f>
        <v>Vivaan Shah-Bengaluru</v>
      </c>
    </row>
    <row r="241" spans="1:11">
      <c r="A241" t="str">
        <v>ORD-2024-00240</v>
      </c>
      <c r="B241" s="2">
        <v>6270</v>
      </c>
      <c r="C241" s="2">
        <v>796.3</v>
      </c>
      <c r="D241" s="28">
        <v>0.05</v>
      </c>
      <c r="E241" t="str">
        <f t="shared" si="9"/>
        <v>Profit</v>
      </c>
      <c r="F241" t="str">
        <f t="shared" si="10"/>
        <v>High</v>
      </c>
      <c r="G241" t="str">
        <f>VLOOKUP(A241,DataSet!$1:$1048576,5,FALSE)</f>
        <v>Fatima Dave</v>
      </c>
      <c r="H241" s="29">
        <f>INDEX(DataSet!B:B,MATCH('Advanced  Formulas'!A241,DataSet!A:A,0))</f>
        <v>45574</v>
      </c>
      <c r="I241" s="29">
        <f>INDEX(DataSet!C:C,MATCH('Advanced  Formulas'!A241,DataSet!A:A,0))</f>
        <v>46186</v>
      </c>
      <c r="J241" t="str">
        <f t="shared" si="11"/>
        <v>Good Order</v>
      </c>
      <c r="K241" s="10" t="str">
        <f>CONCATENATE(DataSet!E241,"-",DataSet!G241)</f>
        <v>Fatima Dave-Rajkot</v>
      </c>
    </row>
    <row r="242" spans="1:11">
      <c r="A242" t="str">
        <v>ORD-2025-00241</v>
      </c>
      <c r="B242" s="2">
        <v>27930</v>
      </c>
      <c r="C242" s="2">
        <v>4292.3</v>
      </c>
      <c r="D242" s="28">
        <v>0.05</v>
      </c>
      <c r="E242" t="str">
        <f t="shared" si="9"/>
        <v>Profit</v>
      </c>
      <c r="F242" t="str">
        <f t="shared" si="10"/>
        <v>High</v>
      </c>
      <c r="G242" t="str">
        <f>VLOOKUP(A242,DataSet!$1:$1048576,5,FALSE)</f>
        <v>Aditya Khan</v>
      </c>
      <c r="H242" s="29">
        <f>INDEX(DataSet!B:B,MATCH('Advanced  Formulas'!A242,DataSet!A:A,0))</f>
        <v>45760</v>
      </c>
      <c r="I242" s="29">
        <f>INDEX(DataSet!C:C,MATCH('Advanced  Formulas'!A242,DataSet!A:A,0))</f>
        <v>46187</v>
      </c>
      <c r="J242" t="str">
        <f t="shared" si="11"/>
        <v>Good Order</v>
      </c>
      <c r="K242" s="10" t="str">
        <f>CONCATENATE(DataSet!E242,"-",DataSet!G242)</f>
        <v>Aditya Khan-Surat</v>
      </c>
    </row>
    <row r="243" spans="1:11">
      <c r="A243" t="str">
        <v>ORD-2026-00242</v>
      </c>
      <c r="B243" s="2">
        <v>1632</v>
      </c>
      <c r="C243" s="2">
        <v>181.49</v>
      </c>
      <c r="D243" s="28">
        <v>0.15</v>
      </c>
      <c r="E243" t="str">
        <f t="shared" si="9"/>
        <v>Loss</v>
      </c>
      <c r="F243" t="str">
        <f t="shared" si="10"/>
        <v>Low</v>
      </c>
      <c r="G243" t="str">
        <f>VLOOKUP(A243,DataSet!$1:$1048576,5,FALSE)</f>
        <v>Fatima Trivedi</v>
      </c>
      <c r="H243" s="29">
        <f>INDEX(DataSet!B:B,MATCH('Advanced  Formulas'!A243,DataSet!A:A,0))</f>
        <v>46127</v>
      </c>
      <c r="I243" s="29">
        <f>INDEX(DataSet!C:C,MATCH('Advanced  Formulas'!A243,DataSet!A:A,0))</f>
        <v>46188</v>
      </c>
      <c r="J243" t="str">
        <f t="shared" si="11"/>
        <v>Review</v>
      </c>
      <c r="K243" s="10" t="str">
        <f>CONCATENATE(DataSet!E243,"-",DataSet!G243)</f>
        <v>Fatima Trivedi-Kolkata</v>
      </c>
    </row>
    <row r="244" spans="1:11">
      <c r="A244" t="str">
        <v>ORD-2026-00243</v>
      </c>
      <c r="B244" s="2">
        <v>836</v>
      </c>
      <c r="C244" s="2">
        <v>229.67</v>
      </c>
      <c r="D244" s="28">
        <v>0.05</v>
      </c>
      <c r="E244" t="str">
        <f t="shared" si="9"/>
        <v>Profit</v>
      </c>
      <c r="F244" t="str">
        <f t="shared" si="10"/>
        <v>Low</v>
      </c>
      <c r="G244" t="str">
        <f>VLOOKUP(A244,DataSet!$1:$1048576,5,FALSE)</f>
        <v>Krish Trivedi</v>
      </c>
      <c r="H244" s="29">
        <f>INDEX(DataSet!B:B,MATCH('Advanced  Formulas'!A244,DataSet!A:A,0))</f>
        <v>46283</v>
      </c>
      <c r="I244" s="29">
        <f>INDEX(DataSet!C:C,MATCH('Advanced  Formulas'!A244,DataSet!A:A,0))</f>
        <v>46189</v>
      </c>
      <c r="J244" t="str">
        <f t="shared" si="11"/>
        <v>Review</v>
      </c>
      <c r="K244" s="10" t="str">
        <f>CONCATENATE(DataSet!E244,"-",DataSet!G244)</f>
        <v>Krish Trivedi-Rajkot</v>
      </c>
    </row>
    <row r="245" spans="1:11">
      <c r="A245" t="str">
        <v>ORD-2024-00244</v>
      </c>
      <c r="B245" s="2">
        <v>72</v>
      </c>
      <c r="C245" s="2">
        <v>16.559999999999999</v>
      </c>
      <c r="D245" s="28">
        <v>0.2</v>
      </c>
      <c r="E245" t="str">
        <f t="shared" si="9"/>
        <v>Loss</v>
      </c>
      <c r="F245" t="str">
        <f t="shared" si="10"/>
        <v>Low</v>
      </c>
      <c r="G245" t="str">
        <f>VLOOKUP(A245,DataSet!$1:$1048576,5,FALSE)</f>
        <v>Reyansh Khan</v>
      </c>
      <c r="H245" s="29">
        <f>INDEX(DataSet!B:B,MATCH('Advanced  Formulas'!A245,DataSet!A:A,0))</f>
        <v>45496</v>
      </c>
      <c r="I245" s="29">
        <f>INDEX(DataSet!C:C,MATCH('Advanced  Formulas'!A245,DataSet!A:A,0))</f>
        <v>46190</v>
      </c>
      <c r="J245" t="str">
        <f t="shared" si="11"/>
        <v>Review</v>
      </c>
      <c r="K245" s="10" t="str">
        <f>CONCATENATE(DataSet!E245,"-",DataSet!G245)</f>
        <v>Reyansh Khan-Delhi</v>
      </c>
    </row>
    <row r="246" spans="1:11">
      <c r="A246" t="str">
        <v>ORD-2026-00245</v>
      </c>
      <c r="B246" s="2">
        <v>3840</v>
      </c>
      <c r="C246" s="2">
        <v>1041.6500000000001</v>
      </c>
      <c r="D246" s="28">
        <v>0.2</v>
      </c>
      <c r="E246" t="str">
        <f t="shared" si="9"/>
        <v>Profit</v>
      </c>
      <c r="F246" t="str">
        <f t="shared" si="10"/>
        <v>Medium</v>
      </c>
      <c r="G246" t="str">
        <f>VLOOKUP(A246,DataSet!$1:$1048576,5,FALSE)</f>
        <v>Vivaan Verma</v>
      </c>
      <c r="H246" s="29">
        <f>INDEX(DataSet!B:B,MATCH('Advanced  Formulas'!A246,DataSet!A:A,0))</f>
        <v>46130</v>
      </c>
      <c r="I246" s="29">
        <f>INDEX(DataSet!C:C,MATCH('Advanced  Formulas'!A246,DataSet!A:A,0))</f>
        <v>46191</v>
      </c>
      <c r="J246" t="str">
        <f t="shared" si="11"/>
        <v>Good Order</v>
      </c>
      <c r="K246" s="10" t="str">
        <f>CONCATENATE(DataSet!E246,"-",DataSet!G246)</f>
        <v>Vivaan Verma-Hyderabad</v>
      </c>
    </row>
    <row r="247" spans="1:11">
      <c r="A247" t="str">
        <v>ORD-2024-00246</v>
      </c>
      <c r="B247" s="2">
        <v>1309</v>
      </c>
      <c r="C247" s="2">
        <v>295.55</v>
      </c>
      <c r="D247" s="28">
        <v>0.15</v>
      </c>
      <c r="E247" t="str">
        <f t="shared" si="9"/>
        <v>Profit</v>
      </c>
      <c r="F247" t="str">
        <f t="shared" si="10"/>
        <v>Low</v>
      </c>
      <c r="G247" t="str">
        <f>VLOOKUP(A247,DataSet!$1:$1048576,5,FALSE)</f>
        <v>Aanya Soni</v>
      </c>
      <c r="H247" s="29">
        <f>INDEX(DataSet!B:B,MATCH('Advanced  Formulas'!A247,DataSet!A:A,0))</f>
        <v>45367</v>
      </c>
      <c r="I247" s="29">
        <f>INDEX(DataSet!C:C,MATCH('Advanced  Formulas'!A247,DataSet!A:A,0))</f>
        <v>46192</v>
      </c>
      <c r="J247" t="str">
        <f t="shared" si="11"/>
        <v>Review</v>
      </c>
      <c r="K247" s="10" t="str">
        <f>CONCATENATE(DataSet!E247,"-",DataSet!G247)</f>
        <v>Aanya Soni-Lucknow</v>
      </c>
    </row>
    <row r="248" spans="1:11">
      <c r="A248" t="str">
        <v>ORD-2025-00247</v>
      </c>
      <c r="B248" s="2">
        <v>2080</v>
      </c>
      <c r="C248" s="2">
        <v>368.53</v>
      </c>
      <c r="D248" s="28">
        <v>0.2</v>
      </c>
      <c r="E248" t="str">
        <f t="shared" si="9"/>
        <v>Profit</v>
      </c>
      <c r="F248" t="str">
        <f t="shared" si="10"/>
        <v>Low</v>
      </c>
      <c r="G248" t="str">
        <f>VLOOKUP(A248,DataSet!$1:$1048576,5,FALSE)</f>
        <v>Meera Patel</v>
      </c>
      <c r="H248" s="29">
        <f>INDEX(DataSet!B:B,MATCH('Advanced  Formulas'!A248,DataSet!A:A,0))</f>
        <v>46010</v>
      </c>
      <c r="I248" s="29">
        <f>INDEX(DataSet!C:C,MATCH('Advanced  Formulas'!A248,DataSet!A:A,0))</f>
        <v>46193</v>
      </c>
      <c r="J248" t="str">
        <f t="shared" si="11"/>
        <v>Review</v>
      </c>
      <c r="K248" s="10" t="str">
        <f>CONCATENATE(DataSet!E248,"-",DataSet!G248)</f>
        <v>Meera Patel-Delhi</v>
      </c>
    </row>
    <row r="249" spans="1:11">
      <c r="A249" t="str">
        <v>ORD-2026-00248</v>
      </c>
      <c r="B249" s="2">
        <v>1100</v>
      </c>
      <c r="C249" s="2">
        <v>344</v>
      </c>
      <c r="D249" s="28">
        <v>0</v>
      </c>
      <c r="E249" t="str">
        <f t="shared" si="9"/>
        <v>Profit</v>
      </c>
      <c r="F249" t="str">
        <f t="shared" si="10"/>
        <v>Low</v>
      </c>
      <c r="G249" t="str">
        <f>VLOOKUP(A249,DataSet!$1:$1048576,5,FALSE)</f>
        <v>Dev Soni</v>
      </c>
      <c r="H249" s="29">
        <f>INDEX(DataSet!B:B,MATCH('Advanced  Formulas'!A249,DataSet!A:A,0))</f>
        <v>46282</v>
      </c>
      <c r="I249" s="29">
        <f>INDEX(DataSet!C:C,MATCH('Advanced  Formulas'!A249,DataSet!A:A,0))</f>
        <v>46194</v>
      </c>
      <c r="J249" t="str">
        <f t="shared" si="11"/>
        <v>Review</v>
      </c>
      <c r="K249" s="10" t="str">
        <f>CONCATENATE(DataSet!E249,"-",DataSet!G249)</f>
        <v>Dev Soni-Mumbai</v>
      </c>
    </row>
    <row r="250" spans="1:11">
      <c r="A250" t="str">
        <v>ORD-2024-00249</v>
      </c>
      <c r="B250" s="2">
        <v>4560</v>
      </c>
      <c r="C250" s="2">
        <v>515.72</v>
      </c>
      <c r="D250" s="28">
        <v>0.05</v>
      </c>
      <c r="E250" t="str">
        <f t="shared" si="9"/>
        <v>Profit</v>
      </c>
      <c r="F250" t="str">
        <f t="shared" si="10"/>
        <v>Medium</v>
      </c>
      <c r="G250" t="str">
        <f>VLOOKUP(A250,DataSet!$1:$1048576,5,FALSE)</f>
        <v>Anaya Joshi</v>
      </c>
      <c r="H250" s="29">
        <f>INDEX(DataSet!B:B,MATCH('Advanced  Formulas'!A250,DataSet!A:A,0))</f>
        <v>45518</v>
      </c>
      <c r="I250" s="29">
        <f>INDEX(DataSet!C:C,MATCH('Advanced  Formulas'!A250,DataSet!A:A,0))</f>
        <v>46195</v>
      </c>
      <c r="J250" t="str">
        <f t="shared" si="11"/>
        <v>Good Order</v>
      </c>
      <c r="K250" s="10" t="str">
        <f>CONCATENATE(DataSet!E250,"-",DataSet!G250)</f>
        <v>Anaya Joshi-Mumbai</v>
      </c>
    </row>
    <row r="251" spans="1:11">
      <c r="A251" t="str">
        <v>ORD-2024-00250</v>
      </c>
      <c r="B251" s="2">
        <v>1520</v>
      </c>
      <c r="C251" s="2">
        <v>386.25</v>
      </c>
      <c r="D251" s="28">
        <v>0.05</v>
      </c>
      <c r="E251" t="str">
        <f t="shared" si="9"/>
        <v>Profit</v>
      </c>
      <c r="F251" t="str">
        <f t="shared" si="10"/>
        <v>Low</v>
      </c>
      <c r="G251" t="str">
        <f>VLOOKUP(A251,DataSet!$1:$1048576,5,FALSE)</f>
        <v>Dev Khan</v>
      </c>
      <c r="H251" s="29">
        <f>INDEX(DataSet!B:B,MATCH('Advanced  Formulas'!A251,DataSet!A:A,0))</f>
        <v>45410</v>
      </c>
      <c r="I251" s="29">
        <f>INDEX(DataSet!C:C,MATCH('Advanced  Formulas'!A251,DataSet!A:A,0))</f>
        <v>46196</v>
      </c>
      <c r="J251" t="str">
        <f t="shared" si="11"/>
        <v>Review</v>
      </c>
      <c r="K251" s="10" t="str">
        <f>CONCATENATE(DataSet!E251,"-",DataSet!G251)</f>
        <v>Dev Khan-Chennai</v>
      </c>
    </row>
    <row r="252" spans="1:11">
      <c r="A252" t="str">
        <v>ORD-2024-00251</v>
      </c>
      <c r="B252" s="2">
        <v>3610</v>
      </c>
      <c r="C252" s="2">
        <v>1302.79</v>
      </c>
      <c r="D252" s="28">
        <v>0.05</v>
      </c>
      <c r="E252" t="str">
        <f t="shared" si="9"/>
        <v>Profit</v>
      </c>
      <c r="F252" t="str">
        <f t="shared" si="10"/>
        <v>Medium</v>
      </c>
      <c r="G252" t="str">
        <f>VLOOKUP(A252,DataSet!$1:$1048576,5,FALSE)</f>
        <v>Anaya Patel</v>
      </c>
      <c r="H252" s="29">
        <f>INDEX(DataSet!B:B,MATCH('Advanced  Formulas'!A252,DataSet!A:A,0))</f>
        <v>45391</v>
      </c>
      <c r="I252" s="29">
        <f>INDEX(DataSet!C:C,MATCH('Advanced  Formulas'!A252,DataSet!A:A,0))</f>
        <v>46197</v>
      </c>
      <c r="J252" t="str">
        <f t="shared" si="11"/>
        <v>Good Order</v>
      </c>
      <c r="K252" s="10" t="str">
        <f>CONCATENATE(DataSet!E252,"-",DataSet!G252)</f>
        <v>Anaya Patel-Chennai</v>
      </c>
    </row>
    <row r="253" spans="1:11">
      <c r="A253" t="str">
        <v>ORD-2025-00252</v>
      </c>
      <c r="B253" s="2">
        <v>229.5</v>
      </c>
      <c r="C253" s="2">
        <v>72.489999999999995</v>
      </c>
      <c r="D253" s="28">
        <v>0.15</v>
      </c>
      <c r="E253" t="str">
        <f t="shared" si="9"/>
        <v>Loss</v>
      </c>
      <c r="F253" t="str">
        <f t="shared" si="10"/>
        <v>Low</v>
      </c>
      <c r="G253" t="str">
        <f>VLOOKUP(A253,DataSet!$1:$1048576,5,FALSE)</f>
        <v>Aanya Khan</v>
      </c>
      <c r="H253" s="29">
        <f>INDEX(DataSet!B:B,MATCH('Advanced  Formulas'!A253,DataSet!A:A,0))</f>
        <v>45985</v>
      </c>
      <c r="I253" s="29">
        <f>INDEX(DataSet!C:C,MATCH('Advanced  Formulas'!A253,DataSet!A:A,0))</f>
        <v>46198</v>
      </c>
      <c r="J253" t="str">
        <f t="shared" si="11"/>
        <v>Review</v>
      </c>
      <c r="K253" s="10" t="str">
        <f>CONCATENATE(DataSet!E253,"-",DataSet!G253)</f>
        <v>Aanya Khan-Surat</v>
      </c>
    </row>
    <row r="254" spans="1:11">
      <c r="A254" t="str">
        <v>ORD-2025-00253</v>
      </c>
      <c r="B254" s="2">
        <v>1280</v>
      </c>
      <c r="C254" s="2">
        <v>243.63</v>
      </c>
      <c r="D254" s="28">
        <v>0.2</v>
      </c>
      <c r="E254" t="str">
        <f t="shared" si="9"/>
        <v>Profit</v>
      </c>
      <c r="F254" t="str">
        <f t="shared" si="10"/>
        <v>Low</v>
      </c>
      <c r="G254" t="str">
        <f>VLOOKUP(A254,DataSet!$1:$1048576,5,FALSE)</f>
        <v>Rohan Dave</v>
      </c>
      <c r="H254" s="29">
        <f>INDEX(DataSet!B:B,MATCH('Advanced  Formulas'!A254,DataSet!A:A,0))</f>
        <v>45936</v>
      </c>
      <c r="I254" s="29">
        <f>INDEX(DataSet!C:C,MATCH('Advanced  Formulas'!A254,DataSet!A:A,0))</f>
        <v>46199</v>
      </c>
      <c r="J254" t="str">
        <f t="shared" si="11"/>
        <v>Review</v>
      </c>
      <c r="K254" s="10" t="str">
        <f>CONCATENATE(DataSet!E254,"-",DataSet!G254)</f>
        <v>Rohan Dave-Surat</v>
      </c>
    </row>
    <row r="255" spans="1:11">
      <c r="A255" t="str">
        <v>ORD-2024-00254</v>
      </c>
      <c r="B255" s="2">
        <v>544</v>
      </c>
      <c r="C255" s="2">
        <v>180.09</v>
      </c>
      <c r="D255" s="28">
        <v>0.15</v>
      </c>
      <c r="E255" t="str">
        <f t="shared" si="9"/>
        <v>Loss</v>
      </c>
      <c r="F255" t="str">
        <f t="shared" si="10"/>
        <v>Low</v>
      </c>
      <c r="G255" t="str">
        <f>VLOOKUP(A255,DataSet!$1:$1048576,5,FALSE)</f>
        <v>Kiara Mehta</v>
      </c>
      <c r="H255" s="29">
        <f>INDEX(DataSet!B:B,MATCH('Advanced  Formulas'!A255,DataSet!A:A,0))</f>
        <v>45296</v>
      </c>
      <c r="I255" s="29">
        <f>INDEX(DataSet!C:C,MATCH('Advanced  Formulas'!A255,DataSet!A:A,0))</f>
        <v>46200</v>
      </c>
      <c r="J255" t="str">
        <f t="shared" si="11"/>
        <v>Review</v>
      </c>
      <c r="K255" s="10" t="str">
        <f>CONCATENATE(DataSet!E255,"-",DataSet!G255)</f>
        <v>Kiara Mehta-Vadodara</v>
      </c>
    </row>
    <row r="256" spans="1:11">
      <c r="A256" t="str">
        <v>ORD-2024-00255</v>
      </c>
      <c r="B256" s="2">
        <v>3825</v>
      </c>
      <c r="C256" s="2">
        <v>980.94</v>
      </c>
      <c r="D256" s="28">
        <v>0.15</v>
      </c>
      <c r="E256" t="str">
        <f t="shared" si="9"/>
        <v>Profit</v>
      </c>
      <c r="F256" t="str">
        <f t="shared" si="10"/>
        <v>Medium</v>
      </c>
      <c r="G256" t="str">
        <f>VLOOKUP(A256,DataSet!$1:$1048576,5,FALSE)</f>
        <v>Yusuf Shah</v>
      </c>
      <c r="H256" s="29">
        <f>INDEX(DataSet!B:B,MATCH('Advanced  Formulas'!A256,DataSet!A:A,0))</f>
        <v>45493</v>
      </c>
      <c r="I256" s="29">
        <f>INDEX(DataSet!C:C,MATCH('Advanced  Formulas'!A256,DataSet!A:A,0))</f>
        <v>46201</v>
      </c>
      <c r="J256" t="str">
        <f t="shared" si="11"/>
        <v>Good Order</v>
      </c>
      <c r="K256" s="10" t="str">
        <f>CONCATENATE(DataSet!E256,"-",DataSet!G256)</f>
        <v>Yusuf Shah-Bhavnagar</v>
      </c>
    </row>
    <row r="257" spans="1:11">
      <c r="A257" t="str">
        <v>ORD-2026-00256</v>
      </c>
      <c r="B257" s="2">
        <v>512</v>
      </c>
      <c r="C257" s="2">
        <v>161.37</v>
      </c>
      <c r="D257" s="28">
        <v>0.2</v>
      </c>
      <c r="E257" t="str">
        <f t="shared" si="9"/>
        <v>Loss</v>
      </c>
      <c r="F257" t="str">
        <f t="shared" si="10"/>
        <v>Low</v>
      </c>
      <c r="G257" t="str">
        <f>VLOOKUP(A257,DataSet!$1:$1048576,5,FALSE)</f>
        <v>Myra Joshi</v>
      </c>
      <c r="H257" s="29">
        <f>INDEX(DataSet!B:B,MATCH('Advanced  Formulas'!A257,DataSet!A:A,0))</f>
        <v>46157</v>
      </c>
      <c r="I257" s="29">
        <f>INDEX(DataSet!C:C,MATCH('Advanced  Formulas'!A257,DataSet!A:A,0))</f>
        <v>46202</v>
      </c>
      <c r="J257" t="str">
        <f t="shared" si="11"/>
        <v>Review</v>
      </c>
      <c r="K257" s="10" t="str">
        <f>CONCATENATE(DataSet!E257,"-",DataSet!G257)</f>
        <v>Myra Joshi-Lucknow</v>
      </c>
    </row>
    <row r="258" spans="1:11">
      <c r="A258" t="str">
        <v>ORD-2025-00257</v>
      </c>
      <c r="B258" s="2">
        <v>4080</v>
      </c>
      <c r="C258" s="2">
        <v>1051.56</v>
      </c>
      <c r="D258" s="28">
        <v>0.15</v>
      </c>
      <c r="E258" t="str">
        <f t="shared" si="9"/>
        <v>Profit</v>
      </c>
      <c r="F258" t="str">
        <f t="shared" si="10"/>
        <v>Medium</v>
      </c>
      <c r="G258" t="str">
        <f>VLOOKUP(A258,DataSet!$1:$1048576,5,FALSE)</f>
        <v>Fatima Kapoor</v>
      </c>
      <c r="H258" s="29">
        <f>INDEX(DataSet!B:B,MATCH('Advanced  Formulas'!A258,DataSet!A:A,0))</f>
        <v>45674</v>
      </c>
      <c r="I258" s="29">
        <f>INDEX(DataSet!C:C,MATCH('Advanced  Formulas'!A258,DataSet!A:A,0))</f>
        <v>46203</v>
      </c>
      <c r="J258" t="str">
        <f t="shared" si="11"/>
        <v>Good Order</v>
      </c>
      <c r="K258" s="10" t="str">
        <f>CONCATENATE(DataSet!E258,"-",DataSet!G258)</f>
        <v>Fatima Kapoor-Surat</v>
      </c>
    </row>
    <row r="259" spans="1:11">
      <c r="A259" t="str">
        <v>ORD-2025-00258</v>
      </c>
      <c r="B259" s="2">
        <v>18525</v>
      </c>
      <c r="C259" s="2">
        <v>2845.14</v>
      </c>
      <c r="D259" s="28">
        <v>0.05</v>
      </c>
      <c r="E259" t="str">
        <f t="shared" ref="E259:E322" si="12">IF(C259&gt;200,"Profit","Loss")</f>
        <v>Profit</v>
      </c>
      <c r="F259" t="str">
        <f t="shared" ref="F259:F322" si="13">IF(B259&gt;6000,"High",IF(B259&gt;=3000,"Medium",IF(B259&lt;3000,"Low")))</f>
        <v>High</v>
      </c>
      <c r="G259" t="str">
        <f>VLOOKUP(A259,DataSet!$1:$1048576,5,FALSE)</f>
        <v>Diya Rao</v>
      </c>
      <c r="H259" s="29">
        <f>INDEX(DataSet!B:B,MATCH('Advanced  Formulas'!A259,DataSet!A:A,0))</f>
        <v>45860</v>
      </c>
      <c r="I259" s="29">
        <f>INDEX(DataSet!C:C,MATCH('Advanced  Formulas'!A259,DataSet!A:A,0))</f>
        <v>46204</v>
      </c>
      <c r="J259" t="str">
        <f t="shared" ref="J259:J322" si="14">IF(AND(B259&gt;3000,C259&gt;0),"Good Order","Review")</f>
        <v>Good Order</v>
      </c>
      <c r="K259" s="10" t="str">
        <f>CONCATENATE(DataSet!E259,"-",DataSet!G259)</f>
        <v>Diya Rao-Jaipur</v>
      </c>
    </row>
    <row r="260" spans="1:11">
      <c r="A260" t="str">
        <v>ORD-2025-00259</v>
      </c>
      <c r="B260" s="2">
        <v>1584</v>
      </c>
      <c r="C260" s="2">
        <v>296.17</v>
      </c>
      <c r="D260" s="28">
        <v>0.1</v>
      </c>
      <c r="E260" t="str">
        <f t="shared" si="12"/>
        <v>Profit</v>
      </c>
      <c r="F260" t="str">
        <f t="shared" si="13"/>
        <v>Low</v>
      </c>
      <c r="G260" t="str">
        <f>VLOOKUP(A260,DataSet!$1:$1048576,5,FALSE)</f>
        <v>Rohan Khan</v>
      </c>
      <c r="H260" s="29">
        <f>INDEX(DataSet!B:B,MATCH('Advanced  Formulas'!A260,DataSet!A:A,0))</f>
        <v>45788</v>
      </c>
      <c r="I260" s="29">
        <f>INDEX(DataSet!C:C,MATCH('Advanced  Formulas'!A260,DataSet!A:A,0))</f>
        <v>46205</v>
      </c>
      <c r="J260" t="str">
        <f t="shared" si="14"/>
        <v>Review</v>
      </c>
      <c r="K260" s="10" t="str">
        <f>CONCATENATE(DataSet!E260,"-",DataSet!G260)</f>
        <v>Rohan Khan-Vadodara</v>
      </c>
    </row>
    <row r="261" spans="1:11">
      <c r="A261" t="str">
        <v>ORD-2025-00260</v>
      </c>
      <c r="B261" s="2">
        <v>304</v>
      </c>
      <c r="C261" s="2">
        <v>95.47</v>
      </c>
      <c r="D261" s="28">
        <v>0.05</v>
      </c>
      <c r="E261" t="str">
        <f t="shared" si="12"/>
        <v>Loss</v>
      </c>
      <c r="F261" t="str">
        <f t="shared" si="13"/>
        <v>Low</v>
      </c>
      <c r="G261" t="str">
        <f>VLOOKUP(A261,DataSet!$1:$1048576,5,FALSE)</f>
        <v>Isha Iyer</v>
      </c>
      <c r="H261" s="29">
        <f>INDEX(DataSet!B:B,MATCH('Advanced  Formulas'!A261,DataSet!A:A,0))</f>
        <v>45870</v>
      </c>
      <c r="I261" s="29">
        <f>INDEX(DataSet!C:C,MATCH('Advanced  Formulas'!A261,DataSet!A:A,0))</f>
        <v>46206</v>
      </c>
      <c r="J261" t="str">
        <f t="shared" si="14"/>
        <v>Review</v>
      </c>
      <c r="K261" s="10" t="str">
        <f>CONCATENATE(DataSet!E261,"-",DataSet!G261)</f>
        <v>Isha Iyer-Hyderabad</v>
      </c>
    </row>
    <row r="262" spans="1:11">
      <c r="A262" t="str">
        <v>ORD-2026-00261</v>
      </c>
      <c r="B262" s="2">
        <v>374</v>
      </c>
      <c r="C262" s="2">
        <v>122.6</v>
      </c>
      <c r="D262" s="28">
        <v>0.15</v>
      </c>
      <c r="E262" t="str">
        <f t="shared" si="12"/>
        <v>Loss</v>
      </c>
      <c r="F262" t="str">
        <f t="shared" si="13"/>
        <v>Low</v>
      </c>
      <c r="G262" t="str">
        <f>VLOOKUP(A262,DataSet!$1:$1048576,5,FALSE)</f>
        <v>Kiara Rao</v>
      </c>
      <c r="H262" s="29">
        <f>INDEX(DataSet!B:B,MATCH('Advanced  Formulas'!A262,DataSet!A:A,0))</f>
        <v>46052</v>
      </c>
      <c r="I262" s="29">
        <f>INDEX(DataSet!C:C,MATCH('Advanced  Formulas'!A262,DataSet!A:A,0))</f>
        <v>46207</v>
      </c>
      <c r="J262" t="str">
        <f t="shared" si="14"/>
        <v>Review</v>
      </c>
      <c r="K262" s="10" t="str">
        <f>CONCATENATE(DataSet!E262,"-",DataSet!G262)</f>
        <v>Kiara Rao-Hyderabad</v>
      </c>
    </row>
    <row r="263" spans="1:11">
      <c r="A263" t="str">
        <v>ORD-2026-00262</v>
      </c>
      <c r="B263" s="2">
        <v>792</v>
      </c>
      <c r="C263" s="2">
        <v>267.99</v>
      </c>
      <c r="D263" s="28">
        <v>0.1</v>
      </c>
      <c r="E263" t="str">
        <f t="shared" si="12"/>
        <v>Profit</v>
      </c>
      <c r="F263" t="str">
        <f t="shared" si="13"/>
        <v>Low</v>
      </c>
      <c r="G263" t="str">
        <f>VLOOKUP(A263,DataSet!$1:$1048576,5,FALSE)</f>
        <v>Myra Joshi</v>
      </c>
      <c r="H263" s="29">
        <f>INDEX(DataSet!B:B,MATCH('Advanced  Formulas'!A263,DataSet!A:A,0))</f>
        <v>46134</v>
      </c>
      <c r="I263" s="29">
        <f>INDEX(DataSet!C:C,MATCH('Advanced  Formulas'!A263,DataSet!A:A,0))</f>
        <v>46208</v>
      </c>
      <c r="J263" t="str">
        <f t="shared" si="14"/>
        <v>Review</v>
      </c>
      <c r="K263" s="10" t="str">
        <f>CONCATENATE(DataSet!E263,"-",DataSet!G263)</f>
        <v>Myra Joshi-Ahmedabad</v>
      </c>
    </row>
    <row r="264" spans="1:11">
      <c r="A264" t="str">
        <v>ORD-2024-00263</v>
      </c>
      <c r="B264" s="2">
        <v>1100</v>
      </c>
      <c r="C264" s="2">
        <v>357.97</v>
      </c>
      <c r="D264" s="28">
        <v>0</v>
      </c>
      <c r="E264" t="str">
        <f t="shared" si="12"/>
        <v>Profit</v>
      </c>
      <c r="F264" t="str">
        <f t="shared" si="13"/>
        <v>Low</v>
      </c>
      <c r="G264" t="str">
        <f>VLOOKUP(A264,DataSet!$1:$1048576,5,FALSE)</f>
        <v>Yusuf Verma</v>
      </c>
      <c r="H264" s="29">
        <f>INDEX(DataSet!B:B,MATCH('Advanced  Formulas'!A264,DataSet!A:A,0))</f>
        <v>45561</v>
      </c>
      <c r="I264" s="29">
        <f>INDEX(DataSet!C:C,MATCH('Advanced  Formulas'!A264,DataSet!A:A,0))</f>
        <v>46209</v>
      </c>
      <c r="J264" t="str">
        <f t="shared" si="14"/>
        <v>Review</v>
      </c>
      <c r="K264" s="10" t="str">
        <f>CONCATENATE(DataSet!E264,"-",DataSet!G264)</f>
        <v>Yusuf Verma-Kolkata</v>
      </c>
    </row>
    <row r="265" spans="1:11">
      <c r="A265" t="str">
        <v>ORD-2025-00264</v>
      </c>
      <c r="B265" s="2">
        <v>480</v>
      </c>
      <c r="C265" s="2">
        <v>111.25</v>
      </c>
      <c r="D265" s="28">
        <v>0</v>
      </c>
      <c r="E265" t="str">
        <f t="shared" si="12"/>
        <v>Loss</v>
      </c>
      <c r="F265" t="str">
        <f t="shared" si="13"/>
        <v>Low</v>
      </c>
      <c r="G265" t="str">
        <f>VLOOKUP(A265,DataSet!$1:$1048576,5,FALSE)</f>
        <v>Arjun Dave</v>
      </c>
      <c r="H265" s="29">
        <f>INDEX(DataSet!B:B,MATCH('Advanced  Formulas'!A265,DataSet!A:A,0))</f>
        <v>45939</v>
      </c>
      <c r="I265" s="29">
        <f>INDEX(DataSet!C:C,MATCH('Advanced  Formulas'!A265,DataSet!A:A,0))</f>
        <v>46210</v>
      </c>
      <c r="J265" t="str">
        <f t="shared" si="14"/>
        <v>Review</v>
      </c>
      <c r="K265" s="10" t="str">
        <f>CONCATENATE(DataSet!E265,"-",DataSet!G265)</f>
        <v>Arjun Dave-Surat</v>
      </c>
    </row>
    <row r="266" spans="1:11">
      <c r="A266" t="str">
        <v>ORD-2024-00265</v>
      </c>
      <c r="B266" s="2">
        <v>13175</v>
      </c>
      <c r="C266" s="2">
        <v>1334.27</v>
      </c>
      <c r="D266" s="28">
        <v>0.15</v>
      </c>
      <c r="E266" t="str">
        <f t="shared" si="12"/>
        <v>Profit</v>
      </c>
      <c r="F266" t="str">
        <f t="shared" si="13"/>
        <v>High</v>
      </c>
      <c r="G266" t="str">
        <f>VLOOKUP(A266,DataSet!$1:$1048576,5,FALSE)</f>
        <v>Anaya Mehta</v>
      </c>
      <c r="H266" s="29">
        <f>INDEX(DataSet!B:B,MATCH('Advanced  Formulas'!A266,DataSet!A:A,0))</f>
        <v>45623</v>
      </c>
      <c r="I266" s="29">
        <f>INDEX(DataSet!C:C,MATCH('Advanced  Formulas'!A266,DataSet!A:A,0))</f>
        <v>46211</v>
      </c>
      <c r="J266" t="str">
        <f t="shared" si="14"/>
        <v>Good Order</v>
      </c>
      <c r="K266" s="10" t="str">
        <f>CONCATENATE(DataSet!E266,"-",DataSet!G266)</f>
        <v>Anaya Mehta-Rajkot</v>
      </c>
    </row>
    <row r="267" spans="1:11">
      <c r="A267" t="str">
        <v>ORD-2024-00266</v>
      </c>
      <c r="B267" s="2">
        <v>480</v>
      </c>
      <c r="C267" s="2">
        <v>93.62</v>
      </c>
      <c r="D267" s="28">
        <v>0</v>
      </c>
      <c r="E267" t="str">
        <f t="shared" si="12"/>
        <v>Loss</v>
      </c>
      <c r="F267" t="str">
        <f t="shared" si="13"/>
        <v>Low</v>
      </c>
      <c r="G267" t="str">
        <f>VLOOKUP(A267,DataSet!$1:$1048576,5,FALSE)</f>
        <v>Myra Iyer</v>
      </c>
      <c r="H267" s="29">
        <f>INDEX(DataSet!B:B,MATCH('Advanced  Formulas'!A267,DataSet!A:A,0))</f>
        <v>45575</v>
      </c>
      <c r="I267" s="29">
        <f>INDEX(DataSet!C:C,MATCH('Advanced  Formulas'!A267,DataSet!A:A,0))</f>
        <v>46212</v>
      </c>
      <c r="J267" t="str">
        <f t="shared" si="14"/>
        <v>Review</v>
      </c>
      <c r="K267" s="10" t="str">
        <f>CONCATENATE(DataSet!E267,"-",DataSet!G267)</f>
        <v>Myra Iyer-Bengaluru</v>
      </c>
    </row>
    <row r="268" spans="1:11">
      <c r="A268" t="str">
        <v>ORD-2025-00267</v>
      </c>
      <c r="B268" s="2">
        <v>4725</v>
      </c>
      <c r="C268" s="2">
        <v>1631.85</v>
      </c>
      <c r="D268" s="28">
        <v>0.1</v>
      </c>
      <c r="E268" t="str">
        <f t="shared" si="12"/>
        <v>Profit</v>
      </c>
      <c r="F268" t="str">
        <f t="shared" si="13"/>
        <v>Medium</v>
      </c>
      <c r="G268" t="str">
        <f>VLOOKUP(A268,DataSet!$1:$1048576,5,FALSE)</f>
        <v>Kabir Panjwani</v>
      </c>
      <c r="H268" s="29">
        <f>INDEX(DataSet!B:B,MATCH('Advanced  Formulas'!A268,DataSet!A:A,0))</f>
        <v>45793</v>
      </c>
      <c r="I268" s="29">
        <f>INDEX(DataSet!C:C,MATCH('Advanced  Formulas'!A268,DataSet!A:A,0))</f>
        <v>46213</v>
      </c>
      <c r="J268" t="str">
        <f t="shared" si="14"/>
        <v>Good Order</v>
      </c>
      <c r="K268" s="10" t="str">
        <f>CONCATENATE(DataSet!E268,"-",DataSet!G268)</f>
        <v>Kabir Panjwani-Lucknow</v>
      </c>
    </row>
    <row r="269" spans="1:11">
      <c r="A269" t="str">
        <v>ORD-2025-00268</v>
      </c>
      <c r="B269" s="2">
        <v>1520</v>
      </c>
      <c r="C269" s="2">
        <v>495.19</v>
      </c>
      <c r="D269" s="28">
        <v>0.2</v>
      </c>
      <c r="E269" t="str">
        <f t="shared" si="12"/>
        <v>Profit</v>
      </c>
      <c r="F269" t="str">
        <f t="shared" si="13"/>
        <v>Low</v>
      </c>
      <c r="G269" t="str">
        <f>VLOOKUP(A269,DataSet!$1:$1048576,5,FALSE)</f>
        <v>Rohan Kapoor</v>
      </c>
      <c r="H269" s="29">
        <f>INDEX(DataSet!B:B,MATCH('Advanced  Formulas'!A269,DataSet!A:A,0))</f>
        <v>46003</v>
      </c>
      <c r="I269" s="29">
        <f>INDEX(DataSet!C:C,MATCH('Advanced  Formulas'!A269,DataSet!A:A,0))</f>
        <v>46214</v>
      </c>
      <c r="J269" t="str">
        <f t="shared" si="14"/>
        <v>Review</v>
      </c>
      <c r="K269" s="10" t="str">
        <f>CONCATENATE(DataSet!E269,"-",DataSet!G269)</f>
        <v>Rohan Kapoor-Jaipur</v>
      </c>
    </row>
    <row r="270" spans="1:11">
      <c r="A270" t="str">
        <v>ORD-2026-00269</v>
      </c>
      <c r="B270" s="2">
        <v>2450</v>
      </c>
      <c r="C270" s="2">
        <v>615.87</v>
      </c>
      <c r="D270" s="28">
        <v>0</v>
      </c>
      <c r="E270" t="str">
        <f t="shared" si="12"/>
        <v>Profit</v>
      </c>
      <c r="F270" t="str">
        <f t="shared" si="13"/>
        <v>Low</v>
      </c>
      <c r="G270" t="str">
        <f>VLOOKUP(A270,DataSet!$1:$1048576,5,FALSE)</f>
        <v>Sara Trivedi</v>
      </c>
      <c r="H270" s="29">
        <f>INDEX(DataSet!B:B,MATCH('Advanced  Formulas'!A270,DataSet!A:A,0))</f>
        <v>46162</v>
      </c>
      <c r="I270" s="29">
        <f>INDEX(DataSet!C:C,MATCH('Advanced  Formulas'!A270,DataSet!A:A,0))</f>
        <v>46215</v>
      </c>
      <c r="J270" t="str">
        <f t="shared" si="14"/>
        <v>Review</v>
      </c>
      <c r="K270" s="10" t="str">
        <f>CONCATENATE(DataSet!E270,"-",DataSet!G270)</f>
        <v>Sara Trivedi-Hyderabad</v>
      </c>
    </row>
    <row r="271" spans="1:11">
      <c r="A271" t="str">
        <v>ORD-2024-00270</v>
      </c>
      <c r="B271" s="2">
        <v>1900</v>
      </c>
      <c r="C271" s="2">
        <v>672.81</v>
      </c>
      <c r="D271" s="28">
        <v>0</v>
      </c>
      <c r="E271" t="str">
        <f t="shared" si="12"/>
        <v>Profit</v>
      </c>
      <c r="F271" t="str">
        <f t="shared" si="13"/>
        <v>Low</v>
      </c>
      <c r="G271" t="str">
        <f>VLOOKUP(A271,DataSet!$1:$1048576,5,FALSE)</f>
        <v>Rohan Patel</v>
      </c>
      <c r="H271" s="29">
        <f>INDEX(DataSet!B:B,MATCH('Advanced  Formulas'!A271,DataSet!A:A,0))</f>
        <v>45425</v>
      </c>
      <c r="I271" s="29">
        <f>INDEX(DataSet!C:C,MATCH('Advanced  Formulas'!A271,DataSet!A:A,0))</f>
        <v>46216</v>
      </c>
      <c r="J271" t="str">
        <f t="shared" si="14"/>
        <v>Review</v>
      </c>
      <c r="K271" s="10" t="str">
        <f>CONCATENATE(DataSet!E271,"-",DataSet!G271)</f>
        <v>Rohan Patel-Kolkata</v>
      </c>
    </row>
    <row r="272" spans="1:11">
      <c r="A272" t="str">
        <v>ORD-2025-00271</v>
      </c>
      <c r="B272" s="2">
        <v>840</v>
      </c>
      <c r="C272" s="2">
        <v>228.07</v>
      </c>
      <c r="D272" s="28">
        <v>0.2</v>
      </c>
      <c r="E272" t="str">
        <f t="shared" si="12"/>
        <v>Profit</v>
      </c>
      <c r="F272" t="str">
        <f t="shared" si="13"/>
        <v>Low</v>
      </c>
      <c r="G272" t="str">
        <f>VLOOKUP(A272,DataSet!$1:$1048576,5,FALSE)</f>
        <v>Arjun Shah</v>
      </c>
      <c r="H272" s="29">
        <f>INDEX(DataSet!B:B,MATCH('Advanced  Formulas'!A272,DataSet!A:A,0))</f>
        <v>45743</v>
      </c>
      <c r="I272" s="29">
        <f>INDEX(DataSet!C:C,MATCH('Advanced  Formulas'!A272,DataSet!A:A,0))</f>
        <v>46217</v>
      </c>
      <c r="J272" t="str">
        <f t="shared" si="14"/>
        <v>Review</v>
      </c>
      <c r="K272" s="10" t="str">
        <f>CONCATENATE(DataSet!E272,"-",DataSet!G272)</f>
        <v>Arjun Shah-Ahmedabad</v>
      </c>
    </row>
    <row r="273" spans="1:11">
      <c r="A273" t="str">
        <v>ORD-2024-00272</v>
      </c>
      <c r="B273" s="2">
        <v>1008</v>
      </c>
      <c r="C273" s="2">
        <v>272.73</v>
      </c>
      <c r="D273" s="28">
        <v>0.2</v>
      </c>
      <c r="E273" t="str">
        <f t="shared" si="12"/>
        <v>Profit</v>
      </c>
      <c r="F273" t="str">
        <f t="shared" si="13"/>
        <v>Low</v>
      </c>
      <c r="G273" t="str">
        <f>VLOOKUP(A273,DataSet!$1:$1048576,5,FALSE)</f>
        <v>Myra Panjwani</v>
      </c>
      <c r="H273" s="29">
        <f>INDEX(DataSet!B:B,MATCH('Advanced  Formulas'!A273,DataSet!A:A,0))</f>
        <v>45548</v>
      </c>
      <c r="I273" s="29">
        <f>INDEX(DataSet!C:C,MATCH('Advanced  Formulas'!A273,DataSet!A:A,0))</f>
        <v>46218</v>
      </c>
      <c r="J273" t="str">
        <f t="shared" si="14"/>
        <v>Review</v>
      </c>
      <c r="K273" s="10" t="str">
        <f>CONCATENATE(DataSet!E273,"-",DataSet!G273)</f>
        <v>Myra Panjwani-Mumbai</v>
      </c>
    </row>
    <row r="274" spans="1:11">
      <c r="A274" t="str">
        <v>ORD-2025-00273</v>
      </c>
      <c r="B274" s="2">
        <v>300</v>
      </c>
      <c r="C274" s="2">
        <v>67.69</v>
      </c>
      <c r="D274" s="28">
        <v>0</v>
      </c>
      <c r="E274" t="str">
        <f t="shared" si="12"/>
        <v>Loss</v>
      </c>
      <c r="F274" t="str">
        <f t="shared" si="13"/>
        <v>Low</v>
      </c>
      <c r="G274" t="str">
        <f>VLOOKUP(A274,DataSet!$1:$1048576,5,FALSE)</f>
        <v>Rohan Patel</v>
      </c>
      <c r="H274" s="29">
        <f>INDEX(DataSet!B:B,MATCH('Advanced  Formulas'!A274,DataSet!A:A,0))</f>
        <v>46012</v>
      </c>
      <c r="I274" s="29">
        <f>INDEX(DataSet!C:C,MATCH('Advanced  Formulas'!A274,DataSet!A:A,0))</f>
        <v>46219</v>
      </c>
      <c r="J274" t="str">
        <f t="shared" si="14"/>
        <v>Review</v>
      </c>
      <c r="K274" s="10" t="str">
        <f>CONCATENATE(DataSet!E274,"-",DataSet!G274)</f>
        <v>Rohan Patel-Ahmedabad</v>
      </c>
    </row>
    <row r="275" spans="1:11">
      <c r="A275" t="str">
        <v>ORD-2026-00274</v>
      </c>
      <c r="B275" s="2">
        <v>2800</v>
      </c>
      <c r="C275" s="2">
        <v>897.33</v>
      </c>
      <c r="D275" s="28">
        <v>0</v>
      </c>
      <c r="E275" t="str">
        <f t="shared" si="12"/>
        <v>Profit</v>
      </c>
      <c r="F275" t="str">
        <f t="shared" si="13"/>
        <v>Low</v>
      </c>
      <c r="G275" t="str">
        <f>VLOOKUP(A275,DataSet!$1:$1048576,5,FALSE)</f>
        <v>Anaya Shah</v>
      </c>
      <c r="H275" s="29">
        <f>INDEX(DataSet!B:B,MATCH('Advanced  Formulas'!A275,DataSet!A:A,0))</f>
        <v>46128</v>
      </c>
      <c r="I275" s="29">
        <f>INDEX(DataSet!C:C,MATCH('Advanced  Formulas'!A275,DataSet!A:A,0))</f>
        <v>46220</v>
      </c>
      <c r="J275" t="str">
        <f t="shared" si="14"/>
        <v>Review</v>
      </c>
      <c r="K275" s="10" t="str">
        <f>CONCATENATE(DataSet!E275,"-",DataSet!G275)</f>
        <v>Anaya Shah-Kolkata</v>
      </c>
    </row>
    <row r="276" spans="1:11">
      <c r="A276" t="str">
        <v>ORD-2026-00275</v>
      </c>
      <c r="B276" s="2">
        <v>1050</v>
      </c>
      <c r="C276" s="2">
        <v>254.17</v>
      </c>
      <c r="D276" s="28">
        <v>0</v>
      </c>
      <c r="E276" t="str">
        <f t="shared" si="12"/>
        <v>Profit</v>
      </c>
      <c r="F276" t="str">
        <f t="shared" si="13"/>
        <v>Low</v>
      </c>
      <c r="G276" t="str">
        <f>VLOOKUP(A276,DataSet!$1:$1048576,5,FALSE)</f>
        <v>Meera Kapoor</v>
      </c>
      <c r="H276" s="29">
        <f>INDEX(DataSet!B:B,MATCH('Advanced  Formulas'!A276,DataSet!A:A,0))</f>
        <v>46194</v>
      </c>
      <c r="I276" s="29">
        <f>INDEX(DataSet!C:C,MATCH('Advanced  Formulas'!A276,DataSet!A:A,0))</f>
        <v>46221</v>
      </c>
      <c r="J276" t="str">
        <f t="shared" si="14"/>
        <v>Review</v>
      </c>
      <c r="K276" s="10" t="str">
        <f>CONCATENATE(DataSet!E276,"-",DataSet!G276)</f>
        <v>Meera Kapoor-Surat</v>
      </c>
    </row>
    <row r="277" spans="1:11">
      <c r="A277" t="str">
        <v>ORD-2024-00276</v>
      </c>
      <c r="B277" s="2">
        <v>1200</v>
      </c>
      <c r="C277" s="2">
        <v>428.95</v>
      </c>
      <c r="D277" s="28">
        <v>0</v>
      </c>
      <c r="E277" t="str">
        <f t="shared" si="12"/>
        <v>Profit</v>
      </c>
      <c r="F277" t="str">
        <f t="shared" si="13"/>
        <v>Low</v>
      </c>
      <c r="G277" t="str">
        <f>VLOOKUP(A277,DataSet!$1:$1048576,5,FALSE)</f>
        <v>Vivaan Iyer</v>
      </c>
      <c r="H277" s="29">
        <f>INDEX(DataSet!B:B,MATCH('Advanced  Formulas'!A277,DataSet!A:A,0))</f>
        <v>45651</v>
      </c>
      <c r="I277" s="29">
        <f>INDEX(DataSet!C:C,MATCH('Advanced  Formulas'!A277,DataSet!A:A,0))</f>
        <v>46222</v>
      </c>
      <c r="J277" t="str">
        <f t="shared" si="14"/>
        <v>Review</v>
      </c>
      <c r="K277" s="10" t="str">
        <f>CONCATENATE(DataSet!E277,"-",DataSet!G277)</f>
        <v>Vivaan Iyer-Vadodara</v>
      </c>
    </row>
    <row r="278" spans="1:11">
      <c r="A278" t="str">
        <v>ORD-2026-00277</v>
      </c>
      <c r="B278" s="2">
        <v>5700</v>
      </c>
      <c r="C278" s="2">
        <v>1755.53</v>
      </c>
      <c r="D278" s="28">
        <v>0</v>
      </c>
      <c r="E278" t="str">
        <f t="shared" si="12"/>
        <v>Profit</v>
      </c>
      <c r="F278" t="str">
        <f t="shared" si="13"/>
        <v>Medium</v>
      </c>
      <c r="G278" t="str">
        <f>VLOOKUP(A278,DataSet!$1:$1048576,5,FALSE)</f>
        <v>Myra Soni</v>
      </c>
      <c r="H278" s="29">
        <f>INDEX(DataSet!B:B,MATCH('Advanced  Formulas'!A278,DataSet!A:A,0))</f>
        <v>46039</v>
      </c>
      <c r="I278" s="29">
        <f>INDEX(DataSet!C:C,MATCH('Advanced  Formulas'!A278,DataSet!A:A,0))</f>
        <v>46223</v>
      </c>
      <c r="J278" t="str">
        <f t="shared" si="14"/>
        <v>Good Order</v>
      </c>
      <c r="K278" s="10" t="str">
        <f>CONCATENATE(DataSet!E278,"-",DataSet!G278)</f>
        <v>Myra Soni-Mumbai</v>
      </c>
    </row>
    <row r="279" spans="1:11">
      <c r="A279" t="str">
        <v>ORD-2026-00278</v>
      </c>
      <c r="B279" s="2">
        <v>4930</v>
      </c>
      <c r="C279" s="2">
        <v>984.52</v>
      </c>
      <c r="D279" s="28">
        <v>0.15</v>
      </c>
      <c r="E279" t="str">
        <f t="shared" si="12"/>
        <v>Profit</v>
      </c>
      <c r="F279" t="str">
        <f t="shared" si="13"/>
        <v>Medium</v>
      </c>
      <c r="G279" t="str">
        <f>VLOOKUP(A279,DataSet!$1:$1048576,5,FALSE)</f>
        <v>Krish Joshi</v>
      </c>
      <c r="H279" s="29">
        <f>INDEX(DataSet!B:B,MATCH('Advanced  Formulas'!A279,DataSet!A:A,0))</f>
        <v>46030</v>
      </c>
      <c r="I279" s="29">
        <f>INDEX(DataSet!C:C,MATCH('Advanced  Formulas'!A279,DataSet!A:A,0))</f>
        <v>46224</v>
      </c>
      <c r="J279" t="str">
        <f t="shared" si="14"/>
        <v>Good Order</v>
      </c>
      <c r="K279" s="10" t="str">
        <f>CONCATENATE(DataSet!E279,"-",DataSet!G279)</f>
        <v>Krish Joshi-Rajkot</v>
      </c>
    </row>
    <row r="280" spans="1:11">
      <c r="A280" t="str">
        <v>ORD-2026-00279</v>
      </c>
      <c r="B280" s="2">
        <v>3200</v>
      </c>
      <c r="C280" s="2">
        <v>800.35</v>
      </c>
      <c r="D280" s="28">
        <v>0</v>
      </c>
      <c r="E280" t="str">
        <f t="shared" si="12"/>
        <v>Profit</v>
      </c>
      <c r="F280" t="str">
        <f t="shared" si="13"/>
        <v>Medium</v>
      </c>
      <c r="G280" t="str">
        <f>VLOOKUP(A280,DataSet!$1:$1048576,5,FALSE)</f>
        <v>Kabir Soni</v>
      </c>
      <c r="H280" s="29">
        <f>INDEX(DataSet!B:B,MATCH('Advanced  Formulas'!A280,DataSet!A:A,0))</f>
        <v>46094</v>
      </c>
      <c r="I280" s="29">
        <f>INDEX(DataSet!C:C,MATCH('Advanced  Formulas'!A280,DataSet!A:A,0))</f>
        <v>46225</v>
      </c>
      <c r="J280" t="str">
        <f t="shared" si="14"/>
        <v>Good Order</v>
      </c>
      <c r="K280" s="10" t="str">
        <f>CONCATENATE(DataSet!E280,"-",DataSet!G280)</f>
        <v>Kabir Soni-Vadodara</v>
      </c>
    </row>
    <row r="281" spans="1:11">
      <c r="A281" t="str">
        <v>ORD-2026-00280</v>
      </c>
      <c r="B281" s="2">
        <v>1463</v>
      </c>
      <c r="C281" s="2">
        <v>337.14</v>
      </c>
      <c r="D281" s="28">
        <v>0.05</v>
      </c>
      <c r="E281" t="str">
        <f t="shared" si="12"/>
        <v>Profit</v>
      </c>
      <c r="F281" t="str">
        <f t="shared" si="13"/>
        <v>Low</v>
      </c>
      <c r="G281" t="str">
        <f>VLOOKUP(A281,DataSet!$1:$1048576,5,FALSE)</f>
        <v>Fatima Iyer</v>
      </c>
      <c r="H281" s="29">
        <f>INDEX(DataSet!B:B,MATCH('Advanced  Formulas'!A281,DataSet!A:A,0))</f>
        <v>46248</v>
      </c>
      <c r="I281" s="29">
        <f>INDEX(DataSet!C:C,MATCH('Advanced  Formulas'!A281,DataSet!A:A,0))</f>
        <v>46226</v>
      </c>
      <c r="J281" t="str">
        <f t="shared" si="14"/>
        <v>Review</v>
      </c>
      <c r="K281" s="10" t="str">
        <f>CONCATENATE(DataSet!E281,"-",DataSet!G281)</f>
        <v>Fatima Iyer-Surat</v>
      </c>
    </row>
    <row r="282" spans="1:11">
      <c r="A282" t="str">
        <v>ORD-2025-00281</v>
      </c>
      <c r="B282" s="2">
        <v>6500</v>
      </c>
      <c r="C282" s="2">
        <v>866.73</v>
      </c>
      <c r="D282" s="28">
        <v>0</v>
      </c>
      <c r="E282" t="str">
        <f t="shared" si="12"/>
        <v>Profit</v>
      </c>
      <c r="F282" t="str">
        <f t="shared" si="13"/>
        <v>High</v>
      </c>
      <c r="G282" t="str">
        <f>VLOOKUP(A282,DataSet!$1:$1048576,5,FALSE)</f>
        <v>Dev Joshi</v>
      </c>
      <c r="H282" s="29">
        <f>INDEX(DataSet!B:B,MATCH('Advanced  Formulas'!A282,DataSet!A:A,0))</f>
        <v>45893</v>
      </c>
      <c r="I282" s="29">
        <f>INDEX(DataSet!C:C,MATCH('Advanced  Formulas'!A282,DataSet!A:A,0))</f>
        <v>46227</v>
      </c>
      <c r="J282" t="str">
        <f t="shared" si="14"/>
        <v>Good Order</v>
      </c>
      <c r="K282" s="10" t="str">
        <f>CONCATENATE(DataSet!E282,"-",DataSet!G282)</f>
        <v>Dev Joshi-Ahmedabad</v>
      </c>
    </row>
    <row r="283" spans="1:11">
      <c r="A283" t="str">
        <v>ORD-2026-00282</v>
      </c>
      <c r="B283" s="2">
        <v>3135</v>
      </c>
      <c r="C283" s="2">
        <v>1099.6500000000001</v>
      </c>
      <c r="D283" s="28">
        <v>0.05</v>
      </c>
      <c r="E283" t="str">
        <f t="shared" si="12"/>
        <v>Profit</v>
      </c>
      <c r="F283" t="str">
        <f t="shared" si="13"/>
        <v>Medium</v>
      </c>
      <c r="G283" t="str">
        <f>VLOOKUP(A283,DataSet!$1:$1048576,5,FALSE)</f>
        <v>Dev Sheikh</v>
      </c>
      <c r="H283" s="29">
        <f>INDEX(DataSet!B:B,MATCH('Advanced  Formulas'!A283,DataSet!A:A,0))</f>
        <v>46077</v>
      </c>
      <c r="I283" s="29">
        <f>INDEX(DataSet!C:C,MATCH('Advanced  Formulas'!A283,DataSet!A:A,0))</f>
        <v>46228</v>
      </c>
      <c r="J283" t="str">
        <f t="shared" si="14"/>
        <v>Good Order</v>
      </c>
      <c r="K283" s="10" t="str">
        <f>CONCATENATE(DataSet!E283,"-",DataSet!G283)</f>
        <v>Dev Sheikh-Pune</v>
      </c>
    </row>
    <row r="284" spans="1:11">
      <c r="A284" t="str">
        <v>ORD-2025-00283</v>
      </c>
      <c r="B284" s="2">
        <v>8120</v>
      </c>
      <c r="C284" s="2">
        <v>829.12</v>
      </c>
      <c r="D284" s="28">
        <v>0.2</v>
      </c>
      <c r="E284" t="str">
        <f t="shared" si="12"/>
        <v>Profit</v>
      </c>
      <c r="F284" t="str">
        <f t="shared" si="13"/>
        <v>High</v>
      </c>
      <c r="G284" t="str">
        <f>VLOOKUP(A284,DataSet!$1:$1048576,5,FALSE)</f>
        <v>Diya Desai</v>
      </c>
      <c r="H284" s="29">
        <f>INDEX(DataSet!B:B,MATCH('Advanced  Formulas'!A284,DataSet!A:A,0))</f>
        <v>45841</v>
      </c>
      <c r="I284" s="29">
        <f>INDEX(DataSet!C:C,MATCH('Advanced  Formulas'!A284,DataSet!A:A,0))</f>
        <v>46229</v>
      </c>
      <c r="J284" t="str">
        <f t="shared" si="14"/>
        <v>Good Order</v>
      </c>
      <c r="K284" s="10" t="str">
        <f>CONCATENATE(DataSet!E284,"-",DataSet!G284)</f>
        <v>Diya Desai-Pune</v>
      </c>
    </row>
    <row r="285" spans="1:11">
      <c r="A285" t="str">
        <v>ORD-2024-00284</v>
      </c>
      <c r="B285" s="2">
        <v>4350</v>
      </c>
      <c r="C285" s="2">
        <v>1638.68</v>
      </c>
      <c r="D285" s="28">
        <v>0</v>
      </c>
      <c r="E285" t="str">
        <f t="shared" si="12"/>
        <v>Profit</v>
      </c>
      <c r="F285" t="str">
        <f t="shared" si="13"/>
        <v>Medium</v>
      </c>
      <c r="G285" t="str">
        <f>VLOOKUP(A285,DataSet!$1:$1048576,5,FALSE)</f>
        <v>Aarav Mehta</v>
      </c>
      <c r="H285" s="29">
        <f>INDEX(DataSet!B:B,MATCH('Advanced  Formulas'!A285,DataSet!A:A,0))</f>
        <v>45410</v>
      </c>
      <c r="I285" s="29">
        <f>INDEX(DataSet!C:C,MATCH('Advanced  Formulas'!A285,DataSet!A:A,0))</f>
        <v>46230</v>
      </c>
      <c r="J285" t="str">
        <f t="shared" si="14"/>
        <v>Good Order</v>
      </c>
      <c r="K285" s="10" t="str">
        <f>CONCATENATE(DataSet!E285,"-",DataSet!G285)</f>
        <v>Aarav Mehta-Lucknow</v>
      </c>
    </row>
    <row r="286" spans="1:11">
      <c r="A286" t="str">
        <v>ORD-2025-00285</v>
      </c>
      <c r="B286" s="2">
        <v>39000</v>
      </c>
      <c r="C286" s="2">
        <v>7217.27</v>
      </c>
      <c r="D286" s="28">
        <v>0</v>
      </c>
      <c r="E286" t="str">
        <f t="shared" si="12"/>
        <v>Profit</v>
      </c>
      <c r="F286" t="str">
        <f t="shared" si="13"/>
        <v>High</v>
      </c>
      <c r="G286" t="str">
        <f>VLOOKUP(A286,DataSet!$1:$1048576,5,FALSE)</f>
        <v>Arjun Verma</v>
      </c>
      <c r="H286" s="29">
        <f>INDEX(DataSet!B:B,MATCH('Advanced  Formulas'!A286,DataSet!A:A,0))</f>
        <v>45827</v>
      </c>
      <c r="I286" s="29">
        <f>INDEX(DataSet!C:C,MATCH('Advanced  Formulas'!A286,DataSet!A:A,0))</f>
        <v>46231</v>
      </c>
      <c r="J286" t="str">
        <f t="shared" si="14"/>
        <v>Good Order</v>
      </c>
      <c r="K286" s="10" t="str">
        <f>CONCATENATE(DataSet!E286,"-",DataSet!G286)</f>
        <v>Arjun Verma-Hyderabad</v>
      </c>
    </row>
    <row r="287" spans="1:11">
      <c r="A287" t="str">
        <v>ORD-2024-00286</v>
      </c>
      <c r="B287" s="2">
        <v>5890</v>
      </c>
      <c r="C287" s="2">
        <v>1103.17</v>
      </c>
      <c r="D287" s="28">
        <v>0.05</v>
      </c>
      <c r="E287" t="str">
        <f t="shared" si="12"/>
        <v>Profit</v>
      </c>
      <c r="F287" t="str">
        <f t="shared" si="13"/>
        <v>Medium</v>
      </c>
      <c r="G287" t="str">
        <f>VLOOKUP(A287,DataSet!$1:$1048576,5,FALSE)</f>
        <v>Kabir Khan</v>
      </c>
      <c r="H287" s="29">
        <f>INDEX(DataSet!B:B,MATCH('Advanced  Formulas'!A287,DataSet!A:A,0))</f>
        <v>45635</v>
      </c>
      <c r="I287" s="29">
        <f>INDEX(DataSet!C:C,MATCH('Advanced  Formulas'!A287,DataSet!A:A,0))</f>
        <v>46232</v>
      </c>
      <c r="J287" t="str">
        <f t="shared" si="14"/>
        <v>Good Order</v>
      </c>
      <c r="K287" s="10" t="str">
        <f>CONCATENATE(DataSet!E287,"-",DataSet!G287)</f>
        <v>Kabir Khan-Pune</v>
      </c>
    </row>
    <row r="288" spans="1:11">
      <c r="A288" t="str">
        <v>ORD-2025-00287</v>
      </c>
      <c r="B288" s="2">
        <v>912</v>
      </c>
      <c r="C288" s="2">
        <v>156.35</v>
      </c>
      <c r="D288" s="28">
        <v>0.05</v>
      </c>
      <c r="E288" t="str">
        <f t="shared" si="12"/>
        <v>Loss</v>
      </c>
      <c r="F288" t="str">
        <f t="shared" si="13"/>
        <v>Low</v>
      </c>
      <c r="G288" t="str">
        <f>VLOOKUP(A288,DataSet!$1:$1048576,5,FALSE)</f>
        <v>Yusuf Kapoor</v>
      </c>
      <c r="H288" s="29">
        <f>INDEX(DataSet!B:B,MATCH('Advanced  Formulas'!A288,DataSet!A:A,0))</f>
        <v>45660</v>
      </c>
      <c r="I288" s="29">
        <f>INDEX(DataSet!C:C,MATCH('Advanced  Formulas'!A288,DataSet!A:A,0))</f>
        <v>46233</v>
      </c>
      <c r="J288" t="str">
        <f t="shared" si="14"/>
        <v>Review</v>
      </c>
      <c r="K288" s="10" t="str">
        <f>CONCATENATE(DataSet!E288,"-",DataSet!G288)</f>
        <v>Yusuf Kapoor-Jaipur</v>
      </c>
    </row>
    <row r="289" spans="1:11">
      <c r="A289" t="str">
        <v>ORD-2024-00288</v>
      </c>
      <c r="B289" s="2">
        <v>650</v>
      </c>
      <c r="C289" s="2">
        <v>239.23</v>
      </c>
      <c r="D289" s="28">
        <v>0</v>
      </c>
      <c r="E289" t="str">
        <f t="shared" si="12"/>
        <v>Profit</v>
      </c>
      <c r="F289" t="str">
        <f t="shared" si="13"/>
        <v>Low</v>
      </c>
      <c r="G289" t="str">
        <f>VLOOKUP(A289,DataSet!$1:$1048576,5,FALSE)</f>
        <v>Krish Sheikh</v>
      </c>
      <c r="H289" s="29">
        <f>INDEX(DataSet!B:B,MATCH('Advanced  Formulas'!A289,DataSet!A:A,0))</f>
        <v>45525</v>
      </c>
      <c r="I289" s="29">
        <f>INDEX(DataSet!C:C,MATCH('Advanced  Formulas'!A289,DataSet!A:A,0))</f>
        <v>46234</v>
      </c>
      <c r="J289" t="str">
        <f t="shared" si="14"/>
        <v>Review</v>
      </c>
      <c r="K289" s="10" t="str">
        <f>CONCATENATE(DataSet!E289,"-",DataSet!G289)</f>
        <v>Krish Sheikh-Delhi</v>
      </c>
    </row>
    <row r="290" spans="1:11">
      <c r="A290" t="str">
        <v>ORD-2026-00289</v>
      </c>
      <c r="B290" s="2">
        <v>2100</v>
      </c>
      <c r="C290" s="2">
        <v>570.72</v>
      </c>
      <c r="D290" s="28">
        <v>0</v>
      </c>
      <c r="E290" t="str">
        <f t="shared" si="12"/>
        <v>Profit</v>
      </c>
      <c r="F290" t="str">
        <f t="shared" si="13"/>
        <v>Low</v>
      </c>
      <c r="G290" t="str">
        <f>VLOOKUP(A290,DataSet!$1:$1048576,5,FALSE)</f>
        <v>Aditya Joshi</v>
      </c>
      <c r="H290" s="29">
        <f>INDEX(DataSet!B:B,MATCH('Advanced  Formulas'!A290,DataSet!A:A,0))</f>
        <v>46245</v>
      </c>
      <c r="I290" s="29">
        <f>INDEX(DataSet!C:C,MATCH('Advanced  Formulas'!A290,DataSet!A:A,0))</f>
        <v>46235</v>
      </c>
      <c r="J290" t="str">
        <f t="shared" si="14"/>
        <v>Review</v>
      </c>
      <c r="K290" s="10" t="str">
        <f>CONCATENATE(DataSet!E290,"-",DataSet!G290)</f>
        <v>Aditya Joshi-Ahmedabad</v>
      </c>
    </row>
    <row r="291" spans="1:11">
      <c r="A291" t="str">
        <v>ORD-2025-00290</v>
      </c>
      <c r="B291" s="2">
        <v>3230</v>
      </c>
      <c r="C291" s="2">
        <v>330.53</v>
      </c>
      <c r="D291" s="28">
        <v>0.15</v>
      </c>
      <c r="E291" t="str">
        <f t="shared" si="12"/>
        <v>Profit</v>
      </c>
      <c r="F291" t="str">
        <f t="shared" si="13"/>
        <v>Medium</v>
      </c>
      <c r="G291" t="str">
        <f>VLOOKUP(A291,DataSet!$1:$1048576,5,FALSE)</f>
        <v>Krish Shah</v>
      </c>
      <c r="H291" s="29">
        <f>INDEX(DataSet!B:B,MATCH('Advanced  Formulas'!A291,DataSet!A:A,0))</f>
        <v>45673</v>
      </c>
      <c r="I291" s="29">
        <f>INDEX(DataSet!C:C,MATCH('Advanced  Formulas'!A291,DataSet!A:A,0))</f>
        <v>46236</v>
      </c>
      <c r="J291" t="str">
        <f t="shared" si="14"/>
        <v>Good Order</v>
      </c>
      <c r="K291" s="10" t="str">
        <f>CONCATENATE(DataSet!E291,"-",DataSet!G291)</f>
        <v>Krish Shah-Delhi</v>
      </c>
    </row>
    <row r="292" spans="1:11">
      <c r="A292" t="str">
        <v>ORD-2026-00291</v>
      </c>
      <c r="B292" s="2">
        <v>33600</v>
      </c>
      <c r="C292" s="2">
        <v>9545.1200000000008</v>
      </c>
      <c r="D292" s="28">
        <v>0</v>
      </c>
      <c r="E292" t="str">
        <f t="shared" si="12"/>
        <v>Profit</v>
      </c>
      <c r="F292" t="str">
        <f t="shared" si="13"/>
        <v>High</v>
      </c>
      <c r="G292" t="str">
        <f>VLOOKUP(A292,DataSet!$1:$1048576,5,FALSE)</f>
        <v>Yusuf Iyer</v>
      </c>
      <c r="H292" s="29">
        <f>INDEX(DataSet!B:B,MATCH('Advanced  Formulas'!A292,DataSet!A:A,0))</f>
        <v>46084</v>
      </c>
      <c r="I292" s="29">
        <f>INDEX(DataSet!C:C,MATCH('Advanced  Formulas'!A292,DataSet!A:A,0))</f>
        <v>46237</v>
      </c>
      <c r="J292" t="str">
        <f t="shared" si="14"/>
        <v>Good Order</v>
      </c>
      <c r="K292" s="10" t="str">
        <f>CONCATENATE(DataSet!E292,"-",DataSet!G292)</f>
        <v>Yusuf Iyer-Rajkot</v>
      </c>
    </row>
    <row r="293" spans="1:11">
      <c r="A293" t="str">
        <v>ORD-2024-00292</v>
      </c>
      <c r="B293" s="2">
        <v>1400</v>
      </c>
      <c r="C293" s="2">
        <v>529.67999999999995</v>
      </c>
      <c r="D293" s="28">
        <v>0</v>
      </c>
      <c r="E293" t="str">
        <f t="shared" si="12"/>
        <v>Profit</v>
      </c>
      <c r="F293" t="str">
        <f t="shared" si="13"/>
        <v>Low</v>
      </c>
      <c r="G293" t="str">
        <f>VLOOKUP(A293,DataSet!$1:$1048576,5,FALSE)</f>
        <v>Aarav Desai</v>
      </c>
      <c r="H293" s="29">
        <f>INDEX(DataSet!B:B,MATCH('Advanced  Formulas'!A293,DataSet!A:A,0))</f>
        <v>45540</v>
      </c>
      <c r="I293" s="29">
        <f>INDEX(DataSet!C:C,MATCH('Advanced  Formulas'!A293,DataSet!A:A,0))</f>
        <v>46238</v>
      </c>
      <c r="J293" t="str">
        <f t="shared" si="14"/>
        <v>Review</v>
      </c>
      <c r="K293" s="10" t="str">
        <f>CONCATENATE(DataSet!E293,"-",DataSet!G293)</f>
        <v>Aarav Desai-Mumbai</v>
      </c>
    </row>
    <row r="294" spans="1:11">
      <c r="A294" t="str">
        <v>ORD-2025-00293</v>
      </c>
      <c r="B294" s="2">
        <v>1160</v>
      </c>
      <c r="C294" s="2">
        <v>292.52</v>
      </c>
      <c r="D294" s="28">
        <v>0.2</v>
      </c>
      <c r="E294" t="str">
        <f t="shared" si="12"/>
        <v>Profit</v>
      </c>
      <c r="F294" t="str">
        <f t="shared" si="13"/>
        <v>Low</v>
      </c>
      <c r="G294" t="str">
        <f>VLOOKUP(A294,DataSet!$1:$1048576,5,FALSE)</f>
        <v>Sara Shah</v>
      </c>
      <c r="H294" s="29">
        <f>INDEX(DataSet!B:B,MATCH('Advanced  Formulas'!A294,DataSet!A:A,0))</f>
        <v>45943</v>
      </c>
      <c r="I294" s="29">
        <f>INDEX(DataSet!C:C,MATCH('Advanced  Formulas'!A294,DataSet!A:A,0))</f>
        <v>46239</v>
      </c>
      <c r="J294" t="str">
        <f t="shared" si="14"/>
        <v>Review</v>
      </c>
      <c r="K294" s="10" t="str">
        <f>CONCATENATE(DataSet!E294,"-",DataSet!G294)</f>
        <v>Sara Shah-Chennai</v>
      </c>
    </row>
    <row r="295" spans="1:11">
      <c r="A295" t="str">
        <v>ORD-2024-00294</v>
      </c>
      <c r="B295" s="2">
        <v>4750</v>
      </c>
      <c r="C295" s="2">
        <v>1750.78</v>
      </c>
      <c r="D295" s="28">
        <v>0</v>
      </c>
      <c r="E295" t="str">
        <f t="shared" si="12"/>
        <v>Profit</v>
      </c>
      <c r="F295" t="str">
        <f t="shared" si="13"/>
        <v>Medium</v>
      </c>
      <c r="G295" t="str">
        <f>VLOOKUP(A295,DataSet!$1:$1048576,5,FALSE)</f>
        <v>Dev Panjwani</v>
      </c>
      <c r="H295" s="29">
        <f>INDEX(DataSet!B:B,MATCH('Advanced  Formulas'!A295,DataSet!A:A,0))</f>
        <v>45535</v>
      </c>
      <c r="I295" s="29">
        <f>INDEX(DataSet!C:C,MATCH('Advanced  Formulas'!A295,DataSet!A:A,0))</f>
        <v>46240</v>
      </c>
      <c r="J295" t="str">
        <f t="shared" si="14"/>
        <v>Good Order</v>
      </c>
      <c r="K295" s="10" t="str">
        <f>CONCATENATE(DataSet!E295,"-",DataSet!G295)</f>
        <v>Dev Panjwani-Jaipur</v>
      </c>
    </row>
    <row r="296" spans="1:11">
      <c r="A296" t="str">
        <v>ORD-2025-00295</v>
      </c>
      <c r="B296" s="2">
        <v>20400</v>
      </c>
      <c r="C296" s="2">
        <v>2790.92</v>
      </c>
      <c r="D296" s="28">
        <v>0.2</v>
      </c>
      <c r="E296" t="str">
        <f t="shared" si="12"/>
        <v>Profit</v>
      </c>
      <c r="F296" t="str">
        <f t="shared" si="13"/>
        <v>High</v>
      </c>
      <c r="G296" t="str">
        <f>VLOOKUP(A296,DataSet!$1:$1048576,5,FALSE)</f>
        <v>Yusuf Dave</v>
      </c>
      <c r="H296" s="29">
        <f>INDEX(DataSet!B:B,MATCH('Advanced  Formulas'!A296,DataSet!A:A,0))</f>
        <v>45761</v>
      </c>
      <c r="I296" s="29">
        <f>INDEX(DataSet!C:C,MATCH('Advanced  Formulas'!A296,DataSet!A:A,0))</f>
        <v>46241</v>
      </c>
      <c r="J296" t="str">
        <f t="shared" si="14"/>
        <v>Good Order</v>
      </c>
      <c r="K296" s="10" t="str">
        <f>CONCATENATE(DataSet!E296,"-",DataSet!G296)</f>
        <v>Yusuf Dave-Bhavnagar</v>
      </c>
    </row>
    <row r="297" spans="1:11">
      <c r="A297" t="str">
        <v>ORD-2025-00296</v>
      </c>
      <c r="B297" s="2">
        <v>15120</v>
      </c>
      <c r="C297" s="2">
        <v>2764.11</v>
      </c>
      <c r="D297" s="28">
        <v>0.1</v>
      </c>
      <c r="E297" t="str">
        <f t="shared" si="12"/>
        <v>Profit</v>
      </c>
      <c r="F297" t="str">
        <f t="shared" si="13"/>
        <v>High</v>
      </c>
      <c r="G297" t="str">
        <f>VLOOKUP(A297,DataSet!$1:$1048576,5,FALSE)</f>
        <v>Aditya Trivedi</v>
      </c>
      <c r="H297" s="29">
        <f>INDEX(DataSet!B:B,MATCH('Advanced  Formulas'!A297,DataSet!A:A,0))</f>
        <v>45970</v>
      </c>
      <c r="I297" s="29">
        <f>INDEX(DataSet!C:C,MATCH('Advanced  Formulas'!A297,DataSet!A:A,0))</f>
        <v>46242</v>
      </c>
      <c r="J297" t="str">
        <f t="shared" si="14"/>
        <v>Good Order</v>
      </c>
      <c r="K297" s="10" t="str">
        <f>CONCATENATE(DataSet!E297,"-",DataSet!G297)</f>
        <v>Aditya Trivedi-Vadodara</v>
      </c>
    </row>
    <row r="298" spans="1:11">
      <c r="A298" t="str">
        <v>ORD-2024-00297</v>
      </c>
      <c r="B298" s="2">
        <v>180</v>
      </c>
      <c r="C298" s="2">
        <v>63.46</v>
      </c>
      <c r="D298" s="28">
        <v>0</v>
      </c>
      <c r="E298" t="str">
        <f t="shared" si="12"/>
        <v>Loss</v>
      </c>
      <c r="F298" t="str">
        <f t="shared" si="13"/>
        <v>Low</v>
      </c>
      <c r="G298" t="str">
        <f>VLOOKUP(A298,DataSet!$1:$1048576,5,FALSE)</f>
        <v>Rohan Trivedi</v>
      </c>
      <c r="H298" s="29">
        <f>INDEX(DataSet!B:B,MATCH('Advanced  Formulas'!A298,DataSet!A:A,0))</f>
        <v>45531</v>
      </c>
      <c r="I298" s="29">
        <f>INDEX(DataSet!C:C,MATCH('Advanced  Formulas'!A298,DataSet!A:A,0))</f>
        <v>46243</v>
      </c>
      <c r="J298" t="str">
        <f t="shared" si="14"/>
        <v>Review</v>
      </c>
      <c r="K298" s="10" t="str">
        <f>CONCATENATE(DataSet!E298,"-",DataSet!G298)</f>
        <v>Rohan Trivedi-Vadodara</v>
      </c>
    </row>
    <row r="299" spans="1:11">
      <c r="A299" t="str">
        <v>ORD-2025-00298</v>
      </c>
      <c r="B299" s="2">
        <v>675</v>
      </c>
      <c r="C299" s="2">
        <v>199.87</v>
      </c>
      <c r="D299" s="28">
        <v>0.1</v>
      </c>
      <c r="E299" t="str">
        <f t="shared" si="12"/>
        <v>Loss</v>
      </c>
      <c r="F299" t="str">
        <f t="shared" si="13"/>
        <v>Low</v>
      </c>
      <c r="G299" t="str">
        <f>VLOOKUP(A299,DataSet!$1:$1048576,5,FALSE)</f>
        <v>Kabir Mehta</v>
      </c>
      <c r="H299" s="29">
        <f>INDEX(DataSet!B:B,MATCH('Advanced  Formulas'!A299,DataSet!A:A,0))</f>
        <v>45840</v>
      </c>
      <c r="I299" s="29">
        <f>INDEX(DataSet!C:C,MATCH('Advanced  Formulas'!A299,DataSet!A:A,0))</f>
        <v>46244</v>
      </c>
      <c r="J299" t="str">
        <f t="shared" si="14"/>
        <v>Review</v>
      </c>
      <c r="K299" s="10" t="str">
        <f>CONCATENATE(DataSet!E299,"-",DataSet!G299)</f>
        <v>Kabir Mehta-Hyderabad</v>
      </c>
    </row>
    <row r="300" spans="1:11">
      <c r="A300" t="str">
        <v>ORD-2026-00299</v>
      </c>
      <c r="B300" s="2">
        <v>5700</v>
      </c>
      <c r="C300" s="2">
        <v>2030.82</v>
      </c>
      <c r="D300" s="28">
        <v>0</v>
      </c>
      <c r="E300" t="str">
        <f t="shared" si="12"/>
        <v>Profit</v>
      </c>
      <c r="F300" t="str">
        <f t="shared" si="13"/>
        <v>Medium</v>
      </c>
      <c r="G300" t="str">
        <f>VLOOKUP(A300,DataSet!$1:$1048576,5,FALSE)</f>
        <v>Zoya Panjwani</v>
      </c>
      <c r="H300" s="29">
        <f>INDEX(DataSet!B:B,MATCH('Advanced  Formulas'!A300,DataSet!A:A,0))</f>
        <v>46138</v>
      </c>
      <c r="I300" s="29">
        <f>INDEX(DataSet!C:C,MATCH('Advanced  Formulas'!A300,DataSet!A:A,0))</f>
        <v>46245</v>
      </c>
      <c r="J300" t="str">
        <f t="shared" si="14"/>
        <v>Good Order</v>
      </c>
      <c r="K300" s="10" t="str">
        <f>CONCATENATE(DataSet!E300,"-",DataSet!G300)</f>
        <v>Zoya Panjwani-Chennai</v>
      </c>
    </row>
    <row r="301" spans="1:11">
      <c r="A301" t="str">
        <v>ORD-2025-00300</v>
      </c>
      <c r="B301" s="2">
        <v>1134</v>
      </c>
      <c r="C301" s="2">
        <v>249.99</v>
      </c>
      <c r="D301" s="28">
        <v>0.1</v>
      </c>
      <c r="E301" t="str">
        <f t="shared" si="12"/>
        <v>Profit</v>
      </c>
      <c r="F301" t="str">
        <f t="shared" si="13"/>
        <v>Low</v>
      </c>
      <c r="G301" t="str">
        <f>VLOOKUP(A301,DataSet!$1:$1048576,5,FALSE)</f>
        <v>Myra Shah</v>
      </c>
      <c r="H301" s="29">
        <f>INDEX(DataSet!B:B,MATCH('Advanced  Formulas'!A301,DataSet!A:A,0))</f>
        <v>45985</v>
      </c>
      <c r="I301" s="29">
        <f>INDEX(DataSet!C:C,MATCH('Advanced  Formulas'!A301,DataSet!A:A,0))</f>
        <v>46246</v>
      </c>
      <c r="J301" t="str">
        <f t="shared" si="14"/>
        <v>Review</v>
      </c>
      <c r="K301" s="10" t="str">
        <f>CONCATENATE(DataSet!E301,"-",DataSet!G301)</f>
        <v>Myra Shah-Rajkot</v>
      </c>
    </row>
    <row r="302" spans="1:11">
      <c r="A302" t="str">
        <v>ORD-2026-00301</v>
      </c>
      <c r="B302" s="2">
        <v>650</v>
      </c>
      <c r="C302" s="2">
        <v>224.91</v>
      </c>
      <c r="D302" s="28">
        <v>0</v>
      </c>
      <c r="E302" t="str">
        <f t="shared" si="12"/>
        <v>Profit</v>
      </c>
      <c r="F302" t="str">
        <f t="shared" si="13"/>
        <v>Low</v>
      </c>
      <c r="G302" t="str">
        <f>VLOOKUP(A302,DataSet!$1:$1048576,5,FALSE)</f>
        <v>Krish Trivedi</v>
      </c>
      <c r="H302" s="29">
        <f>INDEX(DataSet!B:B,MATCH('Advanced  Formulas'!A302,DataSet!A:A,0))</f>
        <v>46115</v>
      </c>
      <c r="I302" s="29">
        <f>INDEX(DataSet!C:C,MATCH('Advanced  Formulas'!A302,DataSet!A:A,0))</f>
        <v>46247</v>
      </c>
      <c r="J302" t="str">
        <f t="shared" si="14"/>
        <v>Review</v>
      </c>
      <c r="K302" s="10" t="str">
        <f>CONCATENATE(DataSet!E302,"-",DataSet!G302)</f>
        <v>Krish Trivedi-Surat</v>
      </c>
    </row>
    <row r="303" spans="1:11">
      <c r="A303" t="str">
        <v>ORD-2025-00302</v>
      </c>
      <c r="B303" s="2">
        <v>1300</v>
      </c>
      <c r="C303" s="2">
        <v>188.96</v>
      </c>
      <c r="D303" s="28">
        <v>0</v>
      </c>
      <c r="E303" t="str">
        <f t="shared" si="12"/>
        <v>Loss</v>
      </c>
      <c r="F303" t="str">
        <f t="shared" si="13"/>
        <v>Low</v>
      </c>
      <c r="G303" t="str">
        <f>VLOOKUP(A303,DataSet!$1:$1048576,5,FALSE)</f>
        <v>Vivaan Shah</v>
      </c>
      <c r="H303" s="29">
        <f>INDEX(DataSet!B:B,MATCH('Advanced  Formulas'!A303,DataSet!A:A,0))</f>
        <v>45888</v>
      </c>
      <c r="I303" s="29">
        <f>INDEX(DataSet!C:C,MATCH('Advanced  Formulas'!A303,DataSet!A:A,0))</f>
        <v>46248</v>
      </c>
      <c r="J303" t="str">
        <f t="shared" si="14"/>
        <v>Review</v>
      </c>
      <c r="K303" s="10" t="str">
        <f>CONCATENATE(DataSet!E303,"-",DataSet!G303)</f>
        <v>Vivaan Shah-Rajkot</v>
      </c>
    </row>
    <row r="304" spans="1:11">
      <c r="A304" t="str">
        <v>ORD-2024-00303</v>
      </c>
      <c r="B304" s="2">
        <v>504</v>
      </c>
      <c r="C304" s="2">
        <v>124.64</v>
      </c>
      <c r="D304" s="28">
        <v>0.2</v>
      </c>
      <c r="E304" t="str">
        <f t="shared" si="12"/>
        <v>Loss</v>
      </c>
      <c r="F304" t="str">
        <f t="shared" si="13"/>
        <v>Low</v>
      </c>
      <c r="G304" t="str">
        <f>VLOOKUP(A304,DataSet!$1:$1048576,5,FALSE)</f>
        <v>Krish Kapoor</v>
      </c>
      <c r="H304" s="29">
        <f>INDEX(DataSet!B:B,MATCH('Advanced  Formulas'!A304,DataSet!A:A,0))</f>
        <v>45335</v>
      </c>
      <c r="I304" s="29">
        <f>INDEX(DataSet!C:C,MATCH('Advanced  Formulas'!A304,DataSet!A:A,0))</f>
        <v>46249</v>
      </c>
      <c r="J304" t="str">
        <f t="shared" si="14"/>
        <v>Review</v>
      </c>
      <c r="K304" s="10" t="str">
        <f>CONCATENATE(DataSet!E304,"-",DataSet!G304)</f>
        <v>Krish Kapoor-Ahmedabad</v>
      </c>
    </row>
    <row r="305" spans="1:11">
      <c r="A305" t="str">
        <v>ORD-2024-00304</v>
      </c>
      <c r="B305" s="2">
        <v>1440</v>
      </c>
      <c r="C305" s="2">
        <v>194.85</v>
      </c>
      <c r="D305" s="28">
        <v>0.1</v>
      </c>
      <c r="E305" t="str">
        <f t="shared" si="12"/>
        <v>Loss</v>
      </c>
      <c r="F305" t="str">
        <f t="shared" si="13"/>
        <v>Low</v>
      </c>
      <c r="G305" t="str">
        <f>VLOOKUP(A305,DataSet!$1:$1048576,5,FALSE)</f>
        <v>Meera Dave</v>
      </c>
      <c r="H305" s="29">
        <f>INDEX(DataSet!B:B,MATCH('Advanced  Formulas'!A305,DataSet!A:A,0))</f>
        <v>45654</v>
      </c>
      <c r="I305" s="29">
        <f>INDEX(DataSet!C:C,MATCH('Advanced  Formulas'!A305,DataSet!A:A,0))</f>
        <v>46250</v>
      </c>
      <c r="J305" t="str">
        <f t="shared" si="14"/>
        <v>Review</v>
      </c>
      <c r="K305" s="10" t="str">
        <f>CONCATENATE(DataSet!E305,"-",DataSet!G305)</f>
        <v>Meera Dave-Indore</v>
      </c>
    </row>
    <row r="306" spans="1:11">
      <c r="A306" t="str">
        <v>ORD-2025-00305</v>
      </c>
      <c r="B306" s="2">
        <v>1760</v>
      </c>
      <c r="C306" s="2">
        <v>628.66</v>
      </c>
      <c r="D306" s="28">
        <v>0</v>
      </c>
      <c r="E306" t="str">
        <f t="shared" si="12"/>
        <v>Profit</v>
      </c>
      <c r="F306" t="str">
        <f t="shared" si="13"/>
        <v>Low</v>
      </c>
      <c r="G306" t="str">
        <f>VLOOKUP(A306,DataSet!$1:$1048576,5,FALSE)</f>
        <v>Vivaan Panjwani</v>
      </c>
      <c r="H306" s="29">
        <f>INDEX(DataSet!B:B,MATCH('Advanced  Formulas'!A306,DataSet!A:A,0))</f>
        <v>45954</v>
      </c>
      <c r="I306" s="29">
        <f>INDEX(DataSet!C:C,MATCH('Advanced  Formulas'!A306,DataSet!A:A,0))</f>
        <v>46251</v>
      </c>
      <c r="J306" t="str">
        <f t="shared" si="14"/>
        <v>Review</v>
      </c>
      <c r="K306" s="10" t="str">
        <f>CONCATENATE(DataSet!E306,"-",DataSet!G306)</f>
        <v>Vivaan Panjwani-Jaipur</v>
      </c>
    </row>
    <row r="307" spans="1:11">
      <c r="A307" t="str">
        <v>ORD-2024-00306</v>
      </c>
      <c r="B307" s="2">
        <v>2970</v>
      </c>
      <c r="C307" s="2">
        <v>663.57</v>
      </c>
      <c r="D307" s="28">
        <v>0.1</v>
      </c>
      <c r="E307" t="str">
        <f t="shared" si="12"/>
        <v>Profit</v>
      </c>
      <c r="F307" t="str">
        <f t="shared" si="13"/>
        <v>Low</v>
      </c>
      <c r="G307" t="str">
        <f>VLOOKUP(A307,DataSet!$1:$1048576,5,FALSE)</f>
        <v>Zoya Sheikh</v>
      </c>
      <c r="H307" s="29">
        <f>INDEX(DataSet!B:B,MATCH('Advanced  Formulas'!A307,DataSet!A:A,0))</f>
        <v>45547</v>
      </c>
      <c r="I307" s="29">
        <f>INDEX(DataSet!C:C,MATCH('Advanced  Formulas'!A307,DataSet!A:A,0))</f>
        <v>46252</v>
      </c>
      <c r="J307" t="str">
        <f t="shared" si="14"/>
        <v>Review</v>
      </c>
      <c r="K307" s="10" t="str">
        <f>CONCATENATE(DataSet!E307,"-",DataSet!G307)</f>
        <v>Zoya Sheikh-Hyderabad</v>
      </c>
    </row>
    <row r="308" spans="1:11">
      <c r="A308" t="str">
        <v>ORD-2024-00307</v>
      </c>
      <c r="B308" s="2">
        <v>918</v>
      </c>
      <c r="C308" s="2">
        <v>275.91000000000003</v>
      </c>
      <c r="D308" s="28">
        <v>0.15</v>
      </c>
      <c r="E308" t="str">
        <f t="shared" si="12"/>
        <v>Profit</v>
      </c>
      <c r="F308" t="str">
        <f t="shared" si="13"/>
        <v>Low</v>
      </c>
      <c r="G308" t="str">
        <f>VLOOKUP(A308,DataSet!$1:$1048576,5,FALSE)</f>
        <v>Arjun Patel</v>
      </c>
      <c r="H308" s="29">
        <f>INDEX(DataSet!B:B,MATCH('Advanced  Formulas'!A308,DataSet!A:A,0))</f>
        <v>45621</v>
      </c>
      <c r="I308" s="29">
        <f>INDEX(DataSet!C:C,MATCH('Advanced  Formulas'!A308,DataSet!A:A,0))</f>
        <v>46253</v>
      </c>
      <c r="J308" t="str">
        <f t="shared" si="14"/>
        <v>Review</v>
      </c>
      <c r="K308" s="10" t="str">
        <f>CONCATENATE(DataSet!E308,"-",DataSet!G308)</f>
        <v>Arjun Patel-Rajkot</v>
      </c>
    </row>
    <row r="309" spans="1:11">
      <c r="A309" t="str">
        <v>ORD-2025-00308</v>
      </c>
      <c r="B309" s="2">
        <v>240</v>
      </c>
      <c r="C309" s="2">
        <v>50.21</v>
      </c>
      <c r="D309" s="28">
        <v>0</v>
      </c>
      <c r="E309" t="str">
        <f t="shared" si="12"/>
        <v>Loss</v>
      </c>
      <c r="F309" t="str">
        <f t="shared" si="13"/>
        <v>Low</v>
      </c>
      <c r="G309" t="str">
        <f>VLOOKUP(A309,DataSet!$1:$1048576,5,FALSE)</f>
        <v>Kiara Rao</v>
      </c>
      <c r="H309" s="29">
        <f>INDEX(DataSet!B:B,MATCH('Advanced  Formulas'!A309,DataSet!A:A,0))</f>
        <v>45658</v>
      </c>
      <c r="I309" s="29">
        <f>INDEX(DataSet!C:C,MATCH('Advanced  Formulas'!A309,DataSet!A:A,0))</f>
        <v>46254</v>
      </c>
      <c r="J309" t="str">
        <f t="shared" si="14"/>
        <v>Review</v>
      </c>
      <c r="K309" s="10" t="str">
        <f>CONCATENATE(DataSet!E309,"-",DataSet!G309)</f>
        <v>Kiara Rao-Lucknow</v>
      </c>
    </row>
    <row r="310" spans="1:11">
      <c r="A310" t="str">
        <v>ORD-2026-00309</v>
      </c>
      <c r="B310" s="2">
        <v>5700</v>
      </c>
      <c r="C310" s="2">
        <v>1815.43</v>
      </c>
      <c r="D310" s="28">
        <v>0</v>
      </c>
      <c r="E310" t="str">
        <f t="shared" si="12"/>
        <v>Profit</v>
      </c>
      <c r="F310" t="str">
        <f t="shared" si="13"/>
        <v>Medium</v>
      </c>
      <c r="G310" t="str">
        <f>VLOOKUP(A310,DataSet!$1:$1048576,5,FALSE)</f>
        <v>Zoya Sheikh</v>
      </c>
      <c r="H310" s="29">
        <f>INDEX(DataSet!B:B,MATCH('Advanced  Formulas'!A310,DataSet!A:A,0))</f>
        <v>46074</v>
      </c>
      <c r="I310" s="29">
        <f>INDEX(DataSet!C:C,MATCH('Advanced  Formulas'!A310,DataSet!A:A,0))</f>
        <v>46255</v>
      </c>
      <c r="J310" t="str">
        <f t="shared" si="14"/>
        <v>Good Order</v>
      </c>
      <c r="K310" s="10" t="str">
        <f>CONCATENATE(DataSet!E310,"-",DataSet!G310)</f>
        <v>Zoya Sheikh-Lucknow</v>
      </c>
    </row>
    <row r="311" spans="1:11">
      <c r="A311" t="str">
        <v>ORD-2025-00310</v>
      </c>
      <c r="B311" s="2">
        <v>324</v>
      </c>
      <c r="C311" s="2">
        <v>72.59</v>
      </c>
      <c r="D311" s="28">
        <v>0.1</v>
      </c>
      <c r="E311" t="str">
        <f t="shared" si="12"/>
        <v>Loss</v>
      </c>
      <c r="F311" t="str">
        <f t="shared" si="13"/>
        <v>Low</v>
      </c>
      <c r="G311" t="str">
        <f>VLOOKUP(A311,DataSet!$1:$1048576,5,FALSE)</f>
        <v>Fatima Patel</v>
      </c>
      <c r="H311" s="29">
        <f>INDEX(DataSet!B:B,MATCH('Advanced  Formulas'!A311,DataSet!A:A,0))</f>
        <v>46012</v>
      </c>
      <c r="I311" s="29">
        <f>INDEX(DataSet!C:C,MATCH('Advanced  Formulas'!A311,DataSet!A:A,0))</f>
        <v>46256</v>
      </c>
      <c r="J311" t="str">
        <f t="shared" si="14"/>
        <v>Review</v>
      </c>
      <c r="K311" s="10" t="str">
        <f>CONCATENATE(DataSet!E311,"-",DataSet!G311)</f>
        <v>Fatima Patel-Mumbai</v>
      </c>
    </row>
    <row r="312" spans="1:11">
      <c r="A312" t="str">
        <v>ORD-2024-00311</v>
      </c>
      <c r="B312" s="2">
        <v>68000</v>
      </c>
      <c r="C312" s="2">
        <v>19974.939999999999</v>
      </c>
      <c r="D312" s="28">
        <v>0</v>
      </c>
      <c r="E312" t="str">
        <f t="shared" si="12"/>
        <v>Profit</v>
      </c>
      <c r="F312" t="str">
        <f t="shared" si="13"/>
        <v>High</v>
      </c>
      <c r="G312" t="str">
        <f>VLOOKUP(A312,DataSet!$1:$1048576,5,FALSE)</f>
        <v>Reyansh Iyer</v>
      </c>
      <c r="H312" s="29">
        <f>INDEX(DataSet!B:B,MATCH('Advanced  Formulas'!A312,DataSet!A:A,0))</f>
        <v>45530</v>
      </c>
      <c r="I312" s="29">
        <f>INDEX(DataSet!C:C,MATCH('Advanced  Formulas'!A312,DataSet!A:A,0))</f>
        <v>46257</v>
      </c>
      <c r="J312" t="str">
        <f t="shared" si="14"/>
        <v>Good Order</v>
      </c>
      <c r="K312" s="10" t="str">
        <f>CONCATENATE(DataSet!E312,"-",DataSet!G312)</f>
        <v>Reyansh Iyer-Vadodara</v>
      </c>
    </row>
    <row r="313" spans="1:11">
      <c r="A313" t="str">
        <v>ORD-2026-00312</v>
      </c>
      <c r="B313" s="2">
        <v>4200</v>
      </c>
      <c r="C313" s="2">
        <v>955.42</v>
      </c>
      <c r="D313" s="28">
        <v>0</v>
      </c>
      <c r="E313" t="str">
        <f t="shared" si="12"/>
        <v>Profit</v>
      </c>
      <c r="F313" t="str">
        <f t="shared" si="13"/>
        <v>Medium</v>
      </c>
      <c r="G313" t="str">
        <f>VLOOKUP(A313,DataSet!$1:$1048576,5,FALSE)</f>
        <v>Vivaan Iyer</v>
      </c>
      <c r="H313" s="29">
        <f>INDEX(DataSet!B:B,MATCH('Advanced  Formulas'!A313,DataSet!A:A,0))</f>
        <v>46026</v>
      </c>
      <c r="I313" s="29">
        <f>INDEX(DataSet!C:C,MATCH('Advanced  Formulas'!A313,DataSet!A:A,0))</f>
        <v>46258</v>
      </c>
      <c r="J313" t="str">
        <f t="shared" si="14"/>
        <v>Good Order</v>
      </c>
      <c r="K313" s="10" t="str">
        <f>CONCATENATE(DataSet!E313,"-",DataSet!G313)</f>
        <v>Vivaan Iyer-Indore</v>
      </c>
    </row>
    <row r="314" spans="1:11">
      <c r="A314" t="str">
        <v>ORD-2026-00313</v>
      </c>
      <c r="B314" s="2">
        <v>1425</v>
      </c>
      <c r="C314" s="2">
        <v>419.01</v>
      </c>
      <c r="D314" s="28">
        <v>0.05</v>
      </c>
      <c r="E314" t="str">
        <f t="shared" si="12"/>
        <v>Profit</v>
      </c>
      <c r="F314" t="str">
        <f t="shared" si="13"/>
        <v>Low</v>
      </c>
      <c r="G314" t="str">
        <f>VLOOKUP(A314,DataSet!$1:$1048576,5,FALSE)</f>
        <v>Isha Verma</v>
      </c>
      <c r="H314" s="29">
        <f>INDEX(DataSet!B:B,MATCH('Advanced  Formulas'!A314,DataSet!A:A,0))</f>
        <v>46173</v>
      </c>
      <c r="I314" s="29">
        <f>INDEX(DataSet!C:C,MATCH('Advanced  Formulas'!A314,DataSet!A:A,0))</f>
        <v>46259</v>
      </c>
      <c r="J314" t="str">
        <f t="shared" si="14"/>
        <v>Review</v>
      </c>
      <c r="K314" s="10" t="str">
        <f>CONCATENATE(DataSet!E314,"-",DataSet!G314)</f>
        <v>Isha Verma-Bhavnagar</v>
      </c>
    </row>
    <row r="315" spans="1:11">
      <c r="A315" t="str">
        <v>ORD-2025-00314</v>
      </c>
      <c r="B315" s="2">
        <v>17550</v>
      </c>
      <c r="C315" s="2">
        <v>5005.72</v>
      </c>
      <c r="D315" s="28">
        <v>0.1</v>
      </c>
      <c r="E315" t="str">
        <f t="shared" si="12"/>
        <v>Profit</v>
      </c>
      <c r="F315" t="str">
        <f t="shared" si="13"/>
        <v>High</v>
      </c>
      <c r="G315" t="str">
        <f>VLOOKUP(A315,DataSet!$1:$1048576,5,FALSE)</f>
        <v>Sara Mehta</v>
      </c>
      <c r="H315" s="29">
        <f>INDEX(DataSet!B:B,MATCH('Advanced  Formulas'!A315,DataSet!A:A,0))</f>
        <v>45956</v>
      </c>
      <c r="I315" s="29">
        <f>INDEX(DataSet!C:C,MATCH('Advanced  Formulas'!A315,DataSet!A:A,0))</f>
        <v>46260</v>
      </c>
      <c r="J315" t="str">
        <f t="shared" si="14"/>
        <v>Good Order</v>
      </c>
      <c r="K315" s="10" t="str">
        <f>CONCATENATE(DataSet!E315,"-",DataSet!G315)</f>
        <v>Sara Mehta-Surat</v>
      </c>
    </row>
    <row r="316" spans="1:11">
      <c r="A316" t="str">
        <v>ORD-2026-00315</v>
      </c>
      <c r="B316" s="2">
        <v>220</v>
      </c>
      <c r="C316" s="2">
        <v>49.14</v>
      </c>
      <c r="D316" s="28">
        <v>0</v>
      </c>
      <c r="E316" t="str">
        <f t="shared" si="12"/>
        <v>Loss</v>
      </c>
      <c r="F316" t="str">
        <f t="shared" si="13"/>
        <v>Low</v>
      </c>
      <c r="G316" t="str">
        <f>VLOOKUP(A316,DataSet!$1:$1048576,5,FALSE)</f>
        <v>Meera Desai</v>
      </c>
      <c r="H316" s="29">
        <f>INDEX(DataSet!B:B,MATCH('Advanced  Formulas'!A316,DataSet!A:A,0))</f>
        <v>46263</v>
      </c>
      <c r="I316" s="29">
        <f>INDEX(DataSet!C:C,MATCH('Advanced  Formulas'!A316,DataSet!A:A,0))</f>
        <v>46261</v>
      </c>
      <c r="J316" t="str">
        <f t="shared" si="14"/>
        <v>Review</v>
      </c>
      <c r="K316" s="10" t="str">
        <f>CONCATENATE(DataSet!E316,"-",DataSet!G316)</f>
        <v>Meera Desai-Lucknow</v>
      </c>
    </row>
    <row r="317" spans="1:11">
      <c r="A317" t="str">
        <v>ORD-2024-00316</v>
      </c>
      <c r="B317" s="2">
        <v>15960</v>
      </c>
      <c r="C317" s="2">
        <v>1868.62</v>
      </c>
      <c r="D317" s="28">
        <v>0.05</v>
      </c>
      <c r="E317" t="str">
        <f t="shared" si="12"/>
        <v>Profit</v>
      </c>
      <c r="F317" t="str">
        <f t="shared" si="13"/>
        <v>High</v>
      </c>
      <c r="G317" t="str">
        <f>VLOOKUP(A317,DataSet!$1:$1048576,5,FALSE)</f>
        <v>Kabir Rao</v>
      </c>
      <c r="H317" s="29">
        <f>INDEX(DataSet!B:B,MATCH('Advanced  Formulas'!A317,DataSet!A:A,0))</f>
        <v>45398</v>
      </c>
      <c r="I317" s="29">
        <f>INDEX(DataSet!C:C,MATCH('Advanced  Formulas'!A317,DataSet!A:A,0))</f>
        <v>46262</v>
      </c>
      <c r="J317" t="str">
        <f t="shared" si="14"/>
        <v>Good Order</v>
      </c>
      <c r="K317" s="10" t="str">
        <f>CONCATENATE(DataSet!E317,"-",DataSet!G317)</f>
        <v>Kabir Rao-Surat</v>
      </c>
    </row>
    <row r="318" spans="1:11">
      <c r="A318" t="str">
        <v>ORD-2025-00317</v>
      </c>
      <c r="B318" s="2">
        <v>228</v>
      </c>
      <c r="C318" s="2">
        <v>69.72</v>
      </c>
      <c r="D318" s="28">
        <v>0.05</v>
      </c>
      <c r="E318" t="str">
        <f t="shared" si="12"/>
        <v>Loss</v>
      </c>
      <c r="F318" t="str">
        <f t="shared" si="13"/>
        <v>Low</v>
      </c>
      <c r="G318" t="str">
        <f>VLOOKUP(A318,DataSet!$1:$1048576,5,FALSE)</f>
        <v>Aarav Patel</v>
      </c>
      <c r="H318" s="29">
        <f>INDEX(DataSet!B:B,MATCH('Advanced  Formulas'!A318,DataSet!A:A,0))</f>
        <v>45749</v>
      </c>
      <c r="I318" s="29">
        <f>INDEX(DataSet!C:C,MATCH('Advanced  Formulas'!A318,DataSet!A:A,0))</f>
        <v>46263</v>
      </c>
      <c r="J318" t="str">
        <f t="shared" si="14"/>
        <v>Review</v>
      </c>
      <c r="K318" s="10" t="str">
        <f>CONCATENATE(DataSet!E318,"-",DataSet!G318)</f>
        <v>Aarav Patel-Rajkot</v>
      </c>
    </row>
    <row r="319" spans="1:11">
      <c r="A319" t="str">
        <v>ORD-2026-00318</v>
      </c>
      <c r="B319" s="2">
        <v>10640</v>
      </c>
      <c r="C319" s="2">
        <v>2452.88</v>
      </c>
      <c r="D319" s="28">
        <v>0.05</v>
      </c>
      <c r="E319" t="str">
        <f t="shared" si="12"/>
        <v>Profit</v>
      </c>
      <c r="F319" t="str">
        <f t="shared" si="13"/>
        <v>High</v>
      </c>
      <c r="G319" t="str">
        <f>VLOOKUP(A319,DataSet!$1:$1048576,5,FALSE)</f>
        <v>Fatima Iyer</v>
      </c>
      <c r="H319" s="29">
        <f>INDEX(DataSet!B:B,MATCH('Advanced  Formulas'!A319,DataSet!A:A,0))</f>
        <v>46042</v>
      </c>
      <c r="I319" s="29">
        <f>INDEX(DataSet!C:C,MATCH('Advanced  Formulas'!A319,DataSet!A:A,0))</f>
        <v>46264</v>
      </c>
      <c r="J319" t="str">
        <f t="shared" si="14"/>
        <v>Good Order</v>
      </c>
      <c r="K319" s="10" t="str">
        <f>CONCATENATE(DataSet!E319,"-",DataSet!G319)</f>
        <v>Fatima Iyer-Surat</v>
      </c>
    </row>
    <row r="320" spans="1:11">
      <c r="A320" t="str">
        <v>ORD-2024-00319</v>
      </c>
      <c r="B320" s="2">
        <v>1377.5</v>
      </c>
      <c r="C320" s="2">
        <v>419.6</v>
      </c>
      <c r="D320" s="28">
        <v>0.05</v>
      </c>
      <c r="E320" t="str">
        <f t="shared" si="12"/>
        <v>Profit</v>
      </c>
      <c r="F320" t="str">
        <f t="shared" si="13"/>
        <v>Low</v>
      </c>
      <c r="G320" t="str">
        <f>VLOOKUP(A320,DataSet!$1:$1048576,5,FALSE)</f>
        <v>Kabir Trivedi</v>
      </c>
      <c r="H320" s="29">
        <f>INDEX(DataSet!B:B,MATCH('Advanced  Formulas'!A320,DataSet!A:A,0))</f>
        <v>45458</v>
      </c>
      <c r="I320" s="29">
        <f>INDEX(DataSet!C:C,MATCH('Advanced  Formulas'!A320,DataSet!A:A,0))</f>
        <v>46265</v>
      </c>
      <c r="J320" t="str">
        <f t="shared" si="14"/>
        <v>Review</v>
      </c>
      <c r="K320" s="10" t="str">
        <f>CONCATENATE(DataSet!E320,"-",DataSet!G320)</f>
        <v>Kabir Trivedi-Bhavnagar</v>
      </c>
    </row>
    <row r="321" spans="1:11">
      <c r="A321" t="str">
        <v>ORD-2024-00320</v>
      </c>
      <c r="B321" s="2">
        <v>9280</v>
      </c>
      <c r="C321" s="2">
        <v>3173.22</v>
      </c>
      <c r="D321" s="28">
        <v>0.2</v>
      </c>
      <c r="E321" t="str">
        <f t="shared" si="12"/>
        <v>Profit</v>
      </c>
      <c r="F321" t="str">
        <f t="shared" si="13"/>
        <v>High</v>
      </c>
      <c r="G321" t="str">
        <f>VLOOKUP(A321,DataSet!$1:$1048576,5,FALSE)</f>
        <v>Isha Dave</v>
      </c>
      <c r="H321" s="29">
        <f>INDEX(DataSet!B:B,MATCH('Advanced  Formulas'!A321,DataSet!A:A,0))</f>
        <v>45456</v>
      </c>
      <c r="I321" s="29">
        <f>INDEX(DataSet!C:C,MATCH('Advanced  Formulas'!A321,DataSet!A:A,0))</f>
        <v>46266</v>
      </c>
      <c r="J321" t="str">
        <f t="shared" si="14"/>
        <v>Good Order</v>
      </c>
      <c r="K321" s="10" t="str">
        <f>CONCATENATE(DataSet!E321,"-",DataSet!G321)</f>
        <v>Isha Dave-Bhavnagar</v>
      </c>
    </row>
    <row r="322" spans="1:11">
      <c r="A322" t="str">
        <v>ORD-2024-00321</v>
      </c>
      <c r="B322" s="2">
        <v>672</v>
      </c>
      <c r="C322" s="2">
        <v>138.38999999999999</v>
      </c>
      <c r="D322" s="28">
        <v>0.2</v>
      </c>
      <c r="E322" t="str">
        <f t="shared" si="12"/>
        <v>Loss</v>
      </c>
      <c r="F322" t="str">
        <f t="shared" si="13"/>
        <v>Low</v>
      </c>
      <c r="G322" t="str">
        <f>VLOOKUP(A322,DataSet!$1:$1048576,5,FALSE)</f>
        <v>Kiara Joshi</v>
      </c>
      <c r="H322" s="29">
        <f>INDEX(DataSet!B:B,MATCH('Advanced  Formulas'!A322,DataSet!A:A,0))</f>
        <v>45346</v>
      </c>
      <c r="I322" s="29">
        <f>INDEX(DataSet!C:C,MATCH('Advanced  Formulas'!A322,DataSet!A:A,0))</f>
        <v>46267</v>
      </c>
      <c r="J322" t="str">
        <f t="shared" si="14"/>
        <v>Review</v>
      </c>
      <c r="K322" s="10" t="str">
        <f>CONCATENATE(DataSet!E322,"-",DataSet!G322)</f>
        <v>Kiara Joshi-Mumbai</v>
      </c>
    </row>
    <row r="323" spans="1:11">
      <c r="A323" t="str">
        <v>ORD-2024-00322</v>
      </c>
      <c r="B323" s="2">
        <v>4400</v>
      </c>
      <c r="C323" s="2">
        <v>1609.65</v>
      </c>
      <c r="D323" s="28">
        <v>0</v>
      </c>
      <c r="E323" t="str">
        <f t="shared" ref="E323:E386" si="15">IF(C323&gt;200,"Profit","Loss")</f>
        <v>Profit</v>
      </c>
      <c r="F323" t="str">
        <f t="shared" ref="F323:F386" si="16">IF(B323&gt;6000,"High",IF(B323&gt;=3000,"Medium",IF(B323&lt;3000,"Low")))</f>
        <v>Medium</v>
      </c>
      <c r="G323" t="str">
        <f>VLOOKUP(A323,DataSet!$1:$1048576,5,FALSE)</f>
        <v>Aanya Shah</v>
      </c>
      <c r="H323" s="29">
        <f>INDEX(DataSet!B:B,MATCH('Advanced  Formulas'!A323,DataSet!A:A,0))</f>
        <v>45596</v>
      </c>
      <c r="I323" s="29">
        <f>INDEX(DataSet!C:C,MATCH('Advanced  Formulas'!A323,DataSet!A:A,0))</f>
        <v>46268</v>
      </c>
      <c r="J323" t="str">
        <f t="shared" ref="J323:J386" si="17">IF(AND(B323&gt;3000,C323&gt;0),"Good Order","Review")</f>
        <v>Good Order</v>
      </c>
      <c r="K323" s="10" t="str">
        <f>CONCATENATE(DataSet!E323,"-",DataSet!G323)</f>
        <v>Aanya Shah-Bhavnagar</v>
      </c>
    </row>
    <row r="324" spans="1:11">
      <c r="A324" t="str">
        <v>ORD-2025-00323</v>
      </c>
      <c r="B324" s="2">
        <v>2280</v>
      </c>
      <c r="C324" s="2">
        <v>625.01</v>
      </c>
      <c r="D324" s="28">
        <v>0.2</v>
      </c>
      <c r="E324" t="str">
        <f t="shared" si="15"/>
        <v>Profit</v>
      </c>
      <c r="F324" t="str">
        <f t="shared" si="16"/>
        <v>Low</v>
      </c>
      <c r="G324" t="str">
        <f>VLOOKUP(A324,DataSet!$1:$1048576,5,FALSE)</f>
        <v>Fatima Rao</v>
      </c>
      <c r="H324" s="29">
        <f>INDEX(DataSet!B:B,MATCH('Advanced  Formulas'!A324,DataSet!A:A,0))</f>
        <v>45783</v>
      </c>
      <c r="I324" s="29">
        <f>INDEX(DataSet!C:C,MATCH('Advanced  Formulas'!A324,DataSet!A:A,0))</f>
        <v>46269</v>
      </c>
      <c r="J324" t="str">
        <f t="shared" si="17"/>
        <v>Review</v>
      </c>
      <c r="K324" s="10" t="str">
        <f>CONCATENATE(DataSet!E324,"-",DataSet!G324)</f>
        <v>Fatima Rao-Bhavnagar</v>
      </c>
    </row>
    <row r="325" spans="1:11">
      <c r="A325" t="str">
        <v>ORD-2026-00324</v>
      </c>
      <c r="B325" s="2">
        <v>3040</v>
      </c>
      <c r="C325" s="2">
        <v>633.91999999999996</v>
      </c>
      <c r="D325" s="28">
        <v>0.2</v>
      </c>
      <c r="E325" t="str">
        <f t="shared" si="15"/>
        <v>Profit</v>
      </c>
      <c r="F325" t="str">
        <f t="shared" si="16"/>
        <v>Medium</v>
      </c>
      <c r="G325" t="str">
        <f>VLOOKUP(A325,DataSet!$1:$1048576,5,FALSE)</f>
        <v>Zoya Sheikh</v>
      </c>
      <c r="H325" s="29">
        <f>INDEX(DataSet!B:B,MATCH('Advanced  Formulas'!A325,DataSet!A:A,0))</f>
        <v>46095</v>
      </c>
      <c r="I325" s="29">
        <f>INDEX(DataSet!C:C,MATCH('Advanced  Formulas'!A325,DataSet!A:A,0))</f>
        <v>46270</v>
      </c>
      <c r="J325" t="str">
        <f t="shared" si="17"/>
        <v>Good Order</v>
      </c>
      <c r="K325" s="10" t="str">
        <f>CONCATENATE(DataSet!E325,"-",DataSet!G325)</f>
        <v>Zoya Sheikh-Jaipur</v>
      </c>
    </row>
    <row r="326" spans="1:11">
      <c r="A326" t="str">
        <v>ORD-2024-00325</v>
      </c>
      <c r="B326" s="2">
        <v>5700</v>
      </c>
      <c r="C326" s="2">
        <v>1787.96</v>
      </c>
      <c r="D326" s="28">
        <v>0.05</v>
      </c>
      <c r="E326" t="str">
        <f t="shared" si="15"/>
        <v>Profit</v>
      </c>
      <c r="F326" t="str">
        <f t="shared" si="16"/>
        <v>Medium</v>
      </c>
      <c r="G326" t="str">
        <f>VLOOKUP(A326,DataSet!$1:$1048576,5,FALSE)</f>
        <v>Yusuf Patel</v>
      </c>
      <c r="H326" s="29">
        <f>INDEX(DataSet!B:B,MATCH('Advanced  Formulas'!A326,DataSet!A:A,0))</f>
        <v>45483</v>
      </c>
      <c r="I326" s="29">
        <f>INDEX(DataSet!C:C,MATCH('Advanced  Formulas'!A326,DataSet!A:A,0))</f>
        <v>46271</v>
      </c>
      <c r="J326" t="str">
        <f t="shared" si="17"/>
        <v>Good Order</v>
      </c>
      <c r="K326" s="10" t="str">
        <f>CONCATENATE(DataSet!E326,"-",DataSet!G326)</f>
        <v>Yusuf Patel-Ahmedabad</v>
      </c>
    </row>
    <row r="327" spans="1:11">
      <c r="A327" t="str">
        <v>ORD-2024-00326</v>
      </c>
      <c r="B327" s="2">
        <v>748</v>
      </c>
      <c r="C327" s="2">
        <v>255.55</v>
      </c>
      <c r="D327" s="28">
        <v>0.15</v>
      </c>
      <c r="E327" t="str">
        <f t="shared" si="15"/>
        <v>Profit</v>
      </c>
      <c r="F327" t="str">
        <f t="shared" si="16"/>
        <v>Low</v>
      </c>
      <c r="G327" t="str">
        <f>VLOOKUP(A327,DataSet!$1:$1048576,5,FALSE)</f>
        <v>Dev Panjwani</v>
      </c>
      <c r="H327" s="29">
        <f>INDEX(DataSet!B:B,MATCH('Advanced  Formulas'!A327,DataSet!A:A,0))</f>
        <v>45379</v>
      </c>
      <c r="I327" s="29">
        <f>INDEX(DataSet!C:C,MATCH('Advanced  Formulas'!A327,DataSet!A:A,0))</f>
        <v>46272</v>
      </c>
      <c r="J327" t="str">
        <f t="shared" si="17"/>
        <v>Review</v>
      </c>
      <c r="K327" s="10" t="str">
        <f>CONCATENATE(DataSet!E327,"-",DataSet!G327)</f>
        <v>Dev Panjwani-Mumbai</v>
      </c>
    </row>
    <row r="328" spans="1:11">
      <c r="A328" t="str">
        <v>ORD-2025-00327</v>
      </c>
      <c r="B328" s="2">
        <v>23520</v>
      </c>
      <c r="C328" s="2">
        <v>8019.63</v>
      </c>
      <c r="D328" s="28">
        <v>0.2</v>
      </c>
      <c r="E328" t="str">
        <f t="shared" si="15"/>
        <v>Profit</v>
      </c>
      <c r="F328" t="str">
        <f t="shared" si="16"/>
        <v>High</v>
      </c>
      <c r="G328" t="str">
        <f>VLOOKUP(A328,DataSet!$1:$1048576,5,FALSE)</f>
        <v>Dev Iyer</v>
      </c>
      <c r="H328" s="29">
        <f>INDEX(DataSet!B:B,MATCH('Advanced  Formulas'!A328,DataSet!A:A,0))</f>
        <v>45878</v>
      </c>
      <c r="I328" s="29">
        <f>INDEX(DataSet!C:C,MATCH('Advanced  Formulas'!A328,DataSet!A:A,0))</f>
        <v>46273</v>
      </c>
      <c r="J328" t="str">
        <f t="shared" si="17"/>
        <v>Good Order</v>
      </c>
      <c r="K328" s="10" t="str">
        <f>CONCATENATE(DataSet!E328,"-",DataSet!G328)</f>
        <v>Dev Iyer-Jaipur</v>
      </c>
    </row>
    <row r="329" spans="1:11">
      <c r="A329" t="str">
        <v>ORD-2024-00328</v>
      </c>
      <c r="B329" s="2">
        <v>1050</v>
      </c>
      <c r="C329" s="2">
        <v>178.29</v>
      </c>
      <c r="D329" s="28">
        <v>0</v>
      </c>
      <c r="E329" t="str">
        <f t="shared" si="15"/>
        <v>Loss</v>
      </c>
      <c r="F329" t="str">
        <f t="shared" si="16"/>
        <v>Low</v>
      </c>
      <c r="G329" t="str">
        <f>VLOOKUP(A329,DataSet!$1:$1048576,5,FALSE)</f>
        <v>Diya Panjwani</v>
      </c>
      <c r="H329" s="29">
        <f>INDEX(DataSet!B:B,MATCH('Advanced  Formulas'!A329,DataSet!A:A,0))</f>
        <v>45442</v>
      </c>
      <c r="I329" s="29">
        <f>INDEX(DataSet!C:C,MATCH('Advanced  Formulas'!A329,DataSet!A:A,0))</f>
        <v>46274</v>
      </c>
      <c r="J329" t="str">
        <f t="shared" si="17"/>
        <v>Review</v>
      </c>
      <c r="K329" s="10" t="str">
        <f>CONCATENATE(DataSet!E329,"-",DataSet!G329)</f>
        <v>Diya Panjwani-Hyderabad</v>
      </c>
    </row>
    <row r="330" spans="1:11">
      <c r="A330" t="str">
        <v>ORD-2024-00329</v>
      </c>
      <c r="B330" s="2">
        <v>427.5</v>
      </c>
      <c r="C330" s="2">
        <v>58.01</v>
      </c>
      <c r="D330" s="28">
        <v>0.05</v>
      </c>
      <c r="E330" t="str">
        <f t="shared" si="15"/>
        <v>Loss</v>
      </c>
      <c r="F330" t="str">
        <f t="shared" si="16"/>
        <v>Low</v>
      </c>
      <c r="G330" t="str">
        <f>VLOOKUP(A330,DataSet!$1:$1048576,5,FALSE)</f>
        <v>Kabir Shah</v>
      </c>
      <c r="H330" s="29">
        <f>INDEX(DataSet!B:B,MATCH('Advanced  Formulas'!A330,DataSet!A:A,0))</f>
        <v>45498</v>
      </c>
      <c r="I330" s="29">
        <f>INDEX(DataSet!C:C,MATCH('Advanced  Formulas'!A330,DataSet!A:A,0))</f>
        <v>46275</v>
      </c>
      <c r="J330" t="str">
        <f t="shared" si="17"/>
        <v>Review</v>
      </c>
      <c r="K330" s="10" t="str">
        <f>CONCATENATE(DataSet!E330,"-",DataSet!G330)</f>
        <v>Kabir Shah-Bengaluru</v>
      </c>
    </row>
    <row r="331" spans="1:11">
      <c r="A331" t="str">
        <v>ORD-2025-00330</v>
      </c>
      <c r="B331" s="2">
        <v>24800</v>
      </c>
      <c r="C331" s="2">
        <v>4352.32</v>
      </c>
      <c r="D331" s="28">
        <v>0</v>
      </c>
      <c r="E331" t="str">
        <f t="shared" si="15"/>
        <v>Profit</v>
      </c>
      <c r="F331" t="str">
        <f t="shared" si="16"/>
        <v>High</v>
      </c>
      <c r="G331" t="str">
        <f>VLOOKUP(A331,DataSet!$1:$1048576,5,FALSE)</f>
        <v>Yusuf Soni</v>
      </c>
      <c r="H331" s="29">
        <f>INDEX(DataSet!B:B,MATCH('Advanced  Formulas'!A331,DataSet!A:A,0))</f>
        <v>45698</v>
      </c>
      <c r="I331" s="29">
        <f>INDEX(DataSet!C:C,MATCH('Advanced  Formulas'!A331,DataSet!A:A,0))</f>
        <v>46276</v>
      </c>
      <c r="J331" t="str">
        <f t="shared" si="17"/>
        <v>Good Order</v>
      </c>
      <c r="K331" s="10" t="str">
        <f>CONCATENATE(DataSet!E331,"-",DataSet!G331)</f>
        <v>Yusuf Soni-Mumbai</v>
      </c>
    </row>
    <row r="332" spans="1:11">
      <c r="A332" t="str">
        <v>ORD-2025-00331</v>
      </c>
      <c r="B332" s="2">
        <v>1235</v>
      </c>
      <c r="C332" s="2">
        <v>181.49</v>
      </c>
      <c r="D332" s="28">
        <v>0.05</v>
      </c>
      <c r="E332" t="str">
        <f t="shared" si="15"/>
        <v>Loss</v>
      </c>
      <c r="F332" t="str">
        <f t="shared" si="16"/>
        <v>Low</v>
      </c>
      <c r="G332" t="str">
        <f>VLOOKUP(A332,DataSet!$1:$1048576,5,FALSE)</f>
        <v>Zoya Sheikh</v>
      </c>
      <c r="H332" s="29">
        <f>INDEX(DataSet!B:B,MATCH('Advanced  Formulas'!A332,DataSet!A:A,0))</f>
        <v>45716</v>
      </c>
      <c r="I332" s="29">
        <f>INDEX(DataSet!C:C,MATCH('Advanced  Formulas'!A332,DataSet!A:A,0))</f>
        <v>46277</v>
      </c>
      <c r="J332" t="str">
        <f t="shared" si="17"/>
        <v>Review</v>
      </c>
      <c r="K332" s="10" t="str">
        <f>CONCATENATE(DataSet!E332,"-",DataSet!G332)</f>
        <v>Zoya Sheikh-Surat</v>
      </c>
    </row>
    <row r="333" spans="1:11">
      <c r="A333" t="str">
        <v>ORD-2025-00332</v>
      </c>
      <c r="B333" s="2">
        <v>3135</v>
      </c>
      <c r="C333" s="2">
        <v>839.32</v>
      </c>
      <c r="D333" s="28">
        <v>0.05</v>
      </c>
      <c r="E333" t="str">
        <f t="shared" si="15"/>
        <v>Profit</v>
      </c>
      <c r="F333" t="str">
        <f t="shared" si="16"/>
        <v>Medium</v>
      </c>
      <c r="G333" t="str">
        <f>VLOOKUP(A333,DataSet!$1:$1048576,5,FALSE)</f>
        <v>Meera Kapoor</v>
      </c>
      <c r="H333" s="29">
        <f>INDEX(DataSet!B:B,MATCH('Advanced  Formulas'!A333,DataSet!A:A,0))</f>
        <v>45684</v>
      </c>
      <c r="I333" s="29">
        <f>INDEX(DataSet!C:C,MATCH('Advanced  Formulas'!A333,DataSet!A:A,0))</f>
        <v>46278</v>
      </c>
      <c r="J333" t="str">
        <f t="shared" si="17"/>
        <v>Good Order</v>
      </c>
      <c r="K333" s="10" t="str">
        <f>CONCATENATE(DataSet!E333,"-",DataSet!G333)</f>
        <v>Meera Kapoor-Jaipur</v>
      </c>
    </row>
    <row r="334" spans="1:11">
      <c r="A334" t="str">
        <v>ORD-2024-00333</v>
      </c>
      <c r="B334" s="2">
        <v>5200</v>
      </c>
      <c r="C334" s="2">
        <v>1177.51</v>
      </c>
      <c r="D334" s="28">
        <v>0.2</v>
      </c>
      <c r="E334" t="str">
        <f t="shared" si="15"/>
        <v>Profit</v>
      </c>
      <c r="F334" t="str">
        <f t="shared" si="16"/>
        <v>Medium</v>
      </c>
      <c r="G334" t="str">
        <f>VLOOKUP(A334,DataSet!$1:$1048576,5,FALSE)</f>
        <v>Zoya Patel</v>
      </c>
      <c r="H334" s="29">
        <f>INDEX(DataSet!B:B,MATCH('Advanced  Formulas'!A334,DataSet!A:A,0))</f>
        <v>45331</v>
      </c>
      <c r="I334" s="29">
        <f>INDEX(DataSet!C:C,MATCH('Advanced  Formulas'!A334,DataSet!A:A,0))</f>
        <v>46279</v>
      </c>
      <c r="J334" t="str">
        <f t="shared" si="17"/>
        <v>Good Order</v>
      </c>
      <c r="K334" s="10" t="str">
        <f>CONCATENATE(DataSet!E334,"-",DataSet!G334)</f>
        <v>Zoya Patel-Indore</v>
      </c>
    </row>
    <row r="335" spans="1:11">
      <c r="A335" t="str">
        <v>ORD-2024-00334</v>
      </c>
      <c r="B335" s="2">
        <v>4400</v>
      </c>
      <c r="C335" s="2">
        <v>1328.25</v>
      </c>
      <c r="D335" s="28">
        <v>0</v>
      </c>
      <c r="E335" t="str">
        <f t="shared" si="15"/>
        <v>Profit</v>
      </c>
      <c r="F335" t="str">
        <f t="shared" si="16"/>
        <v>Medium</v>
      </c>
      <c r="G335" t="str">
        <f>VLOOKUP(A335,DataSet!$1:$1048576,5,FALSE)</f>
        <v>Rohan Iyer</v>
      </c>
      <c r="H335" s="29">
        <f>INDEX(DataSet!B:B,MATCH('Advanced  Formulas'!A335,DataSet!A:A,0))</f>
        <v>45610</v>
      </c>
      <c r="I335" s="29">
        <f>INDEX(DataSet!C:C,MATCH('Advanced  Formulas'!A335,DataSet!A:A,0))</f>
        <v>46280</v>
      </c>
      <c r="J335" t="str">
        <f t="shared" si="17"/>
        <v>Good Order</v>
      </c>
      <c r="K335" s="10" t="str">
        <f>CONCATENATE(DataSet!E335,"-",DataSet!G335)</f>
        <v>Rohan Iyer-Kolkata</v>
      </c>
    </row>
    <row r="336" spans="1:11">
      <c r="A336" t="str">
        <v>ORD-2026-00335</v>
      </c>
      <c r="B336" s="2">
        <v>7600</v>
      </c>
      <c r="C336" s="2">
        <v>1083.06</v>
      </c>
      <c r="D336" s="28">
        <v>0</v>
      </c>
      <c r="E336" t="str">
        <f t="shared" si="15"/>
        <v>Profit</v>
      </c>
      <c r="F336" t="str">
        <f t="shared" si="16"/>
        <v>High</v>
      </c>
      <c r="G336" t="str">
        <f>VLOOKUP(A336,DataSet!$1:$1048576,5,FALSE)</f>
        <v>Fatima Iyer</v>
      </c>
      <c r="H336" s="29">
        <f>INDEX(DataSet!B:B,MATCH('Advanced  Formulas'!A336,DataSet!A:A,0))</f>
        <v>46038</v>
      </c>
      <c r="I336" s="29">
        <f>INDEX(DataSet!C:C,MATCH('Advanced  Formulas'!A336,DataSet!A:A,0))</f>
        <v>46281</v>
      </c>
      <c r="J336" t="str">
        <f t="shared" si="17"/>
        <v>Good Order</v>
      </c>
      <c r="K336" s="10" t="str">
        <f>CONCATENATE(DataSet!E336,"-",DataSet!G336)</f>
        <v>Fatima Iyer-Lucknow</v>
      </c>
    </row>
    <row r="337" spans="1:11">
      <c r="A337" t="str">
        <v>ORD-2026-00336</v>
      </c>
      <c r="B337" s="2">
        <v>720</v>
      </c>
      <c r="C337" s="2">
        <v>157.13</v>
      </c>
      <c r="D337" s="28">
        <v>0.2</v>
      </c>
      <c r="E337" t="str">
        <f t="shared" si="15"/>
        <v>Loss</v>
      </c>
      <c r="F337" t="str">
        <f t="shared" si="16"/>
        <v>Low</v>
      </c>
      <c r="G337" t="str">
        <f>VLOOKUP(A337,DataSet!$1:$1048576,5,FALSE)</f>
        <v>Dev Sheikh</v>
      </c>
      <c r="H337" s="29">
        <f>INDEX(DataSet!B:B,MATCH('Advanced  Formulas'!A337,DataSet!A:A,0))</f>
        <v>46132</v>
      </c>
      <c r="I337" s="29">
        <f>INDEX(DataSet!C:C,MATCH('Advanced  Formulas'!A337,DataSet!A:A,0))</f>
        <v>46282</v>
      </c>
      <c r="J337" t="str">
        <f t="shared" si="17"/>
        <v>Review</v>
      </c>
      <c r="K337" s="10" t="str">
        <f>CONCATENATE(DataSet!E337,"-",DataSet!G337)</f>
        <v>Dev Sheikh-Delhi</v>
      </c>
    </row>
    <row r="338" spans="1:11">
      <c r="A338" t="str">
        <v>ORD-2024-00337</v>
      </c>
      <c r="B338" s="2">
        <v>720</v>
      </c>
      <c r="C338" s="2">
        <v>188.15</v>
      </c>
      <c r="D338" s="28">
        <v>0</v>
      </c>
      <c r="E338" t="str">
        <f t="shared" si="15"/>
        <v>Loss</v>
      </c>
      <c r="F338" t="str">
        <f t="shared" si="16"/>
        <v>Low</v>
      </c>
      <c r="G338" t="str">
        <f>VLOOKUP(A338,DataSet!$1:$1048576,5,FALSE)</f>
        <v>Zoya Verma</v>
      </c>
      <c r="H338" s="29">
        <f>INDEX(DataSet!B:B,MATCH('Advanced  Formulas'!A338,DataSet!A:A,0))</f>
        <v>45469</v>
      </c>
      <c r="I338" s="29">
        <f>INDEX(DataSet!C:C,MATCH('Advanced  Formulas'!A338,DataSet!A:A,0))</f>
        <v>46283</v>
      </c>
      <c r="J338" t="str">
        <f t="shared" si="17"/>
        <v>Review</v>
      </c>
      <c r="K338" s="10" t="str">
        <f>CONCATENATE(DataSet!E338,"-",DataSet!G338)</f>
        <v>Zoya Verma-Indore</v>
      </c>
    </row>
    <row r="339" spans="1:11">
      <c r="A339" t="str">
        <v>ORD-2025-00338</v>
      </c>
      <c r="B339" s="2">
        <v>1100</v>
      </c>
      <c r="C339" s="2">
        <v>311.47000000000003</v>
      </c>
      <c r="D339" s="28">
        <v>0</v>
      </c>
      <c r="E339" t="str">
        <f t="shared" si="15"/>
        <v>Profit</v>
      </c>
      <c r="F339" t="str">
        <f t="shared" si="16"/>
        <v>Low</v>
      </c>
      <c r="G339" t="str">
        <f>VLOOKUP(A339,DataSet!$1:$1048576,5,FALSE)</f>
        <v>Rohan Mehta</v>
      </c>
      <c r="H339" s="29">
        <f>INDEX(DataSet!B:B,MATCH('Advanced  Formulas'!A339,DataSet!A:A,0))</f>
        <v>45669</v>
      </c>
      <c r="I339" s="29">
        <f>INDEX(DataSet!C:C,MATCH('Advanced  Formulas'!A339,DataSet!A:A,0))</f>
        <v>46284</v>
      </c>
      <c r="J339" t="str">
        <f t="shared" si="17"/>
        <v>Review</v>
      </c>
      <c r="K339" s="10" t="str">
        <f>CONCATENATE(DataSet!E339,"-",DataSet!G339)</f>
        <v>Rohan Mehta-Jaipur</v>
      </c>
    </row>
    <row r="340" spans="1:11">
      <c r="A340" t="str">
        <v>ORD-2025-00339</v>
      </c>
      <c r="B340" s="2">
        <v>608</v>
      </c>
      <c r="C340" s="2">
        <v>222.14</v>
      </c>
      <c r="D340" s="28">
        <v>0.05</v>
      </c>
      <c r="E340" t="str">
        <f t="shared" si="15"/>
        <v>Profit</v>
      </c>
      <c r="F340" t="str">
        <f t="shared" si="16"/>
        <v>Low</v>
      </c>
      <c r="G340" t="str">
        <f>VLOOKUP(A340,DataSet!$1:$1048576,5,FALSE)</f>
        <v>Isha Rao</v>
      </c>
      <c r="H340" s="29">
        <f>INDEX(DataSet!B:B,MATCH('Advanced  Formulas'!A340,DataSet!A:A,0))</f>
        <v>45856</v>
      </c>
      <c r="I340" s="29">
        <f>INDEX(DataSet!C:C,MATCH('Advanced  Formulas'!A340,DataSet!A:A,0))</f>
        <v>46285</v>
      </c>
      <c r="J340" t="str">
        <f t="shared" si="17"/>
        <v>Review</v>
      </c>
      <c r="K340" s="10" t="str">
        <f>CONCATENATE(DataSet!E340,"-",DataSet!G340)</f>
        <v>Isha Rao-Mumbai</v>
      </c>
    </row>
    <row r="341" spans="1:11">
      <c r="A341" t="str">
        <v>ORD-2026-00340</v>
      </c>
      <c r="B341" s="2">
        <v>480</v>
      </c>
      <c r="C341" s="2">
        <v>116.89</v>
      </c>
      <c r="D341" s="28">
        <v>0.2</v>
      </c>
      <c r="E341" t="str">
        <f t="shared" si="15"/>
        <v>Loss</v>
      </c>
      <c r="F341" t="str">
        <f t="shared" si="16"/>
        <v>Low</v>
      </c>
      <c r="G341" t="str">
        <f>VLOOKUP(A341,DataSet!$1:$1048576,5,FALSE)</f>
        <v>Aarav Khan</v>
      </c>
      <c r="H341" s="29">
        <f>INDEX(DataSet!B:B,MATCH('Advanced  Formulas'!A341,DataSet!A:A,0))</f>
        <v>46169</v>
      </c>
      <c r="I341" s="29">
        <f>INDEX(DataSet!C:C,MATCH('Advanced  Formulas'!A341,DataSet!A:A,0))</f>
        <v>46286</v>
      </c>
      <c r="J341" t="str">
        <f t="shared" si="17"/>
        <v>Review</v>
      </c>
      <c r="K341" s="10" t="str">
        <f>CONCATENATE(DataSet!E341,"-",DataSet!G341)</f>
        <v>Aarav Khan-Bengaluru</v>
      </c>
    </row>
    <row r="342" spans="1:11">
      <c r="A342" t="str">
        <v>ORD-2025-00341</v>
      </c>
      <c r="B342" s="2">
        <v>1280</v>
      </c>
      <c r="C342" s="2">
        <v>126.17</v>
      </c>
      <c r="D342" s="28">
        <v>0.2</v>
      </c>
      <c r="E342" t="str">
        <f t="shared" si="15"/>
        <v>Loss</v>
      </c>
      <c r="F342" t="str">
        <f t="shared" si="16"/>
        <v>Low</v>
      </c>
      <c r="G342" t="str">
        <f>VLOOKUP(A342,DataSet!$1:$1048576,5,FALSE)</f>
        <v>Arjun Panjwani</v>
      </c>
      <c r="H342" s="29">
        <f>INDEX(DataSet!B:B,MATCH('Advanced  Formulas'!A342,DataSet!A:A,0))</f>
        <v>45907</v>
      </c>
      <c r="I342" s="29">
        <f>INDEX(DataSet!C:C,MATCH('Advanced  Formulas'!A342,DataSet!A:A,0))</f>
        <v>46287</v>
      </c>
      <c r="J342" t="str">
        <f t="shared" si="17"/>
        <v>Review</v>
      </c>
      <c r="K342" s="10" t="str">
        <f>CONCATENATE(DataSet!E342,"-",DataSet!G342)</f>
        <v>Arjun Panjwani-Ahmedabad</v>
      </c>
    </row>
    <row r="343" spans="1:11">
      <c r="A343" t="str">
        <v>ORD-2025-00342</v>
      </c>
      <c r="B343" s="2">
        <v>11305</v>
      </c>
      <c r="C343" s="2">
        <v>3740.81</v>
      </c>
      <c r="D343" s="28">
        <v>0.15</v>
      </c>
      <c r="E343" t="str">
        <f t="shared" si="15"/>
        <v>Profit</v>
      </c>
      <c r="F343" t="str">
        <f t="shared" si="16"/>
        <v>High</v>
      </c>
      <c r="G343" t="str">
        <f>VLOOKUP(A343,DataSet!$1:$1048576,5,FALSE)</f>
        <v>Zoya Soni</v>
      </c>
      <c r="H343" s="29">
        <f>INDEX(DataSet!B:B,MATCH('Advanced  Formulas'!A343,DataSet!A:A,0))</f>
        <v>45762</v>
      </c>
      <c r="I343" s="29">
        <f>INDEX(DataSet!C:C,MATCH('Advanced  Formulas'!A343,DataSet!A:A,0))</f>
        <v>46288</v>
      </c>
      <c r="J343" t="str">
        <f t="shared" si="17"/>
        <v>Good Order</v>
      </c>
      <c r="K343" s="10" t="str">
        <f>CONCATENATE(DataSet!E343,"-",DataSet!G343)</f>
        <v>Zoya Soni-Vadodara</v>
      </c>
    </row>
    <row r="344" spans="1:11">
      <c r="A344" t="str">
        <v>ORD-2025-00343</v>
      </c>
      <c r="B344" s="2">
        <v>1045</v>
      </c>
      <c r="C344" s="2">
        <v>120.72</v>
      </c>
      <c r="D344" s="28">
        <v>0.05</v>
      </c>
      <c r="E344" t="str">
        <f t="shared" si="15"/>
        <v>Loss</v>
      </c>
      <c r="F344" t="str">
        <f t="shared" si="16"/>
        <v>Low</v>
      </c>
      <c r="G344" t="str">
        <f>VLOOKUP(A344,DataSet!$1:$1048576,5,FALSE)</f>
        <v>Aditya Rao</v>
      </c>
      <c r="H344" s="29">
        <f>INDEX(DataSet!B:B,MATCH('Advanced  Formulas'!A344,DataSet!A:A,0))</f>
        <v>45915</v>
      </c>
      <c r="I344" s="29">
        <f>INDEX(DataSet!C:C,MATCH('Advanced  Formulas'!A344,DataSet!A:A,0))</f>
        <v>46289</v>
      </c>
      <c r="J344" t="str">
        <f t="shared" si="17"/>
        <v>Review</v>
      </c>
      <c r="K344" s="10" t="str">
        <f>CONCATENATE(DataSet!E344,"-",DataSet!G344)</f>
        <v>Aditya Rao-Rajkot</v>
      </c>
    </row>
    <row r="345" spans="1:11">
      <c r="A345" t="str">
        <v>ORD-2025-00344</v>
      </c>
      <c r="B345" s="2">
        <v>16575</v>
      </c>
      <c r="C345" s="2">
        <v>2626.75</v>
      </c>
      <c r="D345" s="28">
        <v>0.15</v>
      </c>
      <c r="E345" t="str">
        <f t="shared" si="15"/>
        <v>Profit</v>
      </c>
      <c r="F345" t="str">
        <f t="shared" si="16"/>
        <v>High</v>
      </c>
      <c r="G345" t="str">
        <f>VLOOKUP(A345,DataSet!$1:$1048576,5,FALSE)</f>
        <v>Diya Iyer</v>
      </c>
      <c r="H345" s="29">
        <f>INDEX(DataSet!B:B,MATCH('Advanced  Formulas'!A345,DataSet!A:A,0))</f>
        <v>45963</v>
      </c>
      <c r="I345" s="29">
        <f>INDEX(DataSet!C:C,MATCH('Advanced  Formulas'!A345,DataSet!A:A,0))</f>
        <v>46290</v>
      </c>
      <c r="J345" t="str">
        <f t="shared" si="17"/>
        <v>Good Order</v>
      </c>
      <c r="K345" s="10" t="str">
        <f>CONCATENATE(DataSet!E345,"-",DataSet!G345)</f>
        <v>Diya Iyer-Indore</v>
      </c>
    </row>
    <row r="346" spans="1:11">
      <c r="A346" t="str">
        <v>ORD-2025-00345</v>
      </c>
      <c r="B346" s="2">
        <v>1368</v>
      </c>
      <c r="C346" s="2">
        <v>417.31</v>
      </c>
      <c r="D346" s="28">
        <v>0.05</v>
      </c>
      <c r="E346" t="str">
        <f t="shared" si="15"/>
        <v>Profit</v>
      </c>
      <c r="F346" t="str">
        <f t="shared" si="16"/>
        <v>Low</v>
      </c>
      <c r="G346" t="str">
        <f>VLOOKUP(A346,DataSet!$1:$1048576,5,FALSE)</f>
        <v>Krish Panjwani</v>
      </c>
      <c r="H346" s="29">
        <f>INDEX(DataSet!B:B,MATCH('Advanced  Formulas'!A346,DataSet!A:A,0))</f>
        <v>45968</v>
      </c>
      <c r="I346" s="29">
        <f>INDEX(DataSet!C:C,MATCH('Advanced  Formulas'!A346,DataSet!A:A,0))</f>
        <v>46291</v>
      </c>
      <c r="J346" t="str">
        <f t="shared" si="17"/>
        <v>Review</v>
      </c>
      <c r="K346" s="10" t="str">
        <f>CONCATENATE(DataSet!E346,"-",DataSet!G346)</f>
        <v>Krish Panjwani-Bengaluru</v>
      </c>
    </row>
    <row r="347" spans="1:11">
      <c r="A347" t="str">
        <v>ORD-2025-00346</v>
      </c>
      <c r="B347" s="2">
        <v>1024</v>
      </c>
      <c r="C347" s="2">
        <v>216.06</v>
      </c>
      <c r="D347" s="28">
        <v>0.2</v>
      </c>
      <c r="E347" t="str">
        <f t="shared" si="15"/>
        <v>Profit</v>
      </c>
      <c r="F347" t="str">
        <f t="shared" si="16"/>
        <v>Low</v>
      </c>
      <c r="G347" t="str">
        <f>VLOOKUP(A347,DataSet!$1:$1048576,5,FALSE)</f>
        <v>Fatima Sheikh</v>
      </c>
      <c r="H347" s="29">
        <f>INDEX(DataSet!B:B,MATCH('Advanced  Formulas'!A347,DataSet!A:A,0))</f>
        <v>45889</v>
      </c>
      <c r="I347" s="29">
        <f>INDEX(DataSet!C:C,MATCH('Advanced  Formulas'!A347,DataSet!A:A,0))</f>
        <v>46292</v>
      </c>
      <c r="J347" t="str">
        <f t="shared" si="17"/>
        <v>Review</v>
      </c>
      <c r="K347" s="10" t="str">
        <f>CONCATENATE(DataSet!E347,"-",DataSet!G347)</f>
        <v>Fatima Sheikh-Lucknow</v>
      </c>
    </row>
    <row r="348" spans="1:11">
      <c r="A348" t="str">
        <v>ORD-2025-00347</v>
      </c>
      <c r="B348" s="2">
        <v>256.5</v>
      </c>
      <c r="C348" s="2">
        <v>89.04</v>
      </c>
      <c r="D348" s="28">
        <v>0.05</v>
      </c>
      <c r="E348" t="str">
        <f t="shared" si="15"/>
        <v>Loss</v>
      </c>
      <c r="F348" t="str">
        <f t="shared" si="16"/>
        <v>Low</v>
      </c>
      <c r="G348" t="str">
        <f>VLOOKUP(A348,DataSet!$1:$1048576,5,FALSE)</f>
        <v>Arjun Verma</v>
      </c>
      <c r="H348" s="29">
        <f>INDEX(DataSet!B:B,MATCH('Advanced  Formulas'!A348,DataSet!A:A,0))</f>
        <v>45811</v>
      </c>
      <c r="I348" s="29">
        <f>INDEX(DataSet!C:C,MATCH('Advanced  Formulas'!A348,DataSet!A:A,0))</f>
        <v>46293</v>
      </c>
      <c r="J348" t="str">
        <f t="shared" si="17"/>
        <v>Review</v>
      </c>
      <c r="K348" s="10" t="str">
        <f>CONCATENATE(DataSet!E348,"-",DataSet!G348)</f>
        <v>Arjun Verma-Kolkata</v>
      </c>
    </row>
    <row r="349" spans="1:11">
      <c r="A349" t="str">
        <v>ORD-2026-00348</v>
      </c>
      <c r="B349" s="2">
        <v>15960</v>
      </c>
      <c r="C349" s="2">
        <v>5018.38</v>
      </c>
      <c r="D349" s="28">
        <v>0.05</v>
      </c>
      <c r="E349" t="str">
        <f t="shared" si="15"/>
        <v>Profit</v>
      </c>
      <c r="F349" t="str">
        <f t="shared" si="16"/>
        <v>High</v>
      </c>
      <c r="G349" t="str">
        <f>VLOOKUP(A349,DataSet!$1:$1048576,5,FALSE)</f>
        <v>Sara Panjwani</v>
      </c>
      <c r="H349" s="29">
        <f>INDEX(DataSet!B:B,MATCH('Advanced  Formulas'!A349,DataSet!A:A,0))</f>
        <v>46261</v>
      </c>
      <c r="I349" s="29">
        <f>INDEX(DataSet!C:C,MATCH('Advanced  Formulas'!A349,DataSet!A:A,0))</f>
        <v>46294</v>
      </c>
      <c r="J349" t="str">
        <f t="shared" si="17"/>
        <v>Good Order</v>
      </c>
      <c r="K349" s="10" t="str">
        <f>CONCATENATE(DataSet!E349,"-",DataSet!G349)</f>
        <v>Sara Panjwani-Indore</v>
      </c>
    </row>
    <row r="350" spans="1:11">
      <c r="A350" t="str">
        <v>ORD-2024-00349</v>
      </c>
      <c r="B350" s="2">
        <v>8800</v>
      </c>
      <c r="C350" s="2">
        <v>1361.69</v>
      </c>
      <c r="D350" s="28">
        <v>0</v>
      </c>
      <c r="E350" t="str">
        <f t="shared" si="15"/>
        <v>Profit</v>
      </c>
      <c r="F350" t="str">
        <f t="shared" si="16"/>
        <v>High</v>
      </c>
      <c r="G350" t="str">
        <f>VLOOKUP(A350,DataSet!$1:$1048576,5,FALSE)</f>
        <v>Yusuf Dave</v>
      </c>
      <c r="H350" s="29">
        <f>INDEX(DataSet!B:B,MATCH('Advanced  Formulas'!A350,DataSet!A:A,0))</f>
        <v>45558</v>
      </c>
      <c r="I350" s="29">
        <f>INDEX(DataSet!C:C,MATCH('Advanced  Formulas'!A350,DataSet!A:A,0))</f>
        <v>46295</v>
      </c>
      <c r="J350" t="str">
        <f t="shared" si="17"/>
        <v>Good Order</v>
      </c>
      <c r="K350" s="10" t="str">
        <f>CONCATENATE(DataSet!E350,"-",DataSet!G350)</f>
        <v>Yusuf Dave-Rajkot</v>
      </c>
    </row>
    <row r="351" spans="1:11">
      <c r="A351" t="str">
        <v>ORD-2026-00350</v>
      </c>
      <c r="B351" s="2">
        <v>2475</v>
      </c>
      <c r="C351" s="2">
        <v>868.59</v>
      </c>
      <c r="D351" s="28">
        <v>0.1</v>
      </c>
      <c r="E351" t="str">
        <f t="shared" si="15"/>
        <v>Profit</v>
      </c>
      <c r="F351" t="str">
        <f t="shared" si="16"/>
        <v>Low</v>
      </c>
      <c r="G351" t="str">
        <f>VLOOKUP(A351,DataSet!$1:$1048576,5,FALSE)</f>
        <v>Vivaan Mehta</v>
      </c>
      <c r="H351" s="29">
        <f>INDEX(DataSet!B:B,MATCH('Advanced  Formulas'!A351,DataSet!A:A,0))</f>
        <v>46202</v>
      </c>
      <c r="I351" s="29">
        <f>INDEX(DataSet!C:C,MATCH('Advanced  Formulas'!A351,DataSet!A:A,0))</f>
        <v>46296</v>
      </c>
      <c r="J351" t="str">
        <f t="shared" si="17"/>
        <v>Review</v>
      </c>
      <c r="K351" s="10" t="str">
        <f>CONCATENATE(DataSet!E351,"-",DataSet!G351)</f>
        <v>Vivaan Mehta-Delhi</v>
      </c>
    </row>
    <row r="352" spans="1:11">
      <c r="A352" t="str">
        <v>ORD-2025-00351</v>
      </c>
      <c r="B352" s="2">
        <v>1680</v>
      </c>
      <c r="C352" s="2">
        <v>509.22</v>
      </c>
      <c r="D352" s="28">
        <v>0.2</v>
      </c>
      <c r="E352" t="str">
        <f t="shared" si="15"/>
        <v>Profit</v>
      </c>
      <c r="F352" t="str">
        <f t="shared" si="16"/>
        <v>Low</v>
      </c>
      <c r="G352" t="str">
        <f>VLOOKUP(A352,DataSet!$1:$1048576,5,FALSE)</f>
        <v>Fatima Trivedi</v>
      </c>
      <c r="H352" s="29">
        <f>INDEX(DataSet!B:B,MATCH('Advanced  Formulas'!A352,DataSet!A:A,0))</f>
        <v>45711</v>
      </c>
      <c r="I352" s="29">
        <f>INDEX(DataSet!C:C,MATCH('Advanced  Formulas'!A352,DataSet!A:A,0))</f>
        <v>46297</v>
      </c>
      <c r="J352" t="str">
        <f t="shared" si="17"/>
        <v>Review</v>
      </c>
      <c r="K352" s="10" t="str">
        <f>CONCATENATE(DataSet!E352,"-",DataSet!G352)</f>
        <v>Fatima Trivedi-Indore</v>
      </c>
    </row>
    <row r="353" spans="1:11">
      <c r="A353" t="str">
        <v>ORD-2024-00352</v>
      </c>
      <c r="B353" s="2">
        <v>2750</v>
      </c>
      <c r="C353" s="2">
        <v>500.75</v>
      </c>
      <c r="D353" s="28">
        <v>0</v>
      </c>
      <c r="E353" t="str">
        <f t="shared" si="15"/>
        <v>Profit</v>
      </c>
      <c r="F353" t="str">
        <f t="shared" si="16"/>
        <v>Low</v>
      </c>
      <c r="G353" t="str">
        <f>VLOOKUP(A353,DataSet!$1:$1048576,5,FALSE)</f>
        <v>Yusuf Iyer</v>
      </c>
      <c r="H353" s="29">
        <f>INDEX(DataSet!B:B,MATCH('Advanced  Formulas'!A353,DataSet!A:A,0))</f>
        <v>45612</v>
      </c>
      <c r="I353" s="29">
        <f>INDEX(DataSet!C:C,MATCH('Advanced  Formulas'!A353,DataSet!A:A,0))</f>
        <v>46298</v>
      </c>
      <c r="J353" t="str">
        <f t="shared" si="17"/>
        <v>Review</v>
      </c>
      <c r="K353" s="10" t="str">
        <f>CONCATENATE(DataSet!E353,"-",DataSet!G353)</f>
        <v>Yusuf Iyer-Ahmedabad</v>
      </c>
    </row>
    <row r="354" spans="1:11">
      <c r="A354" t="str">
        <v>ORD-2026-00353</v>
      </c>
      <c r="B354" s="2">
        <v>5320</v>
      </c>
      <c r="C354" s="2">
        <v>1268.04</v>
      </c>
      <c r="D354" s="28">
        <v>0.2</v>
      </c>
      <c r="E354" t="str">
        <f t="shared" si="15"/>
        <v>Profit</v>
      </c>
      <c r="F354" t="str">
        <f t="shared" si="16"/>
        <v>Medium</v>
      </c>
      <c r="G354" t="str">
        <f>VLOOKUP(A354,DataSet!$1:$1048576,5,FALSE)</f>
        <v>Fatima Panjwani</v>
      </c>
      <c r="H354" s="29">
        <f>INDEX(DataSet!B:B,MATCH('Advanced  Formulas'!A354,DataSet!A:A,0))</f>
        <v>46096</v>
      </c>
      <c r="I354" s="29">
        <f>INDEX(DataSet!C:C,MATCH('Advanced  Formulas'!A354,DataSet!A:A,0))</f>
        <v>46299</v>
      </c>
      <c r="J354" t="str">
        <f t="shared" si="17"/>
        <v>Good Order</v>
      </c>
      <c r="K354" s="10" t="str">
        <f>CONCATENATE(DataSet!E354,"-",DataSet!G354)</f>
        <v>Fatima Panjwani-Hyderabad</v>
      </c>
    </row>
    <row r="355" spans="1:11">
      <c r="A355" t="str">
        <v>ORD-2025-00354</v>
      </c>
      <c r="B355" s="2">
        <v>21420</v>
      </c>
      <c r="C355" s="2">
        <v>6596.29</v>
      </c>
      <c r="D355" s="28">
        <v>0.15</v>
      </c>
      <c r="E355" t="str">
        <f t="shared" si="15"/>
        <v>Profit</v>
      </c>
      <c r="F355" t="str">
        <f t="shared" si="16"/>
        <v>High</v>
      </c>
      <c r="G355" t="str">
        <f>VLOOKUP(A355,DataSet!$1:$1048576,5,FALSE)</f>
        <v>Aarav Kapoor</v>
      </c>
      <c r="H355" s="29">
        <f>INDEX(DataSet!B:B,MATCH('Advanced  Formulas'!A355,DataSet!A:A,0))</f>
        <v>45838</v>
      </c>
      <c r="I355" s="29">
        <f>INDEX(DataSet!C:C,MATCH('Advanced  Formulas'!A355,DataSet!A:A,0))</f>
        <v>46300</v>
      </c>
      <c r="J355" t="str">
        <f t="shared" si="17"/>
        <v>Good Order</v>
      </c>
      <c r="K355" s="10" t="str">
        <f>CONCATENATE(DataSet!E355,"-",DataSet!G355)</f>
        <v>Aarav Kapoor-Chennai</v>
      </c>
    </row>
    <row r="356" spans="1:11">
      <c r="A356" t="str">
        <v>ORD-2024-00355</v>
      </c>
      <c r="B356" s="2">
        <v>8400</v>
      </c>
      <c r="C356" s="2">
        <v>2354.33</v>
      </c>
      <c r="D356" s="28">
        <v>0</v>
      </c>
      <c r="E356" t="str">
        <f t="shared" si="15"/>
        <v>Profit</v>
      </c>
      <c r="F356" t="str">
        <f t="shared" si="16"/>
        <v>High</v>
      </c>
      <c r="G356" t="str">
        <f>VLOOKUP(A356,DataSet!$1:$1048576,5,FALSE)</f>
        <v>Sara Mehta</v>
      </c>
      <c r="H356" s="29">
        <f>INDEX(DataSet!B:B,MATCH('Advanced  Formulas'!A356,DataSet!A:A,0))</f>
        <v>45523</v>
      </c>
      <c r="I356" s="29">
        <f>INDEX(DataSet!C:C,MATCH('Advanced  Formulas'!A356,DataSet!A:A,0))</f>
        <v>46301</v>
      </c>
      <c r="J356" t="str">
        <f t="shared" si="17"/>
        <v>Good Order</v>
      </c>
      <c r="K356" s="10" t="str">
        <f>CONCATENATE(DataSet!E356,"-",DataSet!G356)</f>
        <v>Sara Mehta-Indore</v>
      </c>
    </row>
    <row r="357" spans="1:11">
      <c r="A357" t="str">
        <v>ORD-2024-00356</v>
      </c>
      <c r="B357" s="2">
        <v>2137.5</v>
      </c>
      <c r="C357" s="2">
        <v>242.61</v>
      </c>
      <c r="D357" s="28">
        <v>0.05</v>
      </c>
      <c r="E357" t="str">
        <f t="shared" si="15"/>
        <v>Profit</v>
      </c>
      <c r="F357" t="str">
        <f t="shared" si="16"/>
        <v>Low</v>
      </c>
      <c r="G357" t="str">
        <f>VLOOKUP(A357,DataSet!$1:$1048576,5,FALSE)</f>
        <v>Zoya Iyer</v>
      </c>
      <c r="H357" s="29">
        <f>INDEX(DataSet!B:B,MATCH('Advanced  Formulas'!A357,DataSet!A:A,0))</f>
        <v>45597</v>
      </c>
      <c r="I357" s="29">
        <f>INDEX(DataSet!C:C,MATCH('Advanced  Formulas'!A357,DataSet!A:A,0))</f>
        <v>46302</v>
      </c>
      <c r="J357" t="str">
        <f t="shared" si="17"/>
        <v>Review</v>
      </c>
      <c r="K357" s="10" t="str">
        <f>CONCATENATE(DataSet!E357,"-",DataSet!G357)</f>
        <v>Zoya Iyer-Jaipur</v>
      </c>
    </row>
    <row r="358" spans="1:11">
      <c r="A358" t="str">
        <v>ORD-2026-00357</v>
      </c>
      <c r="B358" s="2">
        <v>3040</v>
      </c>
      <c r="C358" s="2">
        <v>285.55</v>
      </c>
      <c r="D358" s="28">
        <v>0.2</v>
      </c>
      <c r="E358" t="str">
        <f t="shared" si="15"/>
        <v>Profit</v>
      </c>
      <c r="F358" t="str">
        <f t="shared" si="16"/>
        <v>Medium</v>
      </c>
      <c r="G358" t="str">
        <f>VLOOKUP(A358,DataSet!$1:$1048576,5,FALSE)</f>
        <v>Aarav Dave</v>
      </c>
      <c r="H358" s="29">
        <f>INDEX(DataSet!B:B,MATCH('Advanced  Formulas'!A358,DataSet!A:A,0))</f>
        <v>46262</v>
      </c>
      <c r="I358" s="29">
        <f>INDEX(DataSet!C:C,MATCH('Advanced  Formulas'!A358,DataSet!A:A,0))</f>
        <v>46303</v>
      </c>
      <c r="J358" t="str">
        <f t="shared" si="17"/>
        <v>Good Order</v>
      </c>
      <c r="K358" s="10" t="str">
        <f>CONCATENATE(DataSet!E358,"-",DataSet!G358)</f>
        <v>Aarav Dave-Pune</v>
      </c>
    </row>
    <row r="359" spans="1:11">
      <c r="A359" t="str">
        <v>ORD-2024-00358</v>
      </c>
      <c r="B359" s="2">
        <v>2337.5</v>
      </c>
      <c r="C359" s="2">
        <v>456.95</v>
      </c>
      <c r="D359" s="28">
        <v>0.15</v>
      </c>
      <c r="E359" t="str">
        <f t="shared" si="15"/>
        <v>Profit</v>
      </c>
      <c r="F359" t="str">
        <f t="shared" si="16"/>
        <v>Low</v>
      </c>
      <c r="G359" t="str">
        <f>VLOOKUP(A359,DataSet!$1:$1048576,5,FALSE)</f>
        <v>Diya Kapoor</v>
      </c>
      <c r="H359" s="29">
        <f>INDEX(DataSet!B:B,MATCH('Advanced  Formulas'!A359,DataSet!A:A,0))</f>
        <v>45418</v>
      </c>
      <c r="I359" s="29">
        <f>INDEX(DataSet!C:C,MATCH('Advanced  Formulas'!A359,DataSet!A:A,0))</f>
        <v>46304</v>
      </c>
      <c r="J359" t="str">
        <f t="shared" si="17"/>
        <v>Review</v>
      </c>
      <c r="K359" s="10" t="str">
        <f>CONCATENATE(DataSet!E359,"-",DataSet!G359)</f>
        <v>Diya Kapoor-Chennai</v>
      </c>
    </row>
    <row r="360" spans="1:11">
      <c r="A360" t="str">
        <v>ORD-2024-00359</v>
      </c>
      <c r="B360" s="2">
        <v>11200</v>
      </c>
      <c r="C360" s="2">
        <v>2662.31</v>
      </c>
      <c r="D360" s="28">
        <v>0</v>
      </c>
      <c r="E360" t="str">
        <f t="shared" si="15"/>
        <v>Profit</v>
      </c>
      <c r="F360" t="str">
        <f t="shared" si="16"/>
        <v>High</v>
      </c>
      <c r="G360" t="str">
        <f>VLOOKUP(A360,DataSet!$1:$1048576,5,FALSE)</f>
        <v>Vivaan Desai</v>
      </c>
      <c r="H360" s="29">
        <f>INDEX(DataSet!B:B,MATCH('Advanced  Formulas'!A360,DataSet!A:A,0))</f>
        <v>45341</v>
      </c>
      <c r="I360" s="29">
        <f>INDEX(DataSet!C:C,MATCH('Advanced  Formulas'!A360,DataSet!A:A,0))</f>
        <v>46305</v>
      </c>
      <c r="J360" t="str">
        <f t="shared" si="17"/>
        <v>Good Order</v>
      </c>
      <c r="K360" s="10" t="str">
        <f>CONCATENATE(DataSet!E360,"-",DataSet!G360)</f>
        <v>Vivaan Desai-Bhavnagar</v>
      </c>
    </row>
    <row r="361" spans="1:11">
      <c r="A361" t="str">
        <v>ORD-2024-00360</v>
      </c>
      <c r="B361" s="2">
        <v>36125</v>
      </c>
      <c r="C361" s="2">
        <v>7226.27</v>
      </c>
      <c r="D361" s="28">
        <v>0.15</v>
      </c>
      <c r="E361" t="str">
        <f t="shared" si="15"/>
        <v>Profit</v>
      </c>
      <c r="F361" t="str">
        <f t="shared" si="16"/>
        <v>High</v>
      </c>
      <c r="G361" t="str">
        <f>VLOOKUP(A361,DataSet!$1:$1048576,5,FALSE)</f>
        <v>Aanya Rao</v>
      </c>
      <c r="H361" s="29">
        <f>INDEX(DataSet!B:B,MATCH('Advanced  Formulas'!A361,DataSet!A:A,0))</f>
        <v>45600</v>
      </c>
      <c r="I361" s="29">
        <f>INDEX(DataSet!C:C,MATCH('Advanced  Formulas'!A361,DataSet!A:A,0))</f>
        <v>46306</v>
      </c>
      <c r="J361" t="str">
        <f t="shared" si="17"/>
        <v>Good Order</v>
      </c>
      <c r="K361" s="10" t="str">
        <f>CONCATENATE(DataSet!E361,"-",DataSet!G361)</f>
        <v>Aanya Rao-Bengaluru</v>
      </c>
    </row>
    <row r="362" spans="1:11">
      <c r="A362" t="str">
        <v>ORD-2026-00361</v>
      </c>
      <c r="B362" s="2">
        <v>7560</v>
      </c>
      <c r="C362" s="2">
        <v>2368.94</v>
      </c>
      <c r="D362" s="28">
        <v>0.1</v>
      </c>
      <c r="E362" t="str">
        <f t="shared" si="15"/>
        <v>Profit</v>
      </c>
      <c r="F362" t="str">
        <f t="shared" si="16"/>
        <v>High</v>
      </c>
      <c r="G362" t="str">
        <f>VLOOKUP(A362,DataSet!$1:$1048576,5,FALSE)</f>
        <v>Arjun Rao</v>
      </c>
      <c r="H362" s="29">
        <f>INDEX(DataSet!B:B,MATCH('Advanced  Formulas'!A362,DataSet!A:A,0))</f>
        <v>46028</v>
      </c>
      <c r="I362" s="29">
        <f>INDEX(DataSet!C:C,MATCH('Advanced  Formulas'!A362,DataSet!A:A,0))</f>
        <v>46307</v>
      </c>
      <c r="J362" t="str">
        <f t="shared" si="17"/>
        <v>Good Order</v>
      </c>
      <c r="K362" s="10" t="str">
        <f>CONCATENATE(DataSet!E362,"-",DataSet!G362)</f>
        <v>Arjun Rao-Bhavnagar</v>
      </c>
    </row>
    <row r="363" spans="1:11">
      <c r="A363" t="str">
        <v>ORD-2025-00362</v>
      </c>
      <c r="B363" s="2">
        <v>5525</v>
      </c>
      <c r="C363" s="2">
        <v>1262.17</v>
      </c>
      <c r="D363" s="28">
        <v>0.15</v>
      </c>
      <c r="E363" t="str">
        <f t="shared" si="15"/>
        <v>Profit</v>
      </c>
      <c r="F363" t="str">
        <f t="shared" si="16"/>
        <v>Medium</v>
      </c>
      <c r="G363" t="str">
        <f>VLOOKUP(A363,DataSet!$1:$1048576,5,FALSE)</f>
        <v>Fatima Trivedi</v>
      </c>
      <c r="H363" s="29">
        <f>INDEX(DataSet!B:B,MATCH('Advanced  Formulas'!A363,DataSet!A:A,0))</f>
        <v>45658</v>
      </c>
      <c r="I363" s="29">
        <f>INDEX(DataSet!C:C,MATCH('Advanced  Formulas'!A363,DataSet!A:A,0))</f>
        <v>46308</v>
      </c>
      <c r="J363" t="str">
        <f t="shared" si="17"/>
        <v>Good Order</v>
      </c>
      <c r="K363" s="10" t="str">
        <f>CONCATENATE(DataSet!E363,"-",DataSet!G363)</f>
        <v>Fatima Trivedi-Pune</v>
      </c>
    </row>
    <row r="364" spans="1:11">
      <c r="A364" t="str">
        <v>ORD-2024-00363</v>
      </c>
      <c r="B364" s="2">
        <v>68000</v>
      </c>
      <c r="C364" s="2">
        <v>9053.7900000000009</v>
      </c>
      <c r="D364" s="28">
        <v>0</v>
      </c>
      <c r="E364" t="str">
        <f t="shared" si="15"/>
        <v>Profit</v>
      </c>
      <c r="F364" t="str">
        <f t="shared" si="16"/>
        <v>High</v>
      </c>
      <c r="G364" t="str">
        <f>VLOOKUP(A364,DataSet!$1:$1048576,5,FALSE)</f>
        <v>Dev Shah</v>
      </c>
      <c r="H364" s="29">
        <f>INDEX(DataSet!B:B,MATCH('Advanced  Formulas'!A364,DataSet!A:A,0))</f>
        <v>45305</v>
      </c>
      <c r="I364" s="29">
        <f>INDEX(DataSet!C:C,MATCH('Advanced  Formulas'!A364,DataSet!A:A,0))</f>
        <v>46309</v>
      </c>
      <c r="J364" t="str">
        <f t="shared" si="17"/>
        <v>Good Order</v>
      </c>
      <c r="K364" s="10" t="str">
        <f>CONCATENATE(DataSet!E364,"-",DataSet!G364)</f>
        <v>Dev Shah-Bhavnagar</v>
      </c>
    </row>
    <row r="365" spans="1:11">
      <c r="A365" t="str">
        <v>ORD-2026-00364</v>
      </c>
      <c r="B365" s="2">
        <v>712.5</v>
      </c>
      <c r="C365" s="2">
        <v>179.4</v>
      </c>
      <c r="D365" s="28">
        <v>0.05</v>
      </c>
      <c r="E365" t="str">
        <f t="shared" si="15"/>
        <v>Loss</v>
      </c>
      <c r="F365" t="str">
        <f t="shared" si="16"/>
        <v>Low</v>
      </c>
      <c r="G365" t="str">
        <f>VLOOKUP(A365,DataSet!$1:$1048576,5,FALSE)</f>
        <v>Isha Rao</v>
      </c>
      <c r="H365" s="29">
        <f>INDEX(DataSet!B:B,MATCH('Advanced  Formulas'!A365,DataSet!A:A,0))</f>
        <v>46218</v>
      </c>
      <c r="I365" s="29">
        <f>INDEX(DataSet!C:C,MATCH('Advanced  Formulas'!A365,DataSet!A:A,0))</f>
        <v>46310</v>
      </c>
      <c r="J365" t="str">
        <f t="shared" si="17"/>
        <v>Review</v>
      </c>
      <c r="K365" s="10" t="str">
        <f>CONCATENATE(DataSet!E365,"-",DataSet!G365)</f>
        <v>Isha Rao-Bengaluru</v>
      </c>
    </row>
    <row r="366" spans="1:11">
      <c r="A366" t="str">
        <v>ORD-2025-00365</v>
      </c>
      <c r="B366" s="2">
        <v>1500</v>
      </c>
      <c r="C366" s="2">
        <v>238.01</v>
      </c>
      <c r="D366" s="28">
        <v>0</v>
      </c>
      <c r="E366" t="str">
        <f t="shared" si="15"/>
        <v>Profit</v>
      </c>
      <c r="F366" t="str">
        <f t="shared" si="16"/>
        <v>Low</v>
      </c>
      <c r="G366" t="str">
        <f>VLOOKUP(A366,DataSet!$1:$1048576,5,FALSE)</f>
        <v>Diya Patel</v>
      </c>
      <c r="H366" s="29">
        <f>INDEX(DataSet!B:B,MATCH('Advanced  Formulas'!A366,DataSet!A:A,0))</f>
        <v>45660</v>
      </c>
      <c r="I366" s="29">
        <f>INDEX(DataSet!C:C,MATCH('Advanced  Formulas'!A366,DataSet!A:A,0))</f>
        <v>46311</v>
      </c>
      <c r="J366" t="str">
        <f t="shared" si="17"/>
        <v>Review</v>
      </c>
      <c r="K366" s="10" t="str">
        <f>CONCATENATE(DataSet!E366,"-",DataSet!G366)</f>
        <v>Diya Patel-Bengaluru</v>
      </c>
    </row>
    <row r="367" spans="1:11">
      <c r="A367" t="str">
        <v>ORD-2024-00366</v>
      </c>
      <c r="B367" s="2">
        <v>880</v>
      </c>
      <c r="C367" s="2">
        <v>286.73</v>
      </c>
      <c r="D367" s="28">
        <v>0.2</v>
      </c>
      <c r="E367" t="str">
        <f t="shared" si="15"/>
        <v>Profit</v>
      </c>
      <c r="F367" t="str">
        <f t="shared" si="16"/>
        <v>Low</v>
      </c>
      <c r="G367" t="str">
        <f>VLOOKUP(A367,DataSet!$1:$1048576,5,FALSE)</f>
        <v>Aditya Mehta</v>
      </c>
      <c r="H367" s="29">
        <f>INDEX(DataSet!B:B,MATCH('Advanced  Formulas'!A367,DataSet!A:A,0))</f>
        <v>45628</v>
      </c>
      <c r="I367" s="29">
        <f>INDEX(DataSet!C:C,MATCH('Advanced  Formulas'!A367,DataSet!A:A,0))</f>
        <v>46312</v>
      </c>
      <c r="J367" t="str">
        <f t="shared" si="17"/>
        <v>Review</v>
      </c>
      <c r="K367" s="10" t="str">
        <f>CONCATENATE(DataSet!E367,"-",DataSet!G367)</f>
        <v>Aditya Mehta-Indore</v>
      </c>
    </row>
    <row r="368" spans="1:11">
      <c r="A368" t="str">
        <v>ORD-2025-00367</v>
      </c>
      <c r="B368" s="2">
        <v>8960</v>
      </c>
      <c r="C368" s="2">
        <v>1071.69</v>
      </c>
      <c r="D368" s="28">
        <v>0.2</v>
      </c>
      <c r="E368" t="str">
        <f t="shared" si="15"/>
        <v>Profit</v>
      </c>
      <c r="F368" t="str">
        <f t="shared" si="16"/>
        <v>High</v>
      </c>
      <c r="G368" t="str">
        <f>VLOOKUP(A368,DataSet!$1:$1048576,5,FALSE)</f>
        <v>Anaya Mehta</v>
      </c>
      <c r="H368" s="29">
        <f>INDEX(DataSet!B:B,MATCH('Advanced  Formulas'!A368,DataSet!A:A,0))</f>
        <v>45701</v>
      </c>
      <c r="I368" s="29">
        <f>INDEX(DataSet!C:C,MATCH('Advanced  Formulas'!A368,DataSet!A:A,0))</f>
        <v>46313</v>
      </c>
      <c r="J368" t="str">
        <f t="shared" si="17"/>
        <v>Good Order</v>
      </c>
      <c r="K368" s="10" t="str">
        <f>CONCATENATE(DataSet!E368,"-",DataSet!G368)</f>
        <v>Anaya Mehta-Rajkot</v>
      </c>
    </row>
    <row r="369" spans="1:11">
      <c r="A369" t="str">
        <v>ORD-2026-00368</v>
      </c>
      <c r="B369" s="2">
        <v>3740</v>
      </c>
      <c r="C369" s="2">
        <v>677.38</v>
      </c>
      <c r="D369" s="28">
        <v>0.15</v>
      </c>
      <c r="E369" t="str">
        <f t="shared" si="15"/>
        <v>Profit</v>
      </c>
      <c r="F369" t="str">
        <f t="shared" si="16"/>
        <v>Medium</v>
      </c>
      <c r="G369" t="str">
        <f>VLOOKUP(A369,DataSet!$1:$1048576,5,FALSE)</f>
        <v>Meera Panjwani</v>
      </c>
      <c r="H369" s="29">
        <f>INDEX(DataSet!B:B,MATCH('Advanced  Formulas'!A369,DataSet!A:A,0))</f>
        <v>46257</v>
      </c>
      <c r="I369" s="29">
        <f>INDEX(DataSet!C:C,MATCH('Advanced  Formulas'!A369,DataSet!A:A,0))</f>
        <v>46314</v>
      </c>
      <c r="J369" t="str">
        <f t="shared" si="17"/>
        <v>Good Order</v>
      </c>
      <c r="K369" s="10" t="str">
        <f>CONCATENATE(DataSet!E369,"-",DataSet!G369)</f>
        <v>Meera Panjwani-Surat</v>
      </c>
    </row>
    <row r="370" spans="1:11">
      <c r="A370" t="str">
        <v>ORD-2024-00369</v>
      </c>
      <c r="B370" s="2">
        <v>1200</v>
      </c>
      <c r="C370" s="2">
        <v>179.07</v>
      </c>
      <c r="D370" s="28">
        <v>0</v>
      </c>
      <c r="E370" t="str">
        <f t="shared" si="15"/>
        <v>Loss</v>
      </c>
      <c r="F370" t="str">
        <f t="shared" si="16"/>
        <v>Low</v>
      </c>
      <c r="G370" t="str">
        <f>VLOOKUP(A370,DataSet!$1:$1048576,5,FALSE)</f>
        <v>Diya Shah</v>
      </c>
      <c r="H370" s="29">
        <f>INDEX(DataSet!B:B,MATCH('Advanced  Formulas'!A370,DataSet!A:A,0))</f>
        <v>45321</v>
      </c>
      <c r="I370" s="29">
        <f>INDEX(DataSet!C:C,MATCH('Advanced  Formulas'!A370,DataSet!A:A,0))</f>
        <v>46315</v>
      </c>
      <c r="J370" t="str">
        <f t="shared" si="17"/>
        <v>Review</v>
      </c>
      <c r="K370" s="10" t="str">
        <f>CONCATENATE(DataSet!E370,"-",DataSet!G370)</f>
        <v>Diya Shah-Bengaluru</v>
      </c>
    </row>
    <row r="371" spans="1:11">
      <c r="A371" t="str">
        <v>ORD-2024-00370</v>
      </c>
      <c r="B371" s="2">
        <v>576</v>
      </c>
      <c r="C371" s="2">
        <v>111.14</v>
      </c>
      <c r="D371" s="28">
        <v>0.1</v>
      </c>
      <c r="E371" t="str">
        <f t="shared" si="15"/>
        <v>Loss</v>
      </c>
      <c r="F371" t="str">
        <f t="shared" si="16"/>
        <v>Low</v>
      </c>
      <c r="G371" t="str">
        <f>VLOOKUP(A371,DataSet!$1:$1048576,5,FALSE)</f>
        <v>Fatima Trivedi</v>
      </c>
      <c r="H371" s="29">
        <f>INDEX(DataSet!B:B,MATCH('Advanced  Formulas'!A371,DataSet!A:A,0))</f>
        <v>45304</v>
      </c>
      <c r="I371" s="29">
        <f>INDEX(DataSet!C:C,MATCH('Advanced  Formulas'!A371,DataSet!A:A,0))</f>
        <v>46316</v>
      </c>
      <c r="J371" t="str">
        <f t="shared" si="17"/>
        <v>Review</v>
      </c>
      <c r="K371" s="10" t="str">
        <f>CONCATENATE(DataSet!E371,"-",DataSet!G371)</f>
        <v>Fatima Trivedi-Kolkata</v>
      </c>
    </row>
    <row r="372" spans="1:11">
      <c r="A372" t="str">
        <v>ORD-2024-00371</v>
      </c>
      <c r="B372" s="2">
        <v>1657.5</v>
      </c>
      <c r="C372" s="2">
        <v>226.75</v>
      </c>
      <c r="D372" s="28">
        <v>0.15</v>
      </c>
      <c r="E372" t="str">
        <f t="shared" si="15"/>
        <v>Profit</v>
      </c>
      <c r="F372" t="str">
        <f t="shared" si="16"/>
        <v>Low</v>
      </c>
      <c r="G372" t="str">
        <f>VLOOKUP(A372,DataSet!$1:$1048576,5,FALSE)</f>
        <v>Fatima Rao</v>
      </c>
      <c r="H372" s="29">
        <f>INDEX(DataSet!B:B,MATCH('Advanced  Formulas'!A372,DataSet!A:A,0))</f>
        <v>45444</v>
      </c>
      <c r="I372" s="29">
        <f>INDEX(DataSet!C:C,MATCH('Advanced  Formulas'!A372,DataSet!A:A,0))</f>
        <v>46317</v>
      </c>
      <c r="J372" t="str">
        <f t="shared" si="17"/>
        <v>Review</v>
      </c>
      <c r="K372" s="10" t="str">
        <f>CONCATENATE(DataSet!E372,"-",DataSet!G372)</f>
        <v>Fatima Rao-Kolkata</v>
      </c>
    </row>
    <row r="373" spans="1:11">
      <c r="A373" t="str">
        <v>ORD-2026-00372</v>
      </c>
      <c r="B373" s="2">
        <v>1600</v>
      </c>
      <c r="C373" s="2">
        <v>397.12</v>
      </c>
      <c r="D373" s="28">
        <v>0</v>
      </c>
      <c r="E373" t="str">
        <f t="shared" si="15"/>
        <v>Profit</v>
      </c>
      <c r="F373" t="str">
        <f t="shared" si="16"/>
        <v>Low</v>
      </c>
      <c r="G373" t="str">
        <f>VLOOKUP(A373,DataSet!$1:$1048576,5,FALSE)</f>
        <v>Krish Panjwani</v>
      </c>
      <c r="H373" s="29">
        <f>INDEX(DataSet!B:B,MATCH('Advanced  Formulas'!A373,DataSet!A:A,0))</f>
        <v>46061</v>
      </c>
      <c r="I373" s="29">
        <f>INDEX(DataSet!C:C,MATCH('Advanced  Formulas'!A373,DataSet!A:A,0))</f>
        <v>46318</v>
      </c>
      <c r="J373" t="str">
        <f t="shared" si="17"/>
        <v>Review</v>
      </c>
      <c r="K373" s="10" t="str">
        <f>CONCATENATE(DataSet!E373,"-",DataSet!G373)</f>
        <v>Krish Panjwani-Mumbai</v>
      </c>
    </row>
    <row r="374" spans="1:11">
      <c r="A374" t="str">
        <v>ORD-2025-00373</v>
      </c>
      <c r="B374" s="2">
        <v>7920</v>
      </c>
      <c r="C374" s="2">
        <v>2239.9699999999998</v>
      </c>
      <c r="D374" s="28">
        <v>0.1</v>
      </c>
      <c r="E374" t="str">
        <f t="shared" si="15"/>
        <v>Profit</v>
      </c>
      <c r="F374" t="str">
        <f t="shared" si="16"/>
        <v>High</v>
      </c>
      <c r="G374" t="str">
        <f>VLOOKUP(A374,DataSet!$1:$1048576,5,FALSE)</f>
        <v>Aarav Shah</v>
      </c>
      <c r="H374" s="29">
        <f>INDEX(DataSet!B:B,MATCH('Advanced  Formulas'!A374,DataSet!A:A,0))</f>
        <v>45762</v>
      </c>
      <c r="I374" s="29">
        <f>INDEX(DataSet!C:C,MATCH('Advanced  Formulas'!A374,DataSet!A:A,0))</f>
        <v>46319</v>
      </c>
      <c r="J374" t="str">
        <f t="shared" si="17"/>
        <v>Good Order</v>
      </c>
      <c r="K374" s="10" t="str">
        <f>CONCATENATE(DataSet!E374,"-",DataSet!G374)</f>
        <v>Aarav Shah-Hyderabad</v>
      </c>
    </row>
    <row r="375" spans="1:11">
      <c r="A375" t="str">
        <v>ORD-2024-00374</v>
      </c>
      <c r="B375" s="2">
        <v>2762.5</v>
      </c>
      <c r="C375" s="2">
        <v>583.70000000000005</v>
      </c>
      <c r="D375" s="28">
        <v>0.15</v>
      </c>
      <c r="E375" t="str">
        <f t="shared" si="15"/>
        <v>Profit</v>
      </c>
      <c r="F375" t="str">
        <f t="shared" si="16"/>
        <v>Low</v>
      </c>
      <c r="G375" t="str">
        <f>VLOOKUP(A375,DataSet!$1:$1048576,5,FALSE)</f>
        <v>Rohan Trivedi</v>
      </c>
      <c r="H375" s="29">
        <f>INDEX(DataSet!B:B,MATCH('Advanced  Formulas'!A375,DataSet!A:A,0))</f>
        <v>45328</v>
      </c>
      <c r="I375" s="29">
        <f>INDEX(DataSet!C:C,MATCH('Advanced  Formulas'!A375,DataSet!A:A,0))</f>
        <v>46320</v>
      </c>
      <c r="J375" t="str">
        <f t="shared" si="17"/>
        <v>Review</v>
      </c>
      <c r="K375" s="10" t="str">
        <f>CONCATENATE(DataSet!E375,"-",DataSet!G375)</f>
        <v>Rohan Trivedi-Delhi</v>
      </c>
    </row>
    <row r="376" spans="1:11">
      <c r="A376" t="str">
        <v>ORD-2026-00375</v>
      </c>
      <c r="B376" s="2">
        <v>12160</v>
      </c>
      <c r="C376" s="2">
        <v>2178.3000000000002</v>
      </c>
      <c r="D376" s="28">
        <v>0.2</v>
      </c>
      <c r="E376" t="str">
        <f t="shared" si="15"/>
        <v>Profit</v>
      </c>
      <c r="F376" t="str">
        <f t="shared" si="16"/>
        <v>High</v>
      </c>
      <c r="G376" t="str">
        <f>VLOOKUP(A376,DataSet!$1:$1048576,5,FALSE)</f>
        <v>Rohan Shah</v>
      </c>
      <c r="H376" s="29">
        <f>INDEX(DataSet!B:B,MATCH('Advanced  Formulas'!A376,DataSet!A:A,0))</f>
        <v>46128</v>
      </c>
      <c r="I376" s="29">
        <f>INDEX(DataSet!C:C,MATCH('Advanced  Formulas'!A376,DataSet!A:A,0))</f>
        <v>46321</v>
      </c>
      <c r="J376" t="str">
        <f t="shared" si="17"/>
        <v>Good Order</v>
      </c>
      <c r="K376" s="10" t="str">
        <f>CONCATENATE(DataSet!E376,"-",DataSet!G376)</f>
        <v>Rohan Shah-Kolkata</v>
      </c>
    </row>
    <row r="377" spans="1:11">
      <c r="A377" t="str">
        <v>ORD-2024-00376</v>
      </c>
      <c r="B377" s="2">
        <v>14880</v>
      </c>
      <c r="C377" s="2">
        <v>4796.66</v>
      </c>
      <c r="D377" s="28">
        <v>0.2</v>
      </c>
      <c r="E377" t="str">
        <f t="shared" si="15"/>
        <v>Profit</v>
      </c>
      <c r="F377" t="str">
        <f t="shared" si="16"/>
        <v>High</v>
      </c>
      <c r="G377" t="str">
        <f>VLOOKUP(A377,DataSet!$1:$1048576,5,FALSE)</f>
        <v>Isha Khan</v>
      </c>
      <c r="H377" s="29">
        <f>INDEX(DataSet!B:B,MATCH('Advanced  Formulas'!A377,DataSet!A:A,0))</f>
        <v>45294</v>
      </c>
      <c r="I377" s="29">
        <f>INDEX(DataSet!C:C,MATCH('Advanced  Formulas'!A377,DataSet!A:A,0))</f>
        <v>46322</v>
      </c>
      <c r="J377" t="str">
        <f t="shared" si="17"/>
        <v>Good Order</v>
      </c>
      <c r="K377" s="10" t="str">
        <f>CONCATENATE(DataSet!E377,"-",DataSet!G377)</f>
        <v>Isha Khan-Mumbai</v>
      </c>
    </row>
    <row r="378" spans="1:11">
      <c r="A378" t="str">
        <v>ORD-2024-00377</v>
      </c>
      <c r="B378" s="2">
        <v>216</v>
      </c>
      <c r="C378" s="2">
        <v>66.73</v>
      </c>
      <c r="D378" s="28">
        <v>0.1</v>
      </c>
      <c r="E378" t="str">
        <f t="shared" si="15"/>
        <v>Loss</v>
      </c>
      <c r="F378" t="str">
        <f t="shared" si="16"/>
        <v>Low</v>
      </c>
      <c r="G378" t="str">
        <f>VLOOKUP(A378,DataSet!$1:$1048576,5,FALSE)</f>
        <v>Reyansh Verma</v>
      </c>
      <c r="H378" s="29">
        <f>INDEX(DataSet!B:B,MATCH('Advanced  Formulas'!A378,DataSet!A:A,0))</f>
        <v>45401</v>
      </c>
      <c r="I378" s="29">
        <f>INDEX(DataSet!C:C,MATCH('Advanced  Formulas'!A378,DataSet!A:A,0))</f>
        <v>46323</v>
      </c>
      <c r="J378" t="str">
        <f t="shared" si="17"/>
        <v>Review</v>
      </c>
      <c r="K378" s="10" t="str">
        <f>CONCATENATE(DataSet!E378,"-",DataSet!G378)</f>
        <v>Reyansh Verma-Lucknow</v>
      </c>
    </row>
    <row r="379" spans="1:11">
      <c r="A379" t="str">
        <v>ORD-2026-00378</v>
      </c>
      <c r="B379" s="2">
        <v>3520</v>
      </c>
      <c r="C379" s="2">
        <v>692.66</v>
      </c>
      <c r="D379" s="28">
        <v>0.2</v>
      </c>
      <c r="E379" t="str">
        <f t="shared" si="15"/>
        <v>Profit</v>
      </c>
      <c r="F379" t="str">
        <f t="shared" si="16"/>
        <v>Medium</v>
      </c>
      <c r="G379" t="str">
        <f>VLOOKUP(A379,DataSet!$1:$1048576,5,FALSE)</f>
        <v>Vivaan Khan</v>
      </c>
      <c r="H379" s="29">
        <f>INDEX(DataSet!B:B,MATCH('Advanced  Formulas'!A379,DataSet!A:A,0))</f>
        <v>46067</v>
      </c>
      <c r="I379" s="29">
        <f>INDEX(DataSet!C:C,MATCH('Advanced  Formulas'!A379,DataSet!A:A,0))</f>
        <v>46324</v>
      </c>
      <c r="J379" t="str">
        <f t="shared" si="17"/>
        <v>Good Order</v>
      </c>
      <c r="K379" s="10" t="str">
        <f>CONCATENATE(DataSet!E379,"-",DataSet!G379)</f>
        <v>Vivaan Khan-Ahmedabad</v>
      </c>
    </row>
    <row r="380" spans="1:11">
      <c r="A380" t="str">
        <v>ORD-2026-00379</v>
      </c>
      <c r="B380" s="2">
        <v>1496</v>
      </c>
      <c r="C380" s="2">
        <v>231.01</v>
      </c>
      <c r="D380" s="28">
        <v>0.15</v>
      </c>
      <c r="E380" t="str">
        <f t="shared" si="15"/>
        <v>Profit</v>
      </c>
      <c r="F380" t="str">
        <f t="shared" si="16"/>
        <v>Low</v>
      </c>
      <c r="G380" t="str">
        <f>VLOOKUP(A380,DataSet!$1:$1048576,5,FALSE)</f>
        <v>Isha Verma</v>
      </c>
      <c r="H380" s="29">
        <f>INDEX(DataSet!B:B,MATCH('Advanced  Formulas'!A380,DataSet!A:A,0))</f>
        <v>46045</v>
      </c>
      <c r="I380" s="29">
        <f>INDEX(DataSet!C:C,MATCH('Advanced  Formulas'!A380,DataSet!A:A,0))</f>
        <v>46325</v>
      </c>
      <c r="J380" t="str">
        <f t="shared" si="17"/>
        <v>Review</v>
      </c>
      <c r="K380" s="10" t="str">
        <f>CONCATENATE(DataSet!E380,"-",DataSet!G380)</f>
        <v>Isha Verma-Delhi</v>
      </c>
    </row>
    <row r="381" spans="1:11">
      <c r="A381" t="str">
        <v>ORD-2026-00380</v>
      </c>
      <c r="B381" s="2">
        <v>2805</v>
      </c>
      <c r="C381" s="2">
        <v>359.99</v>
      </c>
      <c r="D381" s="28">
        <v>0.15</v>
      </c>
      <c r="E381" t="str">
        <f t="shared" si="15"/>
        <v>Profit</v>
      </c>
      <c r="F381" t="str">
        <f t="shared" si="16"/>
        <v>Low</v>
      </c>
      <c r="G381" t="str">
        <f>VLOOKUP(A381,DataSet!$1:$1048576,5,FALSE)</f>
        <v>Meera Sheikh</v>
      </c>
      <c r="H381" s="29">
        <f>INDEX(DataSet!B:B,MATCH('Advanced  Formulas'!A381,DataSet!A:A,0))</f>
        <v>46040</v>
      </c>
      <c r="I381" s="29">
        <f>INDEX(DataSet!C:C,MATCH('Advanced  Formulas'!A381,DataSet!A:A,0))</f>
        <v>46326</v>
      </c>
      <c r="J381" t="str">
        <f t="shared" si="17"/>
        <v>Review</v>
      </c>
      <c r="K381" s="10" t="str">
        <f>CONCATENATE(DataSet!E381,"-",DataSet!G381)</f>
        <v>Meera Sheikh-Surat</v>
      </c>
    </row>
    <row r="382" spans="1:11">
      <c r="A382" t="str">
        <v>ORD-2024-00381</v>
      </c>
      <c r="B382" s="2">
        <v>2250</v>
      </c>
      <c r="C382" s="2">
        <v>613.54</v>
      </c>
      <c r="D382" s="28">
        <v>0</v>
      </c>
      <c r="E382" t="str">
        <f t="shared" si="15"/>
        <v>Profit</v>
      </c>
      <c r="F382" t="str">
        <f t="shared" si="16"/>
        <v>Low</v>
      </c>
      <c r="G382" t="str">
        <f>VLOOKUP(A382,DataSet!$1:$1048576,5,FALSE)</f>
        <v>Dev Joshi</v>
      </c>
      <c r="H382" s="29">
        <f>INDEX(DataSet!B:B,MATCH('Advanced  Formulas'!A382,DataSet!A:A,0))</f>
        <v>45572</v>
      </c>
      <c r="I382" s="29">
        <f>INDEX(DataSet!C:C,MATCH('Advanced  Formulas'!A382,DataSet!A:A,0))</f>
        <v>46327</v>
      </c>
      <c r="J382" t="str">
        <f t="shared" si="17"/>
        <v>Review</v>
      </c>
      <c r="K382" s="10" t="str">
        <f>CONCATENATE(DataSet!E382,"-",DataSet!G382)</f>
        <v>Dev Joshi-Mumbai</v>
      </c>
    </row>
    <row r="383" spans="1:11">
      <c r="A383" t="str">
        <v>ORD-2026-00382</v>
      </c>
      <c r="B383" s="2">
        <v>408</v>
      </c>
      <c r="C383" s="2">
        <v>70.08</v>
      </c>
      <c r="D383" s="28">
        <v>0.15</v>
      </c>
      <c r="E383" t="str">
        <f t="shared" si="15"/>
        <v>Loss</v>
      </c>
      <c r="F383" t="str">
        <f t="shared" si="16"/>
        <v>Low</v>
      </c>
      <c r="G383" t="str">
        <f>VLOOKUP(A383,DataSet!$1:$1048576,5,FALSE)</f>
        <v>Zoya Sheikh</v>
      </c>
      <c r="H383" s="29">
        <f>INDEX(DataSet!B:B,MATCH('Advanced  Formulas'!A383,DataSet!A:A,0))</f>
        <v>46173</v>
      </c>
      <c r="I383" s="29">
        <f>INDEX(DataSet!C:C,MATCH('Advanced  Formulas'!A383,DataSet!A:A,0))</f>
        <v>46328</v>
      </c>
      <c r="J383" t="str">
        <f t="shared" si="17"/>
        <v>Review</v>
      </c>
      <c r="K383" s="10" t="str">
        <f>CONCATENATE(DataSet!E383,"-",DataSet!G383)</f>
        <v>Zoya Sheikh-Chennai</v>
      </c>
    </row>
    <row r="384" spans="1:11">
      <c r="A384" t="str">
        <v>ORD-2025-00383</v>
      </c>
      <c r="B384" s="2">
        <v>21420</v>
      </c>
      <c r="C384" s="2">
        <v>4982.37</v>
      </c>
      <c r="D384" s="28">
        <v>0.15</v>
      </c>
      <c r="E384" t="str">
        <f t="shared" si="15"/>
        <v>Profit</v>
      </c>
      <c r="F384" t="str">
        <f t="shared" si="16"/>
        <v>High</v>
      </c>
      <c r="G384" t="str">
        <f>VLOOKUP(A384,DataSet!$1:$1048576,5,FALSE)</f>
        <v>Aanya Kapoor</v>
      </c>
      <c r="H384" s="29">
        <f>INDEX(DataSet!B:B,MATCH('Advanced  Formulas'!A384,DataSet!A:A,0))</f>
        <v>46019</v>
      </c>
      <c r="I384" s="29">
        <f>INDEX(DataSet!C:C,MATCH('Advanced  Formulas'!A384,DataSet!A:A,0))</f>
        <v>46329</v>
      </c>
      <c r="J384" t="str">
        <f t="shared" si="17"/>
        <v>Good Order</v>
      </c>
      <c r="K384" s="10" t="str">
        <f>CONCATENATE(DataSet!E384,"-",DataSet!G384)</f>
        <v>Aanya Kapoor-Surat</v>
      </c>
    </row>
    <row r="385" spans="1:11">
      <c r="A385" t="str">
        <v>ORD-2024-00384</v>
      </c>
      <c r="B385" s="2">
        <v>17000</v>
      </c>
      <c r="C385" s="2">
        <v>4776.55</v>
      </c>
      <c r="D385" s="28">
        <v>0</v>
      </c>
      <c r="E385" t="str">
        <f t="shared" si="15"/>
        <v>Profit</v>
      </c>
      <c r="F385" t="str">
        <f t="shared" si="16"/>
        <v>High</v>
      </c>
      <c r="G385" t="str">
        <f>VLOOKUP(A385,DataSet!$1:$1048576,5,FALSE)</f>
        <v>Diya Desai</v>
      </c>
      <c r="H385" s="29">
        <f>INDEX(DataSet!B:B,MATCH('Advanced  Formulas'!A385,DataSet!A:A,0))</f>
        <v>45584</v>
      </c>
      <c r="I385" s="29">
        <f>INDEX(DataSet!C:C,MATCH('Advanced  Formulas'!A385,DataSet!A:A,0))</f>
        <v>46330</v>
      </c>
      <c r="J385" t="str">
        <f t="shared" si="17"/>
        <v>Good Order</v>
      </c>
      <c r="K385" s="10" t="str">
        <f>CONCATENATE(DataSet!E385,"-",DataSet!G385)</f>
        <v>Diya Desai-Pune</v>
      </c>
    </row>
    <row r="386" spans="1:11">
      <c r="A386" t="str">
        <v>ORD-2024-00385</v>
      </c>
      <c r="B386" s="2">
        <v>900</v>
      </c>
      <c r="C386" s="2">
        <v>165.66</v>
      </c>
      <c r="D386" s="28">
        <v>0</v>
      </c>
      <c r="E386" t="str">
        <f t="shared" si="15"/>
        <v>Loss</v>
      </c>
      <c r="F386" t="str">
        <f t="shared" si="16"/>
        <v>Low</v>
      </c>
      <c r="G386" t="str">
        <f>VLOOKUP(A386,DataSet!$1:$1048576,5,FALSE)</f>
        <v>Zoya Rao</v>
      </c>
      <c r="H386" s="29">
        <f>INDEX(DataSet!B:B,MATCH('Advanced  Formulas'!A386,DataSet!A:A,0))</f>
        <v>45585</v>
      </c>
      <c r="I386" s="29">
        <f>INDEX(DataSet!C:C,MATCH('Advanced  Formulas'!A386,DataSet!A:A,0))</f>
        <v>46331</v>
      </c>
      <c r="J386" t="str">
        <f t="shared" si="17"/>
        <v>Review</v>
      </c>
      <c r="K386" s="10" t="str">
        <f>CONCATENATE(DataSet!E386,"-",DataSet!G386)</f>
        <v>Zoya Rao-Rajkot</v>
      </c>
    </row>
    <row r="387" spans="1:11">
      <c r="A387" t="str">
        <v>ORD-2025-00386</v>
      </c>
      <c r="B387" s="2">
        <v>630</v>
      </c>
      <c r="C387" s="2">
        <v>155.71</v>
      </c>
      <c r="D387" s="28">
        <v>0</v>
      </c>
      <c r="E387" t="str">
        <f t="shared" ref="E387:E450" si="18">IF(C387&gt;200,"Profit","Loss")</f>
        <v>Loss</v>
      </c>
      <c r="F387" t="str">
        <f t="shared" ref="F387:F450" si="19">IF(B387&gt;6000,"High",IF(B387&gt;=3000,"Medium",IF(B387&lt;3000,"Low")))</f>
        <v>Low</v>
      </c>
      <c r="G387" t="str">
        <f>VLOOKUP(A387,DataSet!$1:$1048576,5,FALSE)</f>
        <v>Sara Verma</v>
      </c>
      <c r="H387" s="29">
        <f>INDEX(DataSet!B:B,MATCH('Advanced  Formulas'!A387,DataSet!A:A,0))</f>
        <v>45922</v>
      </c>
      <c r="I387" s="29">
        <f>INDEX(DataSet!C:C,MATCH('Advanced  Formulas'!A387,DataSet!A:A,0))</f>
        <v>46332</v>
      </c>
      <c r="J387" t="str">
        <f t="shared" ref="J387:J450" si="20">IF(AND(B387&gt;3000,C387&gt;0),"Good Order","Review")</f>
        <v>Review</v>
      </c>
      <c r="K387" s="10" t="str">
        <f>CONCATENATE(DataSet!E387,"-",DataSet!G387)</f>
        <v>Sara Verma-Bengaluru</v>
      </c>
    </row>
    <row r="388" spans="1:11">
      <c r="A388" t="str">
        <v>ORD-2026-00387</v>
      </c>
      <c r="B388" s="2">
        <v>1900</v>
      </c>
      <c r="C388" s="2">
        <v>354.63</v>
      </c>
      <c r="D388" s="28">
        <v>0</v>
      </c>
      <c r="E388" t="str">
        <f t="shared" si="18"/>
        <v>Profit</v>
      </c>
      <c r="F388" t="str">
        <f t="shared" si="19"/>
        <v>Low</v>
      </c>
      <c r="G388" t="str">
        <f>VLOOKUP(A388,DataSet!$1:$1048576,5,FALSE)</f>
        <v>Meera Rao</v>
      </c>
      <c r="H388" s="29">
        <f>INDEX(DataSet!B:B,MATCH('Advanced  Formulas'!A388,DataSet!A:A,0))</f>
        <v>46240</v>
      </c>
      <c r="I388" s="29">
        <f>INDEX(DataSet!C:C,MATCH('Advanced  Formulas'!A388,DataSet!A:A,0))</f>
        <v>46333</v>
      </c>
      <c r="J388" t="str">
        <f t="shared" si="20"/>
        <v>Review</v>
      </c>
      <c r="K388" s="10" t="str">
        <f>CONCATENATE(DataSet!E388,"-",DataSet!G388)</f>
        <v>Meera Rao-Pune</v>
      </c>
    </row>
    <row r="389" spans="1:11">
      <c r="A389" t="str">
        <v>ORD-2026-00388</v>
      </c>
      <c r="B389" s="2">
        <v>9920</v>
      </c>
      <c r="C389" s="2">
        <v>984.9</v>
      </c>
      <c r="D389" s="28">
        <v>0.2</v>
      </c>
      <c r="E389" t="str">
        <f t="shared" si="18"/>
        <v>Profit</v>
      </c>
      <c r="F389" t="str">
        <f t="shared" si="19"/>
        <v>High</v>
      </c>
      <c r="G389" t="str">
        <f>VLOOKUP(A389,DataSet!$1:$1048576,5,FALSE)</f>
        <v>Rohan Mehta</v>
      </c>
      <c r="H389" s="29">
        <f>INDEX(DataSet!B:B,MATCH('Advanced  Formulas'!A389,DataSet!A:A,0))</f>
        <v>46225</v>
      </c>
      <c r="I389" s="29">
        <f>INDEX(DataSet!C:C,MATCH('Advanced  Formulas'!A389,DataSet!A:A,0))</f>
        <v>46334</v>
      </c>
      <c r="J389" t="str">
        <f t="shared" si="20"/>
        <v>Good Order</v>
      </c>
      <c r="K389" s="10" t="str">
        <f>CONCATENATE(DataSet!E389,"-",DataSet!G389)</f>
        <v>Rohan Mehta-Chennai</v>
      </c>
    </row>
    <row r="390" spans="1:11">
      <c r="A390" t="str">
        <v>ORD-2024-00389</v>
      </c>
      <c r="B390" s="2">
        <v>495</v>
      </c>
      <c r="C390" s="2">
        <v>144.75</v>
      </c>
      <c r="D390" s="28">
        <v>0.1</v>
      </c>
      <c r="E390" t="str">
        <f t="shared" si="18"/>
        <v>Loss</v>
      </c>
      <c r="F390" t="str">
        <f t="shared" si="19"/>
        <v>Low</v>
      </c>
      <c r="G390" t="str">
        <f>VLOOKUP(A390,DataSet!$1:$1048576,5,FALSE)</f>
        <v>Vivaan Mehta</v>
      </c>
      <c r="H390" s="29">
        <f>INDEX(DataSet!B:B,MATCH('Advanced  Formulas'!A390,DataSet!A:A,0))</f>
        <v>45483</v>
      </c>
      <c r="I390" s="29">
        <f>INDEX(DataSet!C:C,MATCH('Advanced  Formulas'!A390,DataSet!A:A,0))</f>
        <v>46335</v>
      </c>
      <c r="J390" t="str">
        <f t="shared" si="20"/>
        <v>Review</v>
      </c>
      <c r="K390" s="10" t="str">
        <f>CONCATENATE(DataSet!E390,"-",DataSet!G390)</f>
        <v>Vivaan Mehta-Chennai</v>
      </c>
    </row>
    <row r="391" spans="1:11">
      <c r="A391" t="str">
        <v>ORD-2024-00390</v>
      </c>
      <c r="B391" s="2">
        <v>513</v>
      </c>
      <c r="C391" s="2">
        <v>111.48</v>
      </c>
      <c r="D391" s="28">
        <v>0.05</v>
      </c>
      <c r="E391" t="str">
        <f t="shared" si="18"/>
        <v>Loss</v>
      </c>
      <c r="F391" t="str">
        <f t="shared" si="19"/>
        <v>Low</v>
      </c>
      <c r="G391" t="str">
        <f>VLOOKUP(A391,DataSet!$1:$1048576,5,FALSE)</f>
        <v>Meera Rao</v>
      </c>
      <c r="H391" s="29">
        <f>INDEX(DataSet!B:B,MATCH('Advanced  Formulas'!A391,DataSet!A:A,0))</f>
        <v>45297</v>
      </c>
      <c r="I391" s="29">
        <f>INDEX(DataSet!C:C,MATCH('Advanced  Formulas'!A391,DataSet!A:A,0))</f>
        <v>46336</v>
      </c>
      <c r="J391" t="str">
        <f t="shared" si="20"/>
        <v>Review</v>
      </c>
      <c r="K391" s="10" t="str">
        <f>CONCATENATE(DataSet!E391,"-",DataSet!G391)</f>
        <v>Meera Rao-Jaipur</v>
      </c>
    </row>
    <row r="392" spans="1:11">
      <c r="A392" t="str">
        <v>ORD-2025-00391</v>
      </c>
      <c r="B392" s="2">
        <v>21420</v>
      </c>
      <c r="C392" s="2">
        <v>6432.64</v>
      </c>
      <c r="D392" s="28">
        <v>0.15</v>
      </c>
      <c r="E392" t="str">
        <f t="shared" si="18"/>
        <v>Profit</v>
      </c>
      <c r="F392" t="str">
        <f t="shared" si="19"/>
        <v>High</v>
      </c>
      <c r="G392" t="str">
        <f>VLOOKUP(A392,DataSet!$1:$1048576,5,FALSE)</f>
        <v>Dev Shah</v>
      </c>
      <c r="H392" s="29">
        <f>INDEX(DataSet!B:B,MATCH('Advanced  Formulas'!A392,DataSet!A:A,0))</f>
        <v>45794</v>
      </c>
      <c r="I392" s="29">
        <f>INDEX(DataSet!C:C,MATCH('Advanced  Formulas'!A392,DataSet!A:A,0))</f>
        <v>46337</v>
      </c>
      <c r="J392" t="str">
        <f t="shared" si="20"/>
        <v>Good Order</v>
      </c>
      <c r="K392" s="10" t="str">
        <f>CONCATENATE(DataSet!E392,"-",DataSet!G392)</f>
        <v>Dev Shah-Lucknow</v>
      </c>
    </row>
    <row r="393" spans="1:11">
      <c r="A393" t="str">
        <v>ORD-2025-00392</v>
      </c>
      <c r="B393" s="2">
        <v>6600</v>
      </c>
      <c r="C393" s="2">
        <v>992.09</v>
      </c>
      <c r="D393" s="28">
        <v>0</v>
      </c>
      <c r="E393" t="str">
        <f t="shared" si="18"/>
        <v>Profit</v>
      </c>
      <c r="F393" t="str">
        <f t="shared" si="19"/>
        <v>High</v>
      </c>
      <c r="G393" t="str">
        <f>VLOOKUP(A393,DataSet!$1:$1048576,5,FALSE)</f>
        <v>Aditya Trivedi</v>
      </c>
      <c r="H393" s="29">
        <f>INDEX(DataSet!B:B,MATCH('Advanced  Formulas'!A393,DataSet!A:A,0))</f>
        <v>45717</v>
      </c>
      <c r="I393" s="29">
        <f>INDEX(DataSet!C:C,MATCH('Advanced  Formulas'!A393,DataSet!A:A,0))</f>
        <v>46338</v>
      </c>
      <c r="J393" t="str">
        <f t="shared" si="20"/>
        <v>Good Order</v>
      </c>
      <c r="K393" s="10" t="str">
        <f>CONCATENATE(DataSet!E393,"-",DataSet!G393)</f>
        <v>Aditya Trivedi-Delhi</v>
      </c>
    </row>
    <row r="394" spans="1:11">
      <c r="A394" t="str">
        <v>ORD-2024-00393</v>
      </c>
      <c r="B394" s="2">
        <v>220</v>
      </c>
      <c r="C394" s="2">
        <v>45.34</v>
      </c>
      <c r="D394" s="28">
        <v>0</v>
      </c>
      <c r="E394" t="str">
        <f t="shared" si="18"/>
        <v>Loss</v>
      </c>
      <c r="F394" t="str">
        <f t="shared" si="19"/>
        <v>Low</v>
      </c>
      <c r="G394" t="str">
        <f>VLOOKUP(A394,DataSet!$1:$1048576,5,FALSE)</f>
        <v>Myra Sheikh</v>
      </c>
      <c r="H394" s="29">
        <f>INDEX(DataSet!B:B,MATCH('Advanced  Formulas'!A394,DataSet!A:A,0))</f>
        <v>45515</v>
      </c>
      <c r="I394" s="29">
        <f>INDEX(DataSet!C:C,MATCH('Advanced  Formulas'!A394,DataSet!A:A,0))</f>
        <v>46339</v>
      </c>
      <c r="J394" t="str">
        <f t="shared" si="20"/>
        <v>Review</v>
      </c>
      <c r="K394" s="10" t="str">
        <f>CONCATENATE(DataSet!E394,"-",DataSet!G394)</f>
        <v>Myra Sheikh-Lucknow</v>
      </c>
    </row>
    <row r="395" spans="1:11">
      <c r="A395" t="str">
        <v>ORD-2026-00394</v>
      </c>
      <c r="B395" s="2">
        <v>10150</v>
      </c>
      <c r="C395" s="2">
        <v>2838.67</v>
      </c>
      <c r="D395" s="28">
        <v>0</v>
      </c>
      <c r="E395" t="str">
        <f t="shared" si="18"/>
        <v>Profit</v>
      </c>
      <c r="F395" t="str">
        <f t="shared" si="19"/>
        <v>High</v>
      </c>
      <c r="G395" t="str">
        <f>VLOOKUP(A395,DataSet!$1:$1048576,5,FALSE)</f>
        <v>Sara Patel</v>
      </c>
      <c r="H395" s="29">
        <f>INDEX(DataSet!B:B,MATCH('Advanced  Formulas'!A395,DataSet!A:A,0))</f>
        <v>46232</v>
      </c>
      <c r="I395" s="29">
        <f>INDEX(DataSet!C:C,MATCH('Advanced  Formulas'!A395,DataSet!A:A,0))</f>
        <v>46340</v>
      </c>
      <c r="J395" t="str">
        <f t="shared" si="20"/>
        <v>Good Order</v>
      </c>
      <c r="K395" s="10" t="str">
        <f>CONCATENATE(DataSet!E395,"-",DataSet!G395)</f>
        <v>Sara Patel-Vadodara</v>
      </c>
    </row>
    <row r="396" spans="1:11">
      <c r="A396" t="str">
        <v>ORD-2025-00395</v>
      </c>
      <c r="B396" s="2">
        <v>1520</v>
      </c>
      <c r="C396" s="2">
        <v>211.2</v>
      </c>
      <c r="D396" s="28">
        <v>0.05</v>
      </c>
      <c r="E396" t="str">
        <f t="shared" si="18"/>
        <v>Profit</v>
      </c>
      <c r="F396" t="str">
        <f t="shared" si="19"/>
        <v>Low</v>
      </c>
      <c r="G396" t="str">
        <f>VLOOKUP(A396,DataSet!$1:$1048576,5,FALSE)</f>
        <v>Aditya Soni</v>
      </c>
      <c r="H396" s="29">
        <f>INDEX(DataSet!B:B,MATCH('Advanced  Formulas'!A396,DataSet!A:A,0))</f>
        <v>45818</v>
      </c>
      <c r="I396" s="29">
        <f>INDEX(DataSet!C:C,MATCH('Advanced  Formulas'!A396,DataSet!A:A,0))</f>
        <v>46341</v>
      </c>
      <c r="J396" t="str">
        <f t="shared" si="20"/>
        <v>Review</v>
      </c>
      <c r="K396" s="10" t="str">
        <f>CONCATENATE(DataSet!E396,"-",DataSet!G396)</f>
        <v>Aditya Soni-Delhi</v>
      </c>
    </row>
    <row r="397" spans="1:11">
      <c r="A397" t="str">
        <v>ORD-2024-00396</v>
      </c>
      <c r="B397" s="2">
        <v>2080</v>
      </c>
      <c r="C397" s="2">
        <v>387.56</v>
      </c>
      <c r="D397" s="28">
        <v>0.2</v>
      </c>
      <c r="E397" t="str">
        <f t="shared" si="18"/>
        <v>Profit</v>
      </c>
      <c r="F397" t="str">
        <f t="shared" si="19"/>
        <v>Low</v>
      </c>
      <c r="G397" t="str">
        <f>VLOOKUP(A397,DataSet!$1:$1048576,5,FALSE)</f>
        <v>Aanya Rao</v>
      </c>
      <c r="H397" s="29">
        <f>INDEX(DataSet!B:B,MATCH('Advanced  Formulas'!A397,DataSet!A:A,0))</f>
        <v>45463</v>
      </c>
      <c r="I397" s="29">
        <f>INDEX(DataSet!C:C,MATCH('Advanced  Formulas'!A397,DataSet!A:A,0))</f>
        <v>46342</v>
      </c>
      <c r="J397" t="str">
        <f t="shared" si="20"/>
        <v>Review</v>
      </c>
      <c r="K397" s="10" t="str">
        <f>CONCATENATE(DataSet!E397,"-",DataSet!G397)</f>
        <v>Aanya Rao-Delhi</v>
      </c>
    </row>
    <row r="398" spans="1:11">
      <c r="A398" t="str">
        <v>ORD-2025-00397</v>
      </c>
      <c r="B398" s="2">
        <v>3300</v>
      </c>
      <c r="C398" s="2">
        <v>859.98</v>
      </c>
      <c r="D398" s="28">
        <v>0</v>
      </c>
      <c r="E398" t="str">
        <f t="shared" si="18"/>
        <v>Profit</v>
      </c>
      <c r="F398" t="str">
        <f t="shared" si="19"/>
        <v>Medium</v>
      </c>
      <c r="G398" t="str">
        <f>VLOOKUP(A398,DataSet!$1:$1048576,5,FALSE)</f>
        <v>Diya Shah</v>
      </c>
      <c r="H398" s="29">
        <f>INDEX(DataSet!B:B,MATCH('Advanced  Formulas'!A398,DataSet!A:A,0))</f>
        <v>45842</v>
      </c>
      <c r="I398" s="29">
        <f>INDEX(DataSet!C:C,MATCH('Advanced  Formulas'!A398,DataSet!A:A,0))</f>
        <v>46343</v>
      </c>
      <c r="J398" t="str">
        <f t="shared" si="20"/>
        <v>Good Order</v>
      </c>
      <c r="K398" s="10" t="str">
        <f>CONCATENATE(DataSet!E398,"-",DataSet!G398)</f>
        <v>Diya Shah-Chennai</v>
      </c>
    </row>
    <row r="399" spans="1:11">
      <c r="A399" t="str">
        <v>ORD-2024-00398</v>
      </c>
      <c r="B399" s="2">
        <v>32300</v>
      </c>
      <c r="C399" s="2">
        <v>8608.4500000000007</v>
      </c>
      <c r="D399" s="28">
        <v>0.05</v>
      </c>
      <c r="E399" t="str">
        <f t="shared" si="18"/>
        <v>Profit</v>
      </c>
      <c r="F399" t="str">
        <f t="shared" si="19"/>
        <v>High</v>
      </c>
      <c r="G399" t="str">
        <f>VLOOKUP(A399,DataSet!$1:$1048576,5,FALSE)</f>
        <v>Krish Panjwani</v>
      </c>
      <c r="H399" s="29">
        <f>INDEX(DataSet!B:B,MATCH('Advanced  Formulas'!A399,DataSet!A:A,0))</f>
        <v>45474</v>
      </c>
      <c r="I399" s="29">
        <f>INDEX(DataSet!C:C,MATCH('Advanced  Formulas'!A399,DataSet!A:A,0))</f>
        <v>46344</v>
      </c>
      <c r="J399" t="str">
        <f t="shared" si="20"/>
        <v>Good Order</v>
      </c>
      <c r="K399" s="10" t="str">
        <f>CONCATENATE(DataSet!E399,"-",DataSet!G399)</f>
        <v>Krish Panjwani-Rajkot</v>
      </c>
    </row>
    <row r="400" spans="1:11">
      <c r="A400" t="str">
        <v>ORD-2025-00399</v>
      </c>
      <c r="B400" s="2">
        <v>13600</v>
      </c>
      <c r="C400" s="2">
        <v>2689.29</v>
      </c>
      <c r="D400" s="28">
        <v>0.2</v>
      </c>
      <c r="E400" t="str">
        <f t="shared" si="18"/>
        <v>Profit</v>
      </c>
      <c r="F400" t="str">
        <f t="shared" si="19"/>
        <v>High</v>
      </c>
      <c r="G400" t="str">
        <f>VLOOKUP(A400,DataSet!$1:$1048576,5,FALSE)</f>
        <v>Kabir Trivedi</v>
      </c>
      <c r="H400" s="29">
        <f>INDEX(DataSet!B:B,MATCH('Advanced  Formulas'!A400,DataSet!A:A,0))</f>
        <v>45690</v>
      </c>
      <c r="I400" s="29">
        <f>INDEX(DataSet!C:C,MATCH('Advanced  Formulas'!A400,DataSet!A:A,0))</f>
        <v>46345</v>
      </c>
      <c r="J400" t="str">
        <f t="shared" si="20"/>
        <v>Good Order</v>
      </c>
      <c r="K400" s="10" t="str">
        <f>CONCATENATE(DataSet!E400,"-",DataSet!G400)</f>
        <v>Kabir Trivedi-Bhavnagar</v>
      </c>
    </row>
    <row r="401" spans="1:11">
      <c r="A401" t="str">
        <v>ORD-2024-00400</v>
      </c>
      <c r="B401" s="2">
        <v>5890</v>
      </c>
      <c r="C401" s="2">
        <v>1022.08</v>
      </c>
      <c r="D401" s="28">
        <v>0.05</v>
      </c>
      <c r="E401" t="str">
        <f t="shared" si="18"/>
        <v>Profit</v>
      </c>
      <c r="F401" t="str">
        <f t="shared" si="19"/>
        <v>Medium</v>
      </c>
      <c r="G401" t="str">
        <f>VLOOKUP(A401,DataSet!$1:$1048576,5,FALSE)</f>
        <v>Krish Panjwani</v>
      </c>
      <c r="H401" s="29">
        <f>INDEX(DataSet!B:B,MATCH('Advanced  Formulas'!A401,DataSet!A:A,0))</f>
        <v>45588</v>
      </c>
      <c r="I401" s="29">
        <f>INDEX(DataSet!C:C,MATCH('Advanced  Formulas'!A401,DataSet!A:A,0))</f>
        <v>46346</v>
      </c>
      <c r="J401" t="str">
        <f t="shared" si="20"/>
        <v>Good Order</v>
      </c>
      <c r="K401" s="10" t="str">
        <f>CONCATENATE(DataSet!E401,"-",DataSet!G401)</f>
        <v>Krish Panjwani-Bengaluru</v>
      </c>
    </row>
    <row r="402" spans="1:11">
      <c r="A402" t="str">
        <v>ORD-2025-00401</v>
      </c>
      <c r="B402" s="2">
        <v>714</v>
      </c>
      <c r="C402" s="2">
        <v>200.5</v>
      </c>
      <c r="D402" s="28">
        <v>0.15</v>
      </c>
      <c r="E402" t="str">
        <f t="shared" si="18"/>
        <v>Profit</v>
      </c>
      <c r="F402" t="str">
        <f t="shared" si="19"/>
        <v>Low</v>
      </c>
      <c r="G402" t="str">
        <f>VLOOKUP(A402,DataSet!$1:$1048576,5,FALSE)</f>
        <v>Vivaan Joshi</v>
      </c>
      <c r="H402" s="29">
        <f>INDEX(DataSet!B:B,MATCH('Advanced  Formulas'!A402,DataSet!A:A,0))</f>
        <v>45777</v>
      </c>
      <c r="I402" s="29">
        <f>INDEX(DataSet!C:C,MATCH('Advanced  Formulas'!A402,DataSet!A:A,0))</f>
        <v>46347</v>
      </c>
      <c r="J402" t="str">
        <f t="shared" si="20"/>
        <v>Review</v>
      </c>
      <c r="K402" s="10" t="str">
        <f>CONCATENATE(DataSet!E402,"-",DataSet!G402)</f>
        <v>Vivaan Joshi-Delhi</v>
      </c>
    </row>
    <row r="403" spans="1:11">
      <c r="A403" t="str">
        <v>ORD-2026-00402</v>
      </c>
      <c r="B403" s="2">
        <v>180</v>
      </c>
      <c r="C403" s="2">
        <v>41.6</v>
      </c>
      <c r="D403" s="28">
        <v>0</v>
      </c>
      <c r="E403" t="str">
        <f t="shared" si="18"/>
        <v>Loss</v>
      </c>
      <c r="F403" t="str">
        <f t="shared" si="19"/>
        <v>Low</v>
      </c>
      <c r="G403" t="str">
        <f>VLOOKUP(A403,DataSet!$1:$1048576,5,FALSE)</f>
        <v>Kiara Soni</v>
      </c>
      <c r="H403" s="29">
        <f>INDEX(DataSet!B:B,MATCH('Advanced  Formulas'!A403,DataSet!A:A,0))</f>
        <v>46272</v>
      </c>
      <c r="I403" s="29">
        <f>INDEX(DataSet!C:C,MATCH('Advanced  Formulas'!A403,DataSet!A:A,0))</f>
        <v>46348</v>
      </c>
      <c r="J403" t="str">
        <f t="shared" si="20"/>
        <v>Review</v>
      </c>
      <c r="K403" s="10" t="str">
        <f>CONCATENATE(DataSet!E403,"-",DataSet!G403)</f>
        <v>Kiara Soni-Delhi</v>
      </c>
    </row>
    <row r="404" spans="1:11">
      <c r="A404" t="str">
        <v>ORD-2024-00403</v>
      </c>
      <c r="B404" s="2">
        <v>36400</v>
      </c>
      <c r="C404" s="2">
        <v>4681.79</v>
      </c>
      <c r="D404" s="28">
        <v>0.2</v>
      </c>
      <c r="E404" t="str">
        <f t="shared" si="18"/>
        <v>Profit</v>
      </c>
      <c r="F404" t="str">
        <f t="shared" si="19"/>
        <v>High</v>
      </c>
      <c r="G404" t="str">
        <f>VLOOKUP(A404,DataSet!$1:$1048576,5,FALSE)</f>
        <v>Isha Mehta</v>
      </c>
      <c r="H404" s="29">
        <f>INDEX(DataSet!B:B,MATCH('Advanced  Formulas'!A404,DataSet!A:A,0))</f>
        <v>45507</v>
      </c>
      <c r="I404" s="29">
        <f>INDEX(DataSet!C:C,MATCH('Advanced  Formulas'!A404,DataSet!A:A,0))</f>
        <v>46349</v>
      </c>
      <c r="J404" t="str">
        <f t="shared" si="20"/>
        <v>Good Order</v>
      </c>
      <c r="K404" s="10" t="str">
        <f>CONCATENATE(DataSet!E404,"-",DataSet!G404)</f>
        <v>Isha Mehta-Chennai</v>
      </c>
    </row>
    <row r="405" spans="1:11">
      <c r="A405" t="str">
        <v>ORD-2026-00404</v>
      </c>
      <c r="B405" s="2">
        <v>807.5</v>
      </c>
      <c r="C405" s="2">
        <v>191.84</v>
      </c>
      <c r="D405" s="28">
        <v>0.15</v>
      </c>
      <c r="E405" t="str">
        <f t="shared" si="18"/>
        <v>Loss</v>
      </c>
      <c r="F405" t="str">
        <f t="shared" si="19"/>
        <v>Low</v>
      </c>
      <c r="G405" t="str">
        <f>VLOOKUP(A405,DataSet!$1:$1048576,5,FALSE)</f>
        <v>Kabir Joshi</v>
      </c>
      <c r="H405" s="29">
        <f>INDEX(DataSet!B:B,MATCH('Advanced  Formulas'!A405,DataSet!A:A,0))</f>
        <v>46146</v>
      </c>
      <c r="I405" s="29">
        <f>INDEX(DataSet!C:C,MATCH('Advanced  Formulas'!A405,DataSet!A:A,0))</f>
        <v>46350</v>
      </c>
      <c r="J405" t="str">
        <f t="shared" si="20"/>
        <v>Review</v>
      </c>
      <c r="K405" s="10" t="str">
        <f>CONCATENATE(DataSet!E405,"-",DataSet!G405)</f>
        <v>Kabir Joshi-Vadodara</v>
      </c>
    </row>
    <row r="406" spans="1:11">
      <c r="A406" t="str">
        <v>ORD-2024-00405</v>
      </c>
      <c r="B406" s="2">
        <v>11400</v>
      </c>
      <c r="C406" s="2">
        <v>2342.2800000000002</v>
      </c>
      <c r="D406" s="28">
        <v>0</v>
      </c>
      <c r="E406" t="str">
        <f t="shared" si="18"/>
        <v>Profit</v>
      </c>
      <c r="F406" t="str">
        <f t="shared" si="19"/>
        <v>High</v>
      </c>
      <c r="G406" t="str">
        <f>VLOOKUP(A406,DataSet!$1:$1048576,5,FALSE)</f>
        <v>Anaya Joshi</v>
      </c>
      <c r="H406" s="29">
        <f>INDEX(DataSet!B:B,MATCH('Advanced  Formulas'!A406,DataSet!A:A,0))</f>
        <v>45548</v>
      </c>
      <c r="I406" s="29">
        <f>INDEX(DataSet!C:C,MATCH('Advanced  Formulas'!A406,DataSet!A:A,0))</f>
        <v>46351</v>
      </c>
      <c r="J406" t="str">
        <f t="shared" si="20"/>
        <v>Good Order</v>
      </c>
      <c r="K406" s="10" t="str">
        <f>CONCATENATE(DataSet!E406,"-",DataSet!G406)</f>
        <v>Anaya Joshi-Vadodara</v>
      </c>
    </row>
    <row r="407" spans="1:11">
      <c r="A407" t="str">
        <v>ORD-2026-00406</v>
      </c>
      <c r="B407" s="2">
        <v>8160</v>
      </c>
      <c r="C407" s="2">
        <v>1518.17</v>
      </c>
      <c r="D407" s="28">
        <v>0.15</v>
      </c>
      <c r="E407" t="str">
        <f t="shared" si="18"/>
        <v>Profit</v>
      </c>
      <c r="F407" t="str">
        <f t="shared" si="19"/>
        <v>High</v>
      </c>
      <c r="G407" t="str">
        <f>VLOOKUP(A407,DataSet!$1:$1048576,5,FALSE)</f>
        <v>Yusuf Mehta</v>
      </c>
      <c r="H407" s="29">
        <f>INDEX(DataSet!B:B,MATCH('Advanced  Formulas'!A407,DataSet!A:A,0))</f>
        <v>46213</v>
      </c>
      <c r="I407" s="29">
        <f>INDEX(DataSet!C:C,MATCH('Advanced  Formulas'!A407,DataSet!A:A,0))</f>
        <v>46352</v>
      </c>
      <c r="J407" t="str">
        <f t="shared" si="20"/>
        <v>Good Order</v>
      </c>
      <c r="K407" s="10" t="str">
        <f>CONCATENATE(DataSet!E407,"-",DataSet!G407)</f>
        <v>Yusuf Mehta-Mumbai</v>
      </c>
    </row>
    <row r="408" spans="1:11">
      <c r="A408" t="str">
        <v>ORD-2025-00407</v>
      </c>
      <c r="B408" s="2">
        <v>332.5</v>
      </c>
      <c r="C408" s="2">
        <v>102.57</v>
      </c>
      <c r="D408" s="28">
        <v>0.05</v>
      </c>
      <c r="E408" t="str">
        <f t="shared" si="18"/>
        <v>Loss</v>
      </c>
      <c r="F408" t="str">
        <f t="shared" si="19"/>
        <v>Low</v>
      </c>
      <c r="G408" t="str">
        <f>VLOOKUP(A408,DataSet!$1:$1048576,5,FALSE)</f>
        <v>Aanya Joshi</v>
      </c>
      <c r="H408" s="29">
        <f>INDEX(DataSet!B:B,MATCH('Advanced  Formulas'!A408,DataSet!A:A,0))</f>
        <v>45665</v>
      </c>
      <c r="I408" s="29">
        <f>INDEX(DataSet!C:C,MATCH('Advanced  Formulas'!A408,DataSet!A:A,0))</f>
        <v>46353</v>
      </c>
      <c r="J408" t="str">
        <f t="shared" si="20"/>
        <v>Review</v>
      </c>
      <c r="K408" s="10" t="str">
        <f>CONCATENATE(DataSet!E408,"-",DataSet!G408)</f>
        <v>Aanya Joshi-Mumbai</v>
      </c>
    </row>
    <row r="409" spans="1:11">
      <c r="A409" t="str">
        <v>ORD-2025-00408</v>
      </c>
      <c r="B409" s="2">
        <v>12160</v>
      </c>
      <c r="C409" s="2">
        <v>2080.1</v>
      </c>
      <c r="D409" s="28">
        <v>0.05</v>
      </c>
      <c r="E409" t="str">
        <f t="shared" si="18"/>
        <v>Profit</v>
      </c>
      <c r="F409" t="str">
        <f t="shared" si="19"/>
        <v>High</v>
      </c>
      <c r="G409" t="str">
        <f>VLOOKUP(A409,DataSet!$1:$1048576,5,FALSE)</f>
        <v>Kiara Shah</v>
      </c>
      <c r="H409" s="29">
        <f>INDEX(DataSet!B:B,MATCH('Advanced  Formulas'!A409,DataSet!A:A,0))</f>
        <v>45987</v>
      </c>
      <c r="I409" s="29">
        <f>INDEX(DataSet!C:C,MATCH('Advanced  Formulas'!A409,DataSet!A:A,0))</f>
        <v>46354</v>
      </c>
      <c r="J409" t="str">
        <f t="shared" si="20"/>
        <v>Good Order</v>
      </c>
      <c r="K409" s="10" t="str">
        <f>CONCATENATE(DataSet!E409,"-",DataSet!G409)</f>
        <v>Kiara Shah-Mumbai</v>
      </c>
    </row>
    <row r="410" spans="1:11">
      <c r="A410" t="str">
        <v>ORD-2024-00409</v>
      </c>
      <c r="B410" s="2">
        <v>342</v>
      </c>
      <c r="C410" s="2">
        <v>62.17</v>
      </c>
      <c r="D410" s="28">
        <v>0.05</v>
      </c>
      <c r="E410" t="str">
        <f t="shared" si="18"/>
        <v>Loss</v>
      </c>
      <c r="F410" t="str">
        <f t="shared" si="19"/>
        <v>Low</v>
      </c>
      <c r="G410" t="str">
        <f>VLOOKUP(A410,DataSet!$1:$1048576,5,FALSE)</f>
        <v>Kabir Verma</v>
      </c>
      <c r="H410" s="29">
        <f>INDEX(DataSet!B:B,MATCH('Advanced  Formulas'!A410,DataSet!A:A,0))</f>
        <v>45375</v>
      </c>
      <c r="I410" s="29">
        <f>INDEX(DataSet!C:C,MATCH('Advanced  Formulas'!A410,DataSet!A:A,0))</f>
        <v>46355</v>
      </c>
      <c r="J410" t="str">
        <f t="shared" si="20"/>
        <v>Review</v>
      </c>
      <c r="K410" s="10" t="str">
        <f>CONCATENATE(DataSet!E410,"-",DataSet!G410)</f>
        <v>Kabir Verma-Rajkot</v>
      </c>
    </row>
    <row r="411" spans="1:11">
      <c r="A411" t="str">
        <v>ORD-2026-00410</v>
      </c>
      <c r="B411" s="2">
        <v>50575</v>
      </c>
      <c r="C411" s="2">
        <v>15282.87</v>
      </c>
      <c r="D411" s="28">
        <v>0.15</v>
      </c>
      <c r="E411" t="str">
        <f t="shared" si="18"/>
        <v>Profit</v>
      </c>
      <c r="F411" t="str">
        <f t="shared" si="19"/>
        <v>High</v>
      </c>
      <c r="G411" t="str">
        <f>VLOOKUP(A411,DataSet!$1:$1048576,5,FALSE)</f>
        <v>Kiara Joshi</v>
      </c>
      <c r="H411" s="29">
        <f>INDEX(DataSet!B:B,MATCH('Advanced  Formulas'!A411,DataSet!A:A,0))</f>
        <v>46161</v>
      </c>
      <c r="I411" s="29">
        <f>INDEX(DataSet!C:C,MATCH('Advanced  Formulas'!A411,DataSet!A:A,0))</f>
        <v>46356</v>
      </c>
      <c r="J411" t="str">
        <f t="shared" si="20"/>
        <v>Good Order</v>
      </c>
      <c r="K411" s="10" t="str">
        <f>CONCATENATE(DataSet!E411,"-",DataSet!G411)</f>
        <v>Kiara Joshi-Bengaluru</v>
      </c>
    </row>
    <row r="412" spans="1:11">
      <c r="A412" t="str">
        <v>ORD-2025-00411</v>
      </c>
      <c r="B412" s="2">
        <v>2240</v>
      </c>
      <c r="C412" s="2">
        <v>332.03</v>
      </c>
      <c r="D412" s="28">
        <v>0</v>
      </c>
      <c r="E412" t="str">
        <f t="shared" si="18"/>
        <v>Profit</v>
      </c>
      <c r="F412" t="str">
        <f t="shared" si="19"/>
        <v>Low</v>
      </c>
      <c r="G412" t="str">
        <f>VLOOKUP(A412,DataSet!$1:$1048576,5,FALSE)</f>
        <v>Sara Mehta</v>
      </c>
      <c r="H412" s="29">
        <f>INDEX(DataSet!B:B,MATCH('Advanced  Formulas'!A412,DataSet!A:A,0))</f>
        <v>45775</v>
      </c>
      <c r="I412" s="29">
        <f>INDEX(DataSet!C:C,MATCH('Advanced  Formulas'!A412,DataSet!A:A,0))</f>
        <v>46357</v>
      </c>
      <c r="J412" t="str">
        <f t="shared" si="20"/>
        <v>Review</v>
      </c>
      <c r="K412" s="10" t="str">
        <f>CONCATENATE(DataSet!E412,"-",DataSet!G412)</f>
        <v>Sara Mehta-Hyderabad</v>
      </c>
    </row>
    <row r="413" spans="1:11">
      <c r="A413" t="str">
        <v>ORD-2025-00412</v>
      </c>
      <c r="B413" s="2">
        <v>2480</v>
      </c>
      <c r="C413" s="2">
        <v>713.97</v>
      </c>
      <c r="D413" s="28">
        <v>0.2</v>
      </c>
      <c r="E413" t="str">
        <f t="shared" si="18"/>
        <v>Profit</v>
      </c>
      <c r="F413" t="str">
        <f t="shared" si="19"/>
        <v>Low</v>
      </c>
      <c r="G413" t="str">
        <f>VLOOKUP(A413,DataSet!$1:$1048576,5,FALSE)</f>
        <v>Meera Kapoor</v>
      </c>
      <c r="H413" s="29">
        <f>INDEX(DataSet!B:B,MATCH('Advanced  Formulas'!A413,DataSet!A:A,0))</f>
        <v>45814</v>
      </c>
      <c r="I413" s="29">
        <f>INDEX(DataSet!C:C,MATCH('Advanced  Formulas'!A413,DataSet!A:A,0))</f>
        <v>46358</v>
      </c>
      <c r="J413" t="str">
        <f t="shared" si="20"/>
        <v>Review</v>
      </c>
      <c r="K413" s="10" t="str">
        <f>CONCATENATE(DataSet!E413,"-",DataSet!G413)</f>
        <v>Meera Kapoor-Pune</v>
      </c>
    </row>
    <row r="414" spans="1:11">
      <c r="A414" t="str">
        <v>ORD-2024-00413</v>
      </c>
      <c r="B414" s="2">
        <v>216</v>
      </c>
      <c r="C414" s="2">
        <v>34.49</v>
      </c>
      <c r="D414" s="28">
        <v>0.2</v>
      </c>
      <c r="E414" t="str">
        <f t="shared" si="18"/>
        <v>Loss</v>
      </c>
      <c r="F414" t="str">
        <f t="shared" si="19"/>
        <v>Low</v>
      </c>
      <c r="G414" t="str">
        <f>VLOOKUP(A414,DataSet!$1:$1048576,5,FALSE)</f>
        <v>Zoya Patel</v>
      </c>
      <c r="H414" s="29">
        <f>INDEX(DataSet!B:B,MATCH('Advanced  Formulas'!A414,DataSet!A:A,0))</f>
        <v>45435</v>
      </c>
      <c r="I414" s="29">
        <f>INDEX(DataSet!C:C,MATCH('Advanced  Formulas'!A414,DataSet!A:A,0))</f>
        <v>46359</v>
      </c>
      <c r="J414" t="str">
        <f t="shared" si="20"/>
        <v>Review</v>
      </c>
      <c r="K414" s="10" t="str">
        <f>CONCATENATE(DataSet!E414,"-",DataSet!G414)</f>
        <v>Zoya Patel-Surat</v>
      </c>
    </row>
    <row r="415" spans="1:11">
      <c r="A415" t="str">
        <v>ORD-2024-00414</v>
      </c>
      <c r="B415" s="2">
        <v>5200</v>
      </c>
      <c r="C415" s="2">
        <v>1540.44</v>
      </c>
      <c r="D415" s="28">
        <v>0.2</v>
      </c>
      <c r="E415" t="str">
        <f t="shared" si="18"/>
        <v>Profit</v>
      </c>
      <c r="F415" t="str">
        <f t="shared" si="19"/>
        <v>Medium</v>
      </c>
      <c r="G415" t="str">
        <f>VLOOKUP(A415,DataSet!$1:$1048576,5,FALSE)</f>
        <v>Zoya Panjwani</v>
      </c>
      <c r="H415" s="29">
        <f>INDEX(DataSet!B:B,MATCH('Advanced  Formulas'!A415,DataSet!A:A,0))</f>
        <v>45529</v>
      </c>
      <c r="I415" s="29">
        <f>INDEX(DataSet!C:C,MATCH('Advanced  Formulas'!A415,DataSet!A:A,0))</f>
        <v>46360</v>
      </c>
      <c r="J415" t="str">
        <f t="shared" si="20"/>
        <v>Good Order</v>
      </c>
      <c r="K415" s="10" t="str">
        <f>CONCATENATE(DataSet!E415,"-",DataSet!G415)</f>
        <v>Zoya Panjwani-Rajkot</v>
      </c>
    </row>
    <row r="416" spans="1:11">
      <c r="A416" t="str">
        <v>ORD-2026-00415</v>
      </c>
      <c r="B416" s="2">
        <v>16800</v>
      </c>
      <c r="C416" s="2">
        <v>4729.84</v>
      </c>
      <c r="D416" s="28">
        <v>0.2</v>
      </c>
      <c r="E416" t="str">
        <f t="shared" si="18"/>
        <v>Profit</v>
      </c>
      <c r="F416" t="str">
        <f t="shared" si="19"/>
        <v>High</v>
      </c>
      <c r="G416" t="str">
        <f>VLOOKUP(A416,DataSet!$1:$1048576,5,FALSE)</f>
        <v>Yusuf Mehta</v>
      </c>
      <c r="H416" s="29">
        <f>INDEX(DataSet!B:B,MATCH('Advanced  Formulas'!A416,DataSet!A:A,0))</f>
        <v>46194</v>
      </c>
      <c r="I416" s="29">
        <f>INDEX(DataSet!C:C,MATCH('Advanced  Formulas'!A416,DataSet!A:A,0))</f>
        <v>46361</v>
      </c>
      <c r="J416" t="str">
        <f t="shared" si="20"/>
        <v>Good Order</v>
      </c>
      <c r="K416" s="10" t="str">
        <f>CONCATENATE(DataSet!E416,"-",DataSet!G416)</f>
        <v>Yusuf Mehta-Ahmedabad</v>
      </c>
    </row>
    <row r="417" spans="1:11">
      <c r="A417" t="str">
        <v>ORD-2025-00416</v>
      </c>
      <c r="B417" s="2">
        <v>38250</v>
      </c>
      <c r="C417" s="2">
        <v>4288.01</v>
      </c>
      <c r="D417" s="28">
        <v>0.1</v>
      </c>
      <c r="E417" t="str">
        <f t="shared" si="18"/>
        <v>Profit</v>
      </c>
      <c r="F417" t="str">
        <f t="shared" si="19"/>
        <v>High</v>
      </c>
      <c r="G417" t="str">
        <f>VLOOKUP(A417,DataSet!$1:$1048576,5,FALSE)</f>
        <v>Dev Panjwani</v>
      </c>
      <c r="H417" s="29">
        <f>INDEX(DataSet!B:B,MATCH('Advanced  Formulas'!A417,DataSet!A:A,0))</f>
        <v>45666</v>
      </c>
      <c r="I417" s="29">
        <f>INDEX(DataSet!C:C,MATCH('Advanced  Formulas'!A417,DataSet!A:A,0))</f>
        <v>46362</v>
      </c>
      <c r="J417" t="str">
        <f t="shared" si="20"/>
        <v>Good Order</v>
      </c>
      <c r="K417" s="10" t="str">
        <f>CONCATENATE(DataSet!E417,"-",DataSet!G417)</f>
        <v>Dev Panjwani-Bengaluru</v>
      </c>
    </row>
    <row r="418" spans="1:11">
      <c r="A418" t="str">
        <v>ORD-2025-00417</v>
      </c>
      <c r="B418" s="2">
        <v>22950</v>
      </c>
      <c r="C418" s="2">
        <v>7388.58</v>
      </c>
      <c r="D418" s="28">
        <v>0.1</v>
      </c>
      <c r="E418" t="str">
        <f t="shared" si="18"/>
        <v>Profit</v>
      </c>
      <c r="F418" t="str">
        <f t="shared" si="19"/>
        <v>High</v>
      </c>
      <c r="G418" t="str">
        <f>VLOOKUP(A418,DataSet!$1:$1048576,5,FALSE)</f>
        <v>Dev Kapoor</v>
      </c>
      <c r="H418" s="29">
        <f>INDEX(DataSet!B:B,MATCH('Advanced  Formulas'!A418,DataSet!A:A,0))</f>
        <v>45790</v>
      </c>
      <c r="I418" s="29">
        <f>INDEX(DataSet!C:C,MATCH('Advanced  Formulas'!A418,DataSet!A:A,0))</f>
        <v>46363</v>
      </c>
      <c r="J418" t="str">
        <f t="shared" si="20"/>
        <v>Good Order</v>
      </c>
      <c r="K418" s="10" t="str">
        <f>CONCATENATE(DataSet!E418,"-",DataSet!G418)</f>
        <v>Dev Kapoor-Jaipur</v>
      </c>
    </row>
    <row r="419" spans="1:11">
      <c r="A419" t="str">
        <v>ORD-2024-00418</v>
      </c>
      <c r="B419" s="2">
        <v>4960</v>
      </c>
      <c r="C419" s="2">
        <v>1438.95</v>
      </c>
      <c r="D419" s="28">
        <v>0.2</v>
      </c>
      <c r="E419" t="str">
        <f t="shared" si="18"/>
        <v>Profit</v>
      </c>
      <c r="F419" t="str">
        <f t="shared" si="19"/>
        <v>Medium</v>
      </c>
      <c r="G419" t="str">
        <f>VLOOKUP(A419,DataSet!$1:$1048576,5,FALSE)</f>
        <v>Aditya Verma</v>
      </c>
      <c r="H419" s="29">
        <f>INDEX(DataSet!B:B,MATCH('Advanced  Formulas'!A419,DataSet!A:A,0))</f>
        <v>45445</v>
      </c>
      <c r="I419" s="29">
        <f>INDEX(DataSet!C:C,MATCH('Advanced  Formulas'!A419,DataSet!A:A,0))</f>
        <v>46364</v>
      </c>
      <c r="J419" t="str">
        <f t="shared" si="20"/>
        <v>Good Order</v>
      </c>
      <c r="K419" s="10" t="str">
        <f>CONCATENATE(DataSet!E419,"-",DataSet!G419)</f>
        <v>Aditya Verma-Surat</v>
      </c>
    </row>
    <row r="420" spans="1:11">
      <c r="A420" t="str">
        <v>ORD-2025-00419</v>
      </c>
      <c r="B420" s="2">
        <v>216</v>
      </c>
      <c r="C420" s="2">
        <v>28.8</v>
      </c>
      <c r="D420" s="28">
        <v>0.2</v>
      </c>
      <c r="E420" t="str">
        <f t="shared" si="18"/>
        <v>Loss</v>
      </c>
      <c r="F420" t="str">
        <f t="shared" si="19"/>
        <v>Low</v>
      </c>
      <c r="G420" t="str">
        <f>VLOOKUP(A420,DataSet!$1:$1048576,5,FALSE)</f>
        <v>Myra Patel</v>
      </c>
      <c r="H420" s="29">
        <f>INDEX(DataSet!B:B,MATCH('Advanced  Formulas'!A420,DataSet!A:A,0))</f>
        <v>45983</v>
      </c>
      <c r="I420" s="29">
        <f>INDEX(DataSet!C:C,MATCH('Advanced  Formulas'!A420,DataSet!A:A,0))</f>
        <v>46365</v>
      </c>
      <c r="J420" t="str">
        <f t="shared" si="20"/>
        <v>Review</v>
      </c>
      <c r="K420" s="10" t="str">
        <f>CONCATENATE(DataSet!E420,"-",DataSet!G420)</f>
        <v>Myra Patel-Jaipur</v>
      </c>
    </row>
    <row r="421" spans="1:11">
      <c r="A421" t="str">
        <v>ORD-2025-00420</v>
      </c>
      <c r="B421" s="2">
        <v>25500</v>
      </c>
      <c r="C421" s="2">
        <v>8587.16</v>
      </c>
      <c r="D421" s="28">
        <v>0</v>
      </c>
      <c r="E421" t="str">
        <f t="shared" si="18"/>
        <v>Profit</v>
      </c>
      <c r="F421" t="str">
        <f t="shared" si="19"/>
        <v>High</v>
      </c>
      <c r="G421" t="str">
        <f>VLOOKUP(A421,DataSet!$1:$1048576,5,FALSE)</f>
        <v>Isha Soni</v>
      </c>
      <c r="H421" s="29">
        <f>INDEX(DataSet!B:B,MATCH('Advanced  Formulas'!A421,DataSet!A:A,0))</f>
        <v>45898</v>
      </c>
      <c r="I421" s="29">
        <f>INDEX(DataSet!C:C,MATCH('Advanced  Formulas'!A421,DataSet!A:A,0))</f>
        <v>46366</v>
      </c>
      <c r="J421" t="str">
        <f t="shared" si="20"/>
        <v>Good Order</v>
      </c>
      <c r="K421" s="10" t="str">
        <f>CONCATENATE(DataSet!E421,"-",DataSet!G421)</f>
        <v>Isha Soni-Surat</v>
      </c>
    </row>
    <row r="422" spans="1:11">
      <c r="A422" t="str">
        <v>ORD-2026-00421</v>
      </c>
      <c r="B422" s="2">
        <v>2900</v>
      </c>
      <c r="C422" s="2">
        <v>763.3</v>
      </c>
      <c r="D422" s="28">
        <v>0</v>
      </c>
      <c r="E422" t="str">
        <f t="shared" si="18"/>
        <v>Profit</v>
      </c>
      <c r="F422" t="str">
        <f t="shared" si="19"/>
        <v>Low</v>
      </c>
      <c r="G422" t="str">
        <f>VLOOKUP(A422,DataSet!$1:$1048576,5,FALSE)</f>
        <v>Fatima Mehta</v>
      </c>
      <c r="H422" s="29">
        <f>INDEX(DataSet!B:B,MATCH('Advanced  Formulas'!A422,DataSet!A:A,0))</f>
        <v>46284</v>
      </c>
      <c r="I422" s="29">
        <f>INDEX(DataSet!C:C,MATCH('Advanced  Formulas'!A422,DataSet!A:A,0))</f>
        <v>46367</v>
      </c>
      <c r="J422" t="str">
        <f t="shared" si="20"/>
        <v>Review</v>
      </c>
      <c r="K422" s="10" t="str">
        <f>CONCATENATE(DataSet!E422,"-",DataSet!G422)</f>
        <v>Fatima Mehta-Bengaluru</v>
      </c>
    </row>
    <row r="423" spans="1:11">
      <c r="A423" t="str">
        <v>ORD-2025-00422</v>
      </c>
      <c r="B423" s="2">
        <v>450</v>
      </c>
      <c r="C423" s="2">
        <v>86.27</v>
      </c>
      <c r="D423" s="28">
        <v>0</v>
      </c>
      <c r="E423" t="str">
        <f t="shared" si="18"/>
        <v>Loss</v>
      </c>
      <c r="F423" t="str">
        <f t="shared" si="19"/>
        <v>Low</v>
      </c>
      <c r="G423" t="str">
        <f>VLOOKUP(A423,DataSet!$1:$1048576,5,FALSE)</f>
        <v>Rohan Dave</v>
      </c>
      <c r="H423" s="29">
        <f>INDEX(DataSet!B:B,MATCH('Advanced  Formulas'!A423,DataSet!A:A,0))</f>
        <v>45907</v>
      </c>
      <c r="I423" s="29">
        <f>INDEX(DataSet!C:C,MATCH('Advanced  Formulas'!A423,DataSet!A:A,0))</f>
        <v>46368</v>
      </c>
      <c r="J423" t="str">
        <f t="shared" si="20"/>
        <v>Review</v>
      </c>
      <c r="K423" s="10" t="str">
        <f>CONCATENATE(DataSet!E423,"-",DataSet!G423)</f>
        <v>Rohan Dave-Hyderabad</v>
      </c>
    </row>
    <row r="424" spans="1:11">
      <c r="A424" t="str">
        <v>ORD-2024-00423</v>
      </c>
      <c r="B424" s="2">
        <v>180</v>
      </c>
      <c r="C424" s="2">
        <v>43.94</v>
      </c>
      <c r="D424" s="28">
        <v>0</v>
      </c>
      <c r="E424" t="str">
        <f t="shared" si="18"/>
        <v>Loss</v>
      </c>
      <c r="F424" t="str">
        <f t="shared" si="19"/>
        <v>Low</v>
      </c>
      <c r="G424" t="str">
        <f>VLOOKUP(A424,DataSet!$1:$1048576,5,FALSE)</f>
        <v>Dev Kapoor</v>
      </c>
      <c r="H424" s="29">
        <f>INDEX(DataSet!B:B,MATCH('Advanced  Formulas'!A424,DataSet!A:A,0))</f>
        <v>45527</v>
      </c>
      <c r="I424" s="29">
        <f>INDEX(DataSet!C:C,MATCH('Advanced  Formulas'!A424,DataSet!A:A,0))</f>
        <v>46369</v>
      </c>
      <c r="J424" t="str">
        <f t="shared" si="20"/>
        <v>Review</v>
      </c>
      <c r="K424" s="10" t="str">
        <f>CONCATENATE(DataSet!E424,"-",DataSet!G424)</f>
        <v>Dev Kapoor-Pune</v>
      </c>
    </row>
    <row r="425" spans="1:11">
      <c r="A425" t="str">
        <v>ORD-2025-00424</v>
      </c>
      <c r="B425" s="2">
        <v>187</v>
      </c>
      <c r="C425" s="2">
        <v>42.38</v>
      </c>
      <c r="D425" s="28">
        <v>0.15</v>
      </c>
      <c r="E425" t="str">
        <f t="shared" si="18"/>
        <v>Loss</v>
      </c>
      <c r="F425" t="str">
        <f t="shared" si="19"/>
        <v>Low</v>
      </c>
      <c r="G425" t="str">
        <f>VLOOKUP(A425,DataSet!$1:$1048576,5,FALSE)</f>
        <v>Kabir Khan</v>
      </c>
      <c r="H425" s="29">
        <f>INDEX(DataSet!B:B,MATCH('Advanced  Formulas'!A425,DataSet!A:A,0))</f>
        <v>45912</v>
      </c>
      <c r="I425" s="29">
        <f>INDEX(DataSet!C:C,MATCH('Advanced  Formulas'!A425,DataSet!A:A,0))</f>
        <v>46370</v>
      </c>
      <c r="J425" t="str">
        <f t="shared" si="20"/>
        <v>Review</v>
      </c>
      <c r="K425" s="10" t="str">
        <f>CONCATENATE(DataSet!E425,"-",DataSet!G425)</f>
        <v>Kabir Khan-Surat</v>
      </c>
    </row>
    <row r="426" spans="1:11">
      <c r="A426" t="str">
        <v>ORD-2026-00425</v>
      </c>
      <c r="B426" s="2">
        <v>3657.5</v>
      </c>
      <c r="C426" s="2">
        <v>530.5</v>
      </c>
      <c r="D426" s="28">
        <v>0.05</v>
      </c>
      <c r="E426" t="str">
        <f t="shared" si="18"/>
        <v>Profit</v>
      </c>
      <c r="F426" t="str">
        <f t="shared" si="19"/>
        <v>Medium</v>
      </c>
      <c r="G426" t="str">
        <f>VLOOKUP(A426,DataSet!$1:$1048576,5,FALSE)</f>
        <v>Dev Panjwani</v>
      </c>
      <c r="H426" s="29">
        <f>INDEX(DataSet!B:B,MATCH('Advanced  Formulas'!A426,DataSet!A:A,0))</f>
        <v>46215</v>
      </c>
      <c r="I426" s="29">
        <f>INDEX(DataSet!C:C,MATCH('Advanced  Formulas'!A426,DataSet!A:A,0))</f>
        <v>46371</v>
      </c>
      <c r="J426" t="str">
        <f t="shared" si="20"/>
        <v>Good Order</v>
      </c>
      <c r="K426" s="10" t="str">
        <f>CONCATENATE(DataSet!E426,"-",DataSet!G426)</f>
        <v>Dev Panjwani-Delhi</v>
      </c>
    </row>
    <row r="427" spans="1:11">
      <c r="A427" t="str">
        <v>ORD-2026-00426</v>
      </c>
      <c r="B427" s="2">
        <v>5580</v>
      </c>
      <c r="C427" s="2">
        <v>1842.46</v>
      </c>
      <c r="D427" s="28">
        <v>0.1</v>
      </c>
      <c r="E427" t="str">
        <f t="shared" si="18"/>
        <v>Profit</v>
      </c>
      <c r="F427" t="str">
        <f t="shared" si="19"/>
        <v>Medium</v>
      </c>
      <c r="G427" t="str">
        <f>VLOOKUP(A427,DataSet!$1:$1048576,5,FALSE)</f>
        <v>Myra Sheikh</v>
      </c>
      <c r="H427" s="29">
        <f>INDEX(DataSet!B:B,MATCH('Advanced  Formulas'!A427,DataSet!A:A,0))</f>
        <v>46100</v>
      </c>
      <c r="I427" s="29">
        <f>INDEX(DataSet!C:C,MATCH('Advanced  Formulas'!A427,DataSet!A:A,0))</f>
        <v>46372</v>
      </c>
      <c r="J427" t="str">
        <f t="shared" si="20"/>
        <v>Good Order</v>
      </c>
      <c r="K427" s="10" t="str">
        <f>CONCATENATE(DataSet!E427,"-",DataSet!G427)</f>
        <v>Myra Sheikh-Pune</v>
      </c>
    </row>
    <row r="428" spans="1:11">
      <c r="A428" t="str">
        <v>ORD-2025-00427</v>
      </c>
      <c r="B428" s="2">
        <v>5200</v>
      </c>
      <c r="C428" s="2">
        <v>814.59</v>
      </c>
      <c r="D428" s="28">
        <v>0.2</v>
      </c>
      <c r="E428" t="str">
        <f t="shared" si="18"/>
        <v>Profit</v>
      </c>
      <c r="F428" t="str">
        <f t="shared" si="19"/>
        <v>Medium</v>
      </c>
      <c r="G428" t="str">
        <f>VLOOKUP(A428,DataSet!$1:$1048576,5,FALSE)</f>
        <v>Yusuf Soni</v>
      </c>
      <c r="H428" s="29">
        <f>INDEX(DataSet!B:B,MATCH('Advanced  Formulas'!A428,DataSet!A:A,0))</f>
        <v>45904</v>
      </c>
      <c r="I428" s="29">
        <f>INDEX(DataSet!C:C,MATCH('Advanced  Formulas'!A428,DataSet!A:A,0))</f>
        <v>46373</v>
      </c>
      <c r="J428" t="str">
        <f t="shared" si="20"/>
        <v>Good Order</v>
      </c>
      <c r="K428" s="10" t="str">
        <f>CONCATENATE(DataSet!E428,"-",DataSet!G428)</f>
        <v>Yusuf Soni-Pune</v>
      </c>
    </row>
    <row r="429" spans="1:11">
      <c r="A429" t="str">
        <v>ORD-2024-00428</v>
      </c>
      <c r="B429" s="2">
        <v>2128</v>
      </c>
      <c r="C429" s="2">
        <v>733.71</v>
      </c>
      <c r="D429" s="28">
        <v>0.05</v>
      </c>
      <c r="E429" t="str">
        <f t="shared" si="18"/>
        <v>Profit</v>
      </c>
      <c r="F429" t="str">
        <f t="shared" si="19"/>
        <v>Low</v>
      </c>
      <c r="G429" t="str">
        <f>VLOOKUP(A429,DataSet!$1:$1048576,5,FALSE)</f>
        <v>Yusuf Joshi</v>
      </c>
      <c r="H429" s="29">
        <f>INDEX(DataSet!B:B,MATCH('Advanced  Formulas'!A429,DataSet!A:A,0))</f>
        <v>45299</v>
      </c>
      <c r="I429" s="29">
        <f>INDEX(DataSet!C:C,MATCH('Advanced  Formulas'!A429,DataSet!A:A,0))</f>
        <v>46374</v>
      </c>
      <c r="J429" t="str">
        <f t="shared" si="20"/>
        <v>Review</v>
      </c>
      <c r="K429" s="10" t="str">
        <f>CONCATENATE(DataSet!E429,"-",DataSet!G429)</f>
        <v>Yusuf Joshi-Bengaluru</v>
      </c>
    </row>
    <row r="430" spans="1:11">
      <c r="A430" t="str">
        <v>ORD-2025-00429</v>
      </c>
      <c r="B430" s="2">
        <v>2700</v>
      </c>
      <c r="C430" s="2">
        <v>597.91999999999996</v>
      </c>
      <c r="D430" s="28">
        <v>0.1</v>
      </c>
      <c r="E430" t="str">
        <f t="shared" si="18"/>
        <v>Profit</v>
      </c>
      <c r="F430" t="str">
        <f t="shared" si="19"/>
        <v>Low</v>
      </c>
      <c r="G430" t="str">
        <f>VLOOKUP(A430,DataSet!$1:$1048576,5,FALSE)</f>
        <v>Fatima Mehta</v>
      </c>
      <c r="H430" s="29">
        <f>INDEX(DataSet!B:B,MATCH('Advanced  Formulas'!A430,DataSet!A:A,0))</f>
        <v>45725</v>
      </c>
      <c r="I430" s="29">
        <f>INDEX(DataSet!C:C,MATCH('Advanced  Formulas'!A430,DataSet!A:A,0))</f>
        <v>46375</v>
      </c>
      <c r="J430" t="str">
        <f t="shared" si="20"/>
        <v>Review</v>
      </c>
      <c r="K430" s="10" t="str">
        <f>CONCATENATE(DataSet!E430,"-",DataSet!G430)</f>
        <v>Fatima Mehta-Mumbai</v>
      </c>
    </row>
    <row r="431" spans="1:11">
      <c r="A431" t="str">
        <v>ORD-2025-00430</v>
      </c>
      <c r="B431" s="2">
        <v>14880</v>
      </c>
      <c r="C431" s="2">
        <v>3667.72</v>
      </c>
      <c r="D431" s="28">
        <v>0.2</v>
      </c>
      <c r="E431" t="str">
        <f t="shared" si="18"/>
        <v>Profit</v>
      </c>
      <c r="F431" t="str">
        <f t="shared" si="19"/>
        <v>High</v>
      </c>
      <c r="G431" t="str">
        <f>VLOOKUP(A431,DataSet!$1:$1048576,5,FALSE)</f>
        <v>Anaya Verma</v>
      </c>
      <c r="H431" s="29">
        <f>INDEX(DataSet!B:B,MATCH('Advanced  Formulas'!A431,DataSet!A:A,0))</f>
        <v>45860</v>
      </c>
      <c r="I431" s="29">
        <f>INDEX(DataSet!C:C,MATCH('Advanced  Formulas'!A431,DataSet!A:A,0))</f>
        <v>46376</v>
      </c>
      <c r="J431" t="str">
        <f t="shared" si="20"/>
        <v>Good Order</v>
      </c>
      <c r="K431" s="10" t="str">
        <f>CONCATENATE(DataSet!E431,"-",DataSet!G431)</f>
        <v>Anaya Verma-Rajkot</v>
      </c>
    </row>
    <row r="432" spans="1:11">
      <c r="A432" t="str">
        <v>ORD-2026-00431</v>
      </c>
      <c r="B432" s="2">
        <v>6317.5</v>
      </c>
      <c r="C432" s="2">
        <v>1037.83</v>
      </c>
      <c r="D432" s="28">
        <v>0.05</v>
      </c>
      <c r="E432" t="str">
        <f t="shared" si="18"/>
        <v>Profit</v>
      </c>
      <c r="F432" t="str">
        <f t="shared" si="19"/>
        <v>High</v>
      </c>
      <c r="G432" t="str">
        <f>VLOOKUP(A432,DataSet!$1:$1048576,5,FALSE)</f>
        <v>Diya Mehta</v>
      </c>
      <c r="H432" s="29">
        <f>INDEX(DataSet!B:B,MATCH('Advanced  Formulas'!A432,DataSet!A:A,0))</f>
        <v>46093</v>
      </c>
      <c r="I432" s="29">
        <f>INDEX(DataSet!C:C,MATCH('Advanced  Formulas'!A432,DataSet!A:A,0))</f>
        <v>46377</v>
      </c>
      <c r="J432" t="str">
        <f t="shared" si="20"/>
        <v>Good Order</v>
      </c>
      <c r="K432" s="10" t="str">
        <f>CONCATENATE(DataSet!E432,"-",DataSet!G432)</f>
        <v>Diya Mehta-Surat</v>
      </c>
    </row>
    <row r="433" spans="1:11">
      <c r="A433" t="str">
        <v>ORD-2026-00432</v>
      </c>
      <c r="B433" s="2">
        <v>1050</v>
      </c>
      <c r="C433" s="2">
        <v>381.51</v>
      </c>
      <c r="D433" s="28">
        <v>0</v>
      </c>
      <c r="E433" t="str">
        <f t="shared" si="18"/>
        <v>Profit</v>
      </c>
      <c r="F433" t="str">
        <f t="shared" si="19"/>
        <v>Low</v>
      </c>
      <c r="G433" t="str">
        <f>VLOOKUP(A433,DataSet!$1:$1048576,5,FALSE)</f>
        <v>Zoya Shah</v>
      </c>
      <c r="H433" s="29">
        <f>INDEX(DataSet!B:B,MATCH('Advanced  Formulas'!A433,DataSet!A:A,0))</f>
        <v>46115</v>
      </c>
      <c r="I433" s="29">
        <f>INDEX(DataSet!C:C,MATCH('Advanced  Formulas'!A433,DataSet!A:A,0))</f>
        <v>46378</v>
      </c>
      <c r="J433" t="str">
        <f t="shared" si="20"/>
        <v>Review</v>
      </c>
      <c r="K433" s="10" t="str">
        <f>CONCATENATE(DataSet!E433,"-",DataSet!G433)</f>
        <v>Zoya Shah-Kolkata</v>
      </c>
    </row>
    <row r="434" spans="1:11">
      <c r="A434" t="str">
        <v>ORD-2026-00433</v>
      </c>
      <c r="B434" s="2">
        <v>880</v>
      </c>
      <c r="C434" s="2">
        <v>87.54</v>
      </c>
      <c r="D434" s="28">
        <v>0.2</v>
      </c>
      <c r="E434" t="str">
        <f t="shared" si="18"/>
        <v>Loss</v>
      </c>
      <c r="F434" t="str">
        <f t="shared" si="19"/>
        <v>Low</v>
      </c>
      <c r="G434" t="str">
        <f>VLOOKUP(A434,DataSet!$1:$1048576,5,FALSE)</f>
        <v>Isha Kapoor</v>
      </c>
      <c r="H434" s="29">
        <f>INDEX(DataSet!B:B,MATCH('Advanced  Formulas'!A434,DataSet!A:A,0))</f>
        <v>46033</v>
      </c>
      <c r="I434" s="29">
        <f>INDEX(DataSet!C:C,MATCH('Advanced  Formulas'!A434,DataSet!A:A,0))</f>
        <v>46379</v>
      </c>
      <c r="J434" t="str">
        <f t="shared" si="20"/>
        <v>Review</v>
      </c>
      <c r="K434" s="10" t="str">
        <f>CONCATENATE(DataSet!E434,"-",DataSet!G434)</f>
        <v>Isha Kapoor-Indore</v>
      </c>
    </row>
    <row r="435" spans="1:11">
      <c r="A435" t="str">
        <v>ORD-2024-00434</v>
      </c>
      <c r="B435" s="2">
        <v>5525</v>
      </c>
      <c r="C435" s="2">
        <v>1241.79</v>
      </c>
      <c r="D435" s="28">
        <v>0.15</v>
      </c>
      <c r="E435" t="str">
        <f t="shared" si="18"/>
        <v>Profit</v>
      </c>
      <c r="F435" t="str">
        <f t="shared" si="19"/>
        <v>Medium</v>
      </c>
      <c r="G435" t="str">
        <f>VLOOKUP(A435,DataSet!$1:$1048576,5,FALSE)</f>
        <v>Myra Dave</v>
      </c>
      <c r="H435" s="29">
        <f>INDEX(DataSet!B:B,MATCH('Advanced  Formulas'!A435,DataSet!A:A,0))</f>
        <v>45302</v>
      </c>
      <c r="I435" s="29">
        <f>INDEX(DataSet!C:C,MATCH('Advanced  Formulas'!A435,DataSet!A:A,0))</f>
        <v>46380</v>
      </c>
      <c r="J435" t="str">
        <f t="shared" si="20"/>
        <v>Good Order</v>
      </c>
      <c r="K435" s="10" t="str">
        <f>CONCATENATE(DataSet!E435,"-",DataSet!G435)</f>
        <v>Myra Dave-Kolkata</v>
      </c>
    </row>
    <row r="436" spans="1:11">
      <c r="A436" t="str">
        <v>ORD-2025-00435</v>
      </c>
      <c r="B436" s="2">
        <v>1805</v>
      </c>
      <c r="C436" s="2">
        <v>306.45999999999998</v>
      </c>
      <c r="D436" s="28">
        <v>0.05</v>
      </c>
      <c r="E436" t="str">
        <f t="shared" si="18"/>
        <v>Profit</v>
      </c>
      <c r="F436" t="str">
        <f t="shared" si="19"/>
        <v>Low</v>
      </c>
      <c r="G436" t="str">
        <f>VLOOKUP(A436,DataSet!$1:$1048576,5,FALSE)</f>
        <v>Krish Panjwani</v>
      </c>
      <c r="H436" s="29">
        <f>INDEX(DataSet!B:B,MATCH('Advanced  Formulas'!A436,DataSet!A:A,0))</f>
        <v>45660</v>
      </c>
      <c r="I436" s="29">
        <f>INDEX(DataSet!C:C,MATCH('Advanced  Formulas'!A436,DataSet!A:A,0))</f>
        <v>46381</v>
      </c>
      <c r="J436" t="str">
        <f t="shared" si="20"/>
        <v>Review</v>
      </c>
      <c r="K436" s="10" t="str">
        <f>CONCATENATE(DataSet!E436,"-",DataSet!G436)</f>
        <v>Krish Panjwani-Bengaluru</v>
      </c>
    </row>
    <row r="437" spans="1:11">
      <c r="A437" t="str">
        <v>ORD-2025-00436</v>
      </c>
      <c r="B437" s="2">
        <v>2600</v>
      </c>
      <c r="C437" s="2">
        <v>349.08</v>
      </c>
      <c r="D437" s="28">
        <v>0.2</v>
      </c>
      <c r="E437" t="str">
        <f t="shared" si="18"/>
        <v>Profit</v>
      </c>
      <c r="F437" t="str">
        <f t="shared" si="19"/>
        <v>Low</v>
      </c>
      <c r="G437" t="str">
        <f>VLOOKUP(A437,DataSet!$1:$1048576,5,FALSE)</f>
        <v>Yusuf Trivedi</v>
      </c>
      <c r="H437" s="29">
        <f>INDEX(DataSet!B:B,MATCH('Advanced  Formulas'!A437,DataSet!A:A,0))</f>
        <v>45822</v>
      </c>
      <c r="I437" s="29">
        <f>INDEX(DataSet!C:C,MATCH('Advanced  Formulas'!A437,DataSet!A:A,0))</f>
        <v>46382</v>
      </c>
      <c r="J437" t="str">
        <f t="shared" si="20"/>
        <v>Review</v>
      </c>
      <c r="K437" s="10" t="str">
        <f>CONCATENATE(DataSet!E437,"-",DataSet!G437)</f>
        <v>Yusuf Trivedi-Chennai</v>
      </c>
    </row>
    <row r="438" spans="1:11">
      <c r="A438" t="str">
        <v>ORD-2024-00437</v>
      </c>
      <c r="B438" s="2">
        <v>1520</v>
      </c>
      <c r="C438" s="2">
        <v>497.03</v>
      </c>
      <c r="D438" s="28">
        <v>0.05</v>
      </c>
      <c r="E438" t="str">
        <f t="shared" si="18"/>
        <v>Profit</v>
      </c>
      <c r="F438" t="str">
        <f t="shared" si="19"/>
        <v>Low</v>
      </c>
      <c r="G438" t="str">
        <f>VLOOKUP(A438,DataSet!$1:$1048576,5,FALSE)</f>
        <v>Anaya Soni</v>
      </c>
      <c r="H438" s="29">
        <f>INDEX(DataSet!B:B,MATCH('Advanced  Formulas'!A438,DataSet!A:A,0))</f>
        <v>45523</v>
      </c>
      <c r="I438" s="29">
        <f>INDEX(DataSet!C:C,MATCH('Advanced  Formulas'!A438,DataSet!A:A,0))</f>
        <v>46383</v>
      </c>
      <c r="J438" t="str">
        <f t="shared" si="20"/>
        <v>Review</v>
      </c>
      <c r="K438" s="10" t="str">
        <f>CONCATENATE(DataSet!E438,"-",DataSet!G438)</f>
        <v>Anaya Soni-Vadodara</v>
      </c>
    </row>
    <row r="439" spans="1:11">
      <c r="A439" t="str">
        <v>ORD-2024-00438</v>
      </c>
      <c r="B439" s="2">
        <v>12400</v>
      </c>
      <c r="C439" s="2">
        <v>2912.51</v>
      </c>
      <c r="D439" s="28">
        <v>0.2</v>
      </c>
      <c r="E439" t="str">
        <f t="shared" si="18"/>
        <v>Profit</v>
      </c>
      <c r="F439" t="str">
        <f t="shared" si="19"/>
        <v>High</v>
      </c>
      <c r="G439" t="str">
        <f>VLOOKUP(A439,DataSet!$1:$1048576,5,FALSE)</f>
        <v>Yusuf Khan</v>
      </c>
      <c r="H439" s="29">
        <f>INDEX(DataSet!B:B,MATCH('Advanced  Formulas'!A439,DataSet!A:A,0))</f>
        <v>45593</v>
      </c>
      <c r="I439" s="29">
        <f>INDEX(DataSet!C:C,MATCH('Advanced  Formulas'!A439,DataSet!A:A,0))</f>
        <v>46384</v>
      </c>
      <c r="J439" t="str">
        <f t="shared" si="20"/>
        <v>Good Order</v>
      </c>
      <c r="K439" s="10" t="str">
        <f>CONCATENATE(DataSet!E439,"-",DataSet!G439)</f>
        <v>Yusuf Khan-Bhavnagar</v>
      </c>
    </row>
    <row r="440" spans="1:11">
      <c r="A440" t="str">
        <v>ORD-2026-00439</v>
      </c>
      <c r="B440" s="2">
        <v>198</v>
      </c>
      <c r="C440" s="2">
        <v>66.28</v>
      </c>
      <c r="D440" s="28">
        <v>0.1</v>
      </c>
      <c r="E440" t="str">
        <f t="shared" si="18"/>
        <v>Loss</v>
      </c>
      <c r="F440" t="str">
        <f t="shared" si="19"/>
        <v>Low</v>
      </c>
      <c r="G440" t="str">
        <f>VLOOKUP(A440,DataSet!$1:$1048576,5,FALSE)</f>
        <v>Krish Kapoor</v>
      </c>
      <c r="H440" s="29">
        <f>INDEX(DataSet!B:B,MATCH('Advanced  Formulas'!A440,DataSet!A:A,0))</f>
        <v>46276</v>
      </c>
      <c r="I440" s="29">
        <f>INDEX(DataSet!C:C,MATCH('Advanced  Formulas'!A440,DataSet!A:A,0))</f>
        <v>46385</v>
      </c>
      <c r="J440" t="str">
        <f t="shared" si="20"/>
        <v>Review</v>
      </c>
      <c r="K440" s="10" t="str">
        <f>CONCATENATE(DataSet!E440,"-",DataSet!G440)</f>
        <v>Krish Kapoor-Jaipur</v>
      </c>
    </row>
    <row r="441" spans="1:11">
      <c r="A441" t="str">
        <v>ORD-2026-00440</v>
      </c>
      <c r="B441" s="2">
        <v>2480</v>
      </c>
      <c r="C441" s="2">
        <v>331.41</v>
      </c>
      <c r="D441" s="28">
        <v>0.2</v>
      </c>
      <c r="E441" t="str">
        <f t="shared" si="18"/>
        <v>Profit</v>
      </c>
      <c r="F441" t="str">
        <f t="shared" si="19"/>
        <v>Low</v>
      </c>
      <c r="G441" t="str">
        <f>VLOOKUP(A441,DataSet!$1:$1048576,5,FALSE)</f>
        <v>Sara Shah</v>
      </c>
      <c r="H441" s="29">
        <f>INDEX(DataSet!B:B,MATCH('Advanced  Formulas'!A441,DataSet!A:A,0))</f>
        <v>46111</v>
      </c>
      <c r="I441" s="29">
        <f>INDEX(DataSet!C:C,MATCH('Advanced  Formulas'!A441,DataSet!A:A,0))</f>
        <v>46386</v>
      </c>
      <c r="J441" t="str">
        <f t="shared" si="20"/>
        <v>Review</v>
      </c>
      <c r="K441" s="10" t="str">
        <f>CONCATENATE(DataSet!E441,"-",DataSet!G441)</f>
        <v>Sara Shah-Pune</v>
      </c>
    </row>
    <row r="442" spans="1:11">
      <c r="A442" t="str">
        <v>ORD-2024-00441</v>
      </c>
      <c r="B442" s="2">
        <v>855</v>
      </c>
      <c r="C442" s="2">
        <v>269.89999999999998</v>
      </c>
      <c r="D442" s="28">
        <v>0.05</v>
      </c>
      <c r="E442" t="str">
        <f t="shared" si="18"/>
        <v>Profit</v>
      </c>
      <c r="F442" t="str">
        <f t="shared" si="19"/>
        <v>Low</v>
      </c>
      <c r="G442" t="str">
        <f>VLOOKUP(A442,DataSet!$1:$1048576,5,FALSE)</f>
        <v>Arjun Mehta</v>
      </c>
      <c r="H442" s="29">
        <f>INDEX(DataSet!B:B,MATCH('Advanced  Formulas'!A442,DataSet!A:A,0))</f>
        <v>45369</v>
      </c>
      <c r="I442" s="29">
        <f>INDEX(DataSet!C:C,MATCH('Advanced  Formulas'!A442,DataSet!A:A,0))</f>
        <v>46387</v>
      </c>
      <c r="J442" t="str">
        <f t="shared" si="20"/>
        <v>Review</v>
      </c>
      <c r="K442" s="10" t="str">
        <f>CONCATENATE(DataSet!E442,"-",DataSet!G442)</f>
        <v>Arjun Mehta-Indore</v>
      </c>
    </row>
    <row r="443" spans="1:11">
      <c r="A443" t="str">
        <v>ORD-2025-00442</v>
      </c>
      <c r="B443" s="2">
        <v>600</v>
      </c>
      <c r="C443" s="2">
        <v>192.24</v>
      </c>
      <c r="D443" s="28">
        <v>0</v>
      </c>
      <c r="E443" t="str">
        <f t="shared" si="18"/>
        <v>Loss</v>
      </c>
      <c r="F443" t="str">
        <f t="shared" si="19"/>
        <v>Low</v>
      </c>
      <c r="G443" t="str">
        <f>VLOOKUP(A443,DataSet!$1:$1048576,5,FALSE)</f>
        <v>Myra Rao</v>
      </c>
      <c r="H443" s="29">
        <f>INDEX(DataSet!B:B,MATCH('Advanced  Formulas'!A443,DataSet!A:A,0))</f>
        <v>45802</v>
      </c>
      <c r="I443" s="29">
        <f>INDEX(DataSet!C:C,MATCH('Advanced  Formulas'!A443,DataSet!A:A,0))</f>
        <v>46388</v>
      </c>
      <c r="J443" t="str">
        <f t="shared" si="20"/>
        <v>Review</v>
      </c>
      <c r="K443" s="10" t="str">
        <f>CONCATENATE(DataSet!E443,"-",DataSet!G443)</f>
        <v>Myra Rao-Vadodara</v>
      </c>
    </row>
    <row r="444" spans="1:11">
      <c r="A444" t="str">
        <v>ORD-2024-00443</v>
      </c>
      <c r="B444" s="2">
        <v>4420</v>
      </c>
      <c r="C444" s="2">
        <v>1572.54</v>
      </c>
      <c r="D444" s="28">
        <v>0.15</v>
      </c>
      <c r="E444" t="str">
        <f t="shared" si="18"/>
        <v>Profit</v>
      </c>
      <c r="F444" t="str">
        <f t="shared" si="19"/>
        <v>Medium</v>
      </c>
      <c r="G444" t="str">
        <f>VLOOKUP(A444,DataSet!$1:$1048576,5,FALSE)</f>
        <v>Kiara Patel</v>
      </c>
      <c r="H444" s="29">
        <f>INDEX(DataSet!B:B,MATCH('Advanced  Formulas'!A444,DataSet!A:A,0))</f>
        <v>45451</v>
      </c>
      <c r="I444" s="29">
        <f>INDEX(DataSet!C:C,MATCH('Advanced  Formulas'!A444,DataSet!A:A,0))</f>
        <v>46389</v>
      </c>
      <c r="J444" t="str">
        <f t="shared" si="20"/>
        <v>Good Order</v>
      </c>
      <c r="K444" s="10" t="str">
        <f>CONCATENATE(DataSet!E444,"-",DataSet!G444)</f>
        <v>Kiara Patel-Bhavnagar</v>
      </c>
    </row>
    <row r="445" spans="1:11">
      <c r="A445" t="str">
        <v>ORD-2025-00444</v>
      </c>
      <c r="B445" s="2">
        <v>1912.5</v>
      </c>
      <c r="C445" s="2">
        <v>544.36</v>
      </c>
      <c r="D445" s="28">
        <v>0.15</v>
      </c>
      <c r="E445" t="str">
        <f t="shared" si="18"/>
        <v>Profit</v>
      </c>
      <c r="F445" t="str">
        <f t="shared" si="19"/>
        <v>Low</v>
      </c>
      <c r="G445" t="str">
        <f>VLOOKUP(A445,DataSet!$1:$1048576,5,FALSE)</f>
        <v>Yusuf Mehta</v>
      </c>
      <c r="H445" s="29">
        <f>INDEX(DataSet!B:B,MATCH('Advanced  Formulas'!A445,DataSet!A:A,0))</f>
        <v>45927</v>
      </c>
      <c r="I445" s="29">
        <f>INDEX(DataSet!C:C,MATCH('Advanced  Formulas'!A445,DataSet!A:A,0))</f>
        <v>46390</v>
      </c>
      <c r="J445" t="str">
        <f t="shared" si="20"/>
        <v>Review</v>
      </c>
      <c r="K445" s="10" t="str">
        <f>CONCATENATE(DataSet!E445,"-",DataSet!G445)</f>
        <v>Yusuf Mehta-Jaipur</v>
      </c>
    </row>
    <row r="446" spans="1:11">
      <c r="A446" t="str">
        <v>ORD-2026-00445</v>
      </c>
      <c r="B446" s="2">
        <v>45900</v>
      </c>
      <c r="C446" s="2">
        <v>6485.48</v>
      </c>
      <c r="D446" s="28">
        <v>0.1</v>
      </c>
      <c r="E446" t="str">
        <f t="shared" si="18"/>
        <v>Profit</v>
      </c>
      <c r="F446" t="str">
        <f t="shared" si="19"/>
        <v>High</v>
      </c>
      <c r="G446" t="str">
        <f>VLOOKUP(A446,DataSet!$1:$1048576,5,FALSE)</f>
        <v>Isha Khan</v>
      </c>
      <c r="H446" s="29">
        <f>INDEX(DataSet!B:B,MATCH('Advanced  Formulas'!A446,DataSet!A:A,0))</f>
        <v>46110</v>
      </c>
      <c r="I446" s="29">
        <f>INDEX(DataSet!C:C,MATCH('Advanced  Formulas'!A446,DataSet!A:A,0))</f>
        <v>46391</v>
      </c>
      <c r="J446" t="str">
        <f t="shared" si="20"/>
        <v>Good Order</v>
      </c>
      <c r="K446" s="10" t="str">
        <f>CONCATENATE(DataSet!E446,"-",DataSet!G446)</f>
        <v>Isha Khan-Jaipur</v>
      </c>
    </row>
    <row r="447" spans="1:11">
      <c r="A447" t="str">
        <v>ORD-2025-00446</v>
      </c>
      <c r="B447" s="2">
        <v>2340</v>
      </c>
      <c r="C447" s="2">
        <v>500.61</v>
      </c>
      <c r="D447" s="28">
        <v>0.1</v>
      </c>
      <c r="E447" t="str">
        <f t="shared" si="18"/>
        <v>Profit</v>
      </c>
      <c r="F447" t="str">
        <f t="shared" si="19"/>
        <v>Low</v>
      </c>
      <c r="G447" t="str">
        <f>VLOOKUP(A447,DataSet!$1:$1048576,5,FALSE)</f>
        <v>Zoya Dave</v>
      </c>
      <c r="H447" s="29">
        <f>INDEX(DataSet!B:B,MATCH('Advanced  Formulas'!A447,DataSet!A:A,0))</f>
        <v>45763</v>
      </c>
      <c r="I447" s="29">
        <f>INDEX(DataSet!C:C,MATCH('Advanced  Formulas'!A447,DataSet!A:A,0))</f>
        <v>46392</v>
      </c>
      <c r="J447" t="str">
        <f t="shared" si="20"/>
        <v>Review</v>
      </c>
      <c r="K447" s="10" t="str">
        <f>CONCATENATE(DataSet!E447,"-",DataSet!G447)</f>
        <v>Zoya Dave-Chennai</v>
      </c>
    </row>
    <row r="448" spans="1:11">
      <c r="A448" t="str">
        <v>ORD-2025-00447</v>
      </c>
      <c r="B448" s="2">
        <v>4275</v>
      </c>
      <c r="C448" s="2">
        <v>1388.02</v>
      </c>
      <c r="D448" s="28">
        <v>0.05</v>
      </c>
      <c r="E448" t="str">
        <f t="shared" si="18"/>
        <v>Profit</v>
      </c>
      <c r="F448" t="str">
        <f t="shared" si="19"/>
        <v>Medium</v>
      </c>
      <c r="G448" t="str">
        <f>VLOOKUP(A448,DataSet!$1:$1048576,5,FALSE)</f>
        <v>Reyansh Panjwani</v>
      </c>
      <c r="H448" s="29">
        <f>INDEX(DataSet!B:B,MATCH('Advanced  Formulas'!A448,DataSet!A:A,0))</f>
        <v>45853</v>
      </c>
      <c r="I448" s="29">
        <f>INDEX(DataSet!C:C,MATCH('Advanced  Formulas'!A448,DataSet!A:A,0))</f>
        <v>46393</v>
      </c>
      <c r="J448" t="str">
        <f t="shared" si="20"/>
        <v>Good Order</v>
      </c>
      <c r="K448" s="10" t="str">
        <f>CONCATENATE(DataSet!E448,"-",DataSet!G448)</f>
        <v>Reyansh Panjwani-Vadodara</v>
      </c>
    </row>
    <row r="449" spans="1:11">
      <c r="A449" t="str">
        <v>ORD-2025-00448</v>
      </c>
      <c r="B449" s="2">
        <v>1912.5</v>
      </c>
      <c r="C449" s="2">
        <v>618.51</v>
      </c>
      <c r="D449" s="28">
        <v>0.15</v>
      </c>
      <c r="E449" t="str">
        <f t="shared" si="18"/>
        <v>Profit</v>
      </c>
      <c r="F449" t="str">
        <f t="shared" si="19"/>
        <v>Low</v>
      </c>
      <c r="G449" t="str">
        <f>VLOOKUP(A449,DataSet!$1:$1048576,5,FALSE)</f>
        <v>Myra Rao</v>
      </c>
      <c r="H449" s="29">
        <f>INDEX(DataSet!B:B,MATCH('Advanced  Formulas'!A449,DataSet!A:A,0))</f>
        <v>45665</v>
      </c>
      <c r="I449" s="29">
        <f>INDEX(DataSet!C:C,MATCH('Advanced  Formulas'!A449,DataSet!A:A,0))</f>
        <v>46394</v>
      </c>
      <c r="J449" t="str">
        <f t="shared" si="20"/>
        <v>Review</v>
      </c>
      <c r="K449" s="10" t="str">
        <f>CONCATENATE(DataSet!E449,"-",DataSet!G449)</f>
        <v>Myra Rao-Pune</v>
      </c>
    </row>
    <row r="450" spans="1:11">
      <c r="A450" t="str">
        <v>ORD-2026-00449</v>
      </c>
      <c r="B450" s="2">
        <v>6400</v>
      </c>
      <c r="C450" s="2">
        <v>1100.74</v>
      </c>
      <c r="D450" s="28">
        <v>0</v>
      </c>
      <c r="E450" t="str">
        <f t="shared" si="18"/>
        <v>Profit</v>
      </c>
      <c r="F450" t="str">
        <f t="shared" si="19"/>
        <v>High</v>
      </c>
      <c r="G450" t="str">
        <f>VLOOKUP(A450,DataSet!$1:$1048576,5,FALSE)</f>
        <v>Vivaan Khan</v>
      </c>
      <c r="H450" s="29">
        <f>INDEX(DataSet!B:B,MATCH('Advanced  Formulas'!A450,DataSet!A:A,0))</f>
        <v>46115</v>
      </c>
      <c r="I450" s="29">
        <f>INDEX(DataSet!C:C,MATCH('Advanced  Formulas'!A450,DataSet!A:A,0))</f>
        <v>46395</v>
      </c>
      <c r="J450" t="str">
        <f t="shared" si="20"/>
        <v>Good Order</v>
      </c>
      <c r="K450" s="10" t="str">
        <f>CONCATENATE(DataSet!E450,"-",DataSet!G450)</f>
        <v>Vivaan Khan-Delhi</v>
      </c>
    </row>
    <row r="451" spans="1:11">
      <c r="A451" t="str">
        <v>ORD-2025-00450</v>
      </c>
      <c r="B451" s="2">
        <v>3562.5</v>
      </c>
      <c r="C451" s="2">
        <v>806.35</v>
      </c>
      <c r="D451" s="28">
        <v>0.05</v>
      </c>
      <c r="E451" t="str">
        <f t="shared" ref="E451:E514" si="21">IF(C451&gt;200,"Profit","Loss")</f>
        <v>Profit</v>
      </c>
      <c r="F451" t="str">
        <f t="shared" ref="F451:F514" si="22">IF(B451&gt;6000,"High",IF(B451&gt;=3000,"Medium",IF(B451&lt;3000,"Low")))</f>
        <v>Medium</v>
      </c>
      <c r="G451" t="str">
        <f>VLOOKUP(A451,DataSet!$1:$1048576,5,FALSE)</f>
        <v>Diya Panjwani</v>
      </c>
      <c r="H451" s="29">
        <f>INDEX(DataSet!B:B,MATCH('Advanced  Formulas'!A451,DataSet!A:A,0))</f>
        <v>45723</v>
      </c>
      <c r="I451" s="29">
        <f>INDEX(DataSet!C:C,MATCH('Advanced  Formulas'!A451,DataSet!A:A,0))</f>
        <v>46396</v>
      </c>
      <c r="J451" t="str">
        <f t="shared" ref="J451:J514" si="23">IF(AND(B451&gt;3000,C451&gt;0),"Good Order","Review")</f>
        <v>Good Order</v>
      </c>
      <c r="K451" s="10" t="str">
        <f>CONCATENATE(DataSet!E451,"-",DataSet!G451)</f>
        <v>Diya Panjwani-Surat</v>
      </c>
    </row>
    <row r="452" spans="1:11">
      <c r="A452" t="str">
        <v>ORD-2024-00451</v>
      </c>
      <c r="B452" s="2">
        <v>1350</v>
      </c>
      <c r="C452" s="2">
        <v>231.4</v>
      </c>
      <c r="D452" s="28">
        <v>0.1</v>
      </c>
      <c r="E452" t="str">
        <f t="shared" si="21"/>
        <v>Profit</v>
      </c>
      <c r="F452" t="str">
        <f t="shared" si="22"/>
        <v>Low</v>
      </c>
      <c r="G452" t="str">
        <f>VLOOKUP(A452,DataSet!$1:$1048576,5,FALSE)</f>
        <v>Zoya Trivedi</v>
      </c>
      <c r="H452" s="29">
        <f>INDEX(DataSet!B:B,MATCH('Advanced  Formulas'!A452,DataSet!A:A,0))</f>
        <v>45353</v>
      </c>
      <c r="I452" s="29">
        <f>INDEX(DataSet!C:C,MATCH('Advanced  Formulas'!A452,DataSet!A:A,0))</f>
        <v>46397</v>
      </c>
      <c r="J452" t="str">
        <f t="shared" si="23"/>
        <v>Review</v>
      </c>
      <c r="K452" s="10" t="str">
        <f>CONCATENATE(DataSet!E452,"-",DataSet!G452)</f>
        <v>Zoya Trivedi-Kolkata</v>
      </c>
    </row>
    <row r="453" spans="1:11">
      <c r="A453" t="str">
        <v>ORD-2026-00452</v>
      </c>
      <c r="B453" s="2">
        <v>29400</v>
      </c>
      <c r="C453" s="2">
        <v>8488.26</v>
      </c>
      <c r="D453" s="28">
        <v>0</v>
      </c>
      <c r="E453" t="str">
        <f t="shared" si="21"/>
        <v>Profit</v>
      </c>
      <c r="F453" t="str">
        <f t="shared" si="22"/>
        <v>High</v>
      </c>
      <c r="G453" t="str">
        <f>VLOOKUP(A453,DataSet!$1:$1048576,5,FALSE)</f>
        <v>Meera Desai</v>
      </c>
      <c r="H453" s="29">
        <f>INDEX(DataSet!B:B,MATCH('Advanced  Formulas'!A453,DataSet!A:A,0))</f>
        <v>46246</v>
      </c>
      <c r="I453" s="29">
        <f>INDEX(DataSet!C:C,MATCH('Advanced  Formulas'!A453,DataSet!A:A,0))</f>
        <v>46398</v>
      </c>
      <c r="J453" t="str">
        <f t="shared" si="23"/>
        <v>Good Order</v>
      </c>
      <c r="K453" s="10" t="str">
        <f>CONCATENATE(DataSet!E453,"-",DataSet!G453)</f>
        <v>Meera Desai-Rajkot</v>
      </c>
    </row>
    <row r="454" spans="1:11">
      <c r="A454" t="str">
        <v>ORD-2025-00453</v>
      </c>
      <c r="B454" s="2">
        <v>1824</v>
      </c>
      <c r="C454" s="2">
        <v>360.19</v>
      </c>
      <c r="D454" s="28">
        <v>0.05</v>
      </c>
      <c r="E454" t="str">
        <f t="shared" si="21"/>
        <v>Profit</v>
      </c>
      <c r="F454" t="str">
        <f t="shared" si="22"/>
        <v>Low</v>
      </c>
      <c r="G454" t="str">
        <f>VLOOKUP(A454,DataSet!$1:$1048576,5,FALSE)</f>
        <v>Rohan Sheikh</v>
      </c>
      <c r="H454" s="29">
        <f>INDEX(DataSet!B:B,MATCH('Advanced  Formulas'!A454,DataSet!A:A,0))</f>
        <v>45957</v>
      </c>
      <c r="I454" s="29">
        <f>INDEX(DataSet!C:C,MATCH('Advanced  Formulas'!A454,DataSet!A:A,0))</f>
        <v>46399</v>
      </c>
      <c r="J454" t="str">
        <f t="shared" si="23"/>
        <v>Review</v>
      </c>
      <c r="K454" s="10" t="str">
        <f>CONCATENATE(DataSet!E454,"-",DataSet!G454)</f>
        <v>Rohan Sheikh-Delhi</v>
      </c>
    </row>
    <row r="455" spans="1:11">
      <c r="A455" t="str">
        <v>ORD-2025-00454</v>
      </c>
      <c r="B455" s="2">
        <v>648</v>
      </c>
      <c r="C455" s="2">
        <v>130.16</v>
      </c>
      <c r="D455" s="28">
        <v>0.1</v>
      </c>
      <c r="E455" t="str">
        <f t="shared" si="21"/>
        <v>Loss</v>
      </c>
      <c r="F455" t="str">
        <f t="shared" si="22"/>
        <v>Low</v>
      </c>
      <c r="G455" t="str">
        <f>VLOOKUP(A455,DataSet!$1:$1048576,5,FALSE)</f>
        <v>Krish Rao</v>
      </c>
      <c r="H455" s="29">
        <f>INDEX(DataSet!B:B,MATCH('Advanced  Formulas'!A455,DataSet!A:A,0))</f>
        <v>45920</v>
      </c>
      <c r="I455" s="29">
        <f>INDEX(DataSet!C:C,MATCH('Advanced  Formulas'!A455,DataSet!A:A,0))</f>
        <v>46400</v>
      </c>
      <c r="J455" t="str">
        <f t="shared" si="23"/>
        <v>Review</v>
      </c>
      <c r="K455" s="10" t="str">
        <f>CONCATENATE(DataSet!E455,"-",DataSet!G455)</f>
        <v>Krish Rao-Jaipur</v>
      </c>
    </row>
    <row r="456" spans="1:11">
      <c r="A456" t="str">
        <v>ORD-2024-00455</v>
      </c>
      <c r="B456" s="2">
        <v>11200</v>
      </c>
      <c r="C456" s="2">
        <v>3141.12</v>
      </c>
      <c r="D456" s="28">
        <v>0.2</v>
      </c>
      <c r="E456" t="str">
        <f t="shared" si="21"/>
        <v>Profit</v>
      </c>
      <c r="F456" t="str">
        <f t="shared" si="22"/>
        <v>High</v>
      </c>
      <c r="G456" t="str">
        <f>VLOOKUP(A456,DataSet!$1:$1048576,5,FALSE)</f>
        <v>Krish Joshi</v>
      </c>
      <c r="H456" s="29">
        <f>INDEX(DataSet!B:B,MATCH('Advanced  Formulas'!A456,DataSet!A:A,0))</f>
        <v>45457</v>
      </c>
      <c r="I456" s="29">
        <f>INDEX(DataSet!C:C,MATCH('Advanced  Formulas'!A456,DataSet!A:A,0))</f>
        <v>46401</v>
      </c>
      <c r="J456" t="str">
        <f t="shared" si="23"/>
        <v>Good Order</v>
      </c>
      <c r="K456" s="10" t="str">
        <f>CONCATENATE(DataSet!E456,"-",DataSet!G456)</f>
        <v>Krish Joshi-Vadodara</v>
      </c>
    </row>
    <row r="457" spans="1:11">
      <c r="A457" t="str">
        <v>ORD-2026-00456</v>
      </c>
      <c r="B457" s="2">
        <v>4800</v>
      </c>
      <c r="C457" s="2">
        <v>757.94</v>
      </c>
      <c r="D457" s="28">
        <v>0</v>
      </c>
      <c r="E457" t="str">
        <f t="shared" si="21"/>
        <v>Profit</v>
      </c>
      <c r="F457" t="str">
        <f t="shared" si="22"/>
        <v>Medium</v>
      </c>
      <c r="G457" t="str">
        <f>VLOOKUP(A457,DataSet!$1:$1048576,5,FALSE)</f>
        <v>Myra Kapoor</v>
      </c>
      <c r="H457" s="29">
        <f>INDEX(DataSet!B:B,MATCH('Advanced  Formulas'!A457,DataSet!A:A,0))</f>
        <v>46057</v>
      </c>
      <c r="I457" s="29">
        <f>INDEX(DataSet!C:C,MATCH('Advanced  Formulas'!A457,DataSet!A:A,0))</f>
        <v>46402</v>
      </c>
      <c r="J457" t="str">
        <f t="shared" si="23"/>
        <v>Good Order</v>
      </c>
      <c r="K457" s="10" t="str">
        <f>CONCATENATE(DataSet!E457,"-",DataSet!G457)</f>
        <v>Myra Kapoor-Delhi</v>
      </c>
    </row>
    <row r="458" spans="1:11">
      <c r="A458" t="str">
        <v>ORD-2024-00457</v>
      </c>
      <c r="B458" s="2">
        <v>1170</v>
      </c>
      <c r="C458" s="2">
        <v>260.22000000000003</v>
      </c>
      <c r="D458" s="28">
        <v>0.1</v>
      </c>
      <c r="E458" t="str">
        <f t="shared" si="21"/>
        <v>Profit</v>
      </c>
      <c r="F458" t="str">
        <f t="shared" si="22"/>
        <v>Low</v>
      </c>
      <c r="G458" t="str">
        <f>VLOOKUP(A458,DataSet!$1:$1048576,5,FALSE)</f>
        <v>Krish Soni</v>
      </c>
      <c r="H458" s="29">
        <f>INDEX(DataSet!B:B,MATCH('Advanced  Formulas'!A458,DataSet!A:A,0))</f>
        <v>45507</v>
      </c>
      <c r="I458" s="29">
        <f>INDEX(DataSet!C:C,MATCH('Advanced  Formulas'!A458,DataSet!A:A,0))</f>
        <v>46403</v>
      </c>
      <c r="J458" t="str">
        <f t="shared" si="23"/>
        <v>Review</v>
      </c>
      <c r="K458" s="10" t="str">
        <f>CONCATENATE(DataSet!E458,"-",DataSet!G458)</f>
        <v>Krish Soni-Pune</v>
      </c>
    </row>
    <row r="459" spans="1:11">
      <c r="A459" t="str">
        <v>ORD-2024-00458</v>
      </c>
      <c r="B459" s="2">
        <v>2750</v>
      </c>
      <c r="C459" s="2">
        <v>868.11</v>
      </c>
      <c r="D459" s="28">
        <v>0</v>
      </c>
      <c r="E459" t="str">
        <f t="shared" si="21"/>
        <v>Profit</v>
      </c>
      <c r="F459" t="str">
        <f t="shared" si="22"/>
        <v>Low</v>
      </c>
      <c r="G459" t="str">
        <f>VLOOKUP(A459,DataSet!$1:$1048576,5,FALSE)</f>
        <v>Rohan Kapoor</v>
      </c>
      <c r="H459" s="29">
        <f>INDEX(DataSet!B:B,MATCH('Advanced  Formulas'!A459,DataSet!A:A,0))</f>
        <v>45560</v>
      </c>
      <c r="I459" s="29">
        <f>INDEX(DataSet!C:C,MATCH('Advanced  Formulas'!A459,DataSet!A:A,0))</f>
        <v>46404</v>
      </c>
      <c r="J459" t="str">
        <f t="shared" si="23"/>
        <v>Review</v>
      </c>
      <c r="K459" s="10" t="str">
        <f>CONCATENATE(DataSet!E459,"-",DataSet!G459)</f>
        <v>Rohan Kapoor-Surat</v>
      </c>
    </row>
    <row r="460" spans="1:11">
      <c r="A460" t="str">
        <v>ORD-2025-00459</v>
      </c>
      <c r="B460" s="2">
        <v>3705</v>
      </c>
      <c r="C460" s="2">
        <v>547.59</v>
      </c>
      <c r="D460" s="28">
        <v>0.05</v>
      </c>
      <c r="E460" t="str">
        <f t="shared" si="21"/>
        <v>Profit</v>
      </c>
      <c r="F460" t="str">
        <f t="shared" si="22"/>
        <v>Medium</v>
      </c>
      <c r="G460" t="str">
        <f>VLOOKUP(A460,DataSet!$1:$1048576,5,FALSE)</f>
        <v>Kiara Sheikh</v>
      </c>
      <c r="H460" s="29">
        <f>INDEX(DataSet!B:B,MATCH('Advanced  Formulas'!A460,DataSet!A:A,0))</f>
        <v>45831</v>
      </c>
      <c r="I460" s="29">
        <f>INDEX(DataSet!C:C,MATCH('Advanced  Formulas'!A460,DataSet!A:A,0))</f>
        <v>46405</v>
      </c>
      <c r="J460" t="str">
        <f t="shared" si="23"/>
        <v>Good Order</v>
      </c>
      <c r="K460" s="10" t="str">
        <f>CONCATENATE(DataSet!E460,"-",DataSet!G460)</f>
        <v>Kiara Sheikh-Surat</v>
      </c>
    </row>
    <row r="461" spans="1:11">
      <c r="A461" t="str">
        <v>ORD-2025-00460</v>
      </c>
      <c r="B461" s="2">
        <v>576</v>
      </c>
      <c r="C461" s="2">
        <v>89.44</v>
      </c>
      <c r="D461" s="28">
        <v>0.2</v>
      </c>
      <c r="E461" t="str">
        <f t="shared" si="21"/>
        <v>Loss</v>
      </c>
      <c r="F461" t="str">
        <f t="shared" si="22"/>
        <v>Low</v>
      </c>
      <c r="G461" t="str">
        <f>VLOOKUP(A461,DataSet!$1:$1048576,5,FALSE)</f>
        <v>Yusuf Panjwani</v>
      </c>
      <c r="H461" s="29">
        <f>INDEX(DataSet!B:B,MATCH('Advanced  Formulas'!A461,DataSet!A:A,0))</f>
        <v>45747</v>
      </c>
      <c r="I461" s="29">
        <f>INDEX(DataSet!C:C,MATCH('Advanced  Formulas'!A461,DataSet!A:A,0))</f>
        <v>46406</v>
      </c>
      <c r="J461" t="str">
        <f t="shared" si="23"/>
        <v>Review</v>
      </c>
      <c r="K461" s="10" t="str">
        <f>CONCATENATE(DataSet!E461,"-",DataSet!G461)</f>
        <v>Yusuf Panjwani-Chennai</v>
      </c>
    </row>
    <row r="462" spans="1:11">
      <c r="A462" t="str">
        <v>ORD-2024-00461</v>
      </c>
      <c r="B462" s="2">
        <v>1368</v>
      </c>
      <c r="C462" s="2">
        <v>379.48</v>
      </c>
      <c r="D462" s="28">
        <v>0.05</v>
      </c>
      <c r="E462" t="str">
        <f t="shared" si="21"/>
        <v>Profit</v>
      </c>
      <c r="F462" t="str">
        <f t="shared" si="22"/>
        <v>Low</v>
      </c>
      <c r="G462" t="str">
        <f>VLOOKUP(A462,DataSet!$1:$1048576,5,FALSE)</f>
        <v>Vivaan Joshi</v>
      </c>
      <c r="H462" s="29">
        <f>INDEX(DataSet!B:B,MATCH('Advanced  Formulas'!A462,DataSet!A:A,0))</f>
        <v>45609</v>
      </c>
      <c r="I462" s="29">
        <f>INDEX(DataSet!C:C,MATCH('Advanced  Formulas'!A462,DataSet!A:A,0))</f>
        <v>46407</v>
      </c>
      <c r="J462" t="str">
        <f t="shared" si="23"/>
        <v>Review</v>
      </c>
      <c r="K462" s="10" t="str">
        <f>CONCATENATE(DataSet!E462,"-",DataSet!G462)</f>
        <v>Vivaan Joshi-Jaipur</v>
      </c>
    </row>
    <row r="463" spans="1:11">
      <c r="A463" t="str">
        <v>ORD-2025-00462</v>
      </c>
      <c r="B463" s="2">
        <v>1440</v>
      </c>
      <c r="C463" s="2">
        <v>325.26</v>
      </c>
      <c r="D463" s="28">
        <v>0.1</v>
      </c>
      <c r="E463" t="str">
        <f t="shared" si="21"/>
        <v>Profit</v>
      </c>
      <c r="F463" t="str">
        <f t="shared" si="22"/>
        <v>Low</v>
      </c>
      <c r="G463" t="str">
        <f>VLOOKUP(A463,DataSet!$1:$1048576,5,FALSE)</f>
        <v>Fatima Iyer</v>
      </c>
      <c r="H463" s="29">
        <f>INDEX(DataSet!B:B,MATCH('Advanced  Formulas'!A463,DataSet!A:A,0))</f>
        <v>45827</v>
      </c>
      <c r="I463" s="29">
        <f>INDEX(DataSet!C:C,MATCH('Advanced  Formulas'!A463,DataSet!A:A,0))</f>
        <v>46408</v>
      </c>
      <c r="J463" t="str">
        <f t="shared" si="23"/>
        <v>Review</v>
      </c>
      <c r="K463" s="10" t="str">
        <f>CONCATENATE(DataSet!E463,"-",DataSet!G463)</f>
        <v>Fatima Iyer-Hyderabad</v>
      </c>
    </row>
    <row r="464" spans="1:11">
      <c r="A464" t="str">
        <v>ORD-2024-00463</v>
      </c>
      <c r="B464" s="2">
        <v>12400</v>
      </c>
      <c r="C464" s="2">
        <v>2944.56</v>
      </c>
      <c r="D464" s="28">
        <v>0</v>
      </c>
      <c r="E464" t="str">
        <f t="shared" si="21"/>
        <v>Profit</v>
      </c>
      <c r="F464" t="str">
        <f t="shared" si="22"/>
        <v>High</v>
      </c>
      <c r="G464" t="str">
        <f>VLOOKUP(A464,DataSet!$1:$1048576,5,FALSE)</f>
        <v>Aanya Sheikh</v>
      </c>
      <c r="H464" s="29">
        <f>INDEX(DataSet!B:B,MATCH('Advanced  Formulas'!A464,DataSet!A:A,0))</f>
        <v>45301</v>
      </c>
      <c r="I464" s="29">
        <f>INDEX(DataSet!C:C,MATCH('Advanced  Formulas'!A464,DataSet!A:A,0))</f>
        <v>46409</v>
      </c>
      <c r="J464" t="str">
        <f t="shared" si="23"/>
        <v>Good Order</v>
      </c>
      <c r="K464" s="10" t="str">
        <f>CONCATENATE(DataSet!E464,"-",DataSet!G464)</f>
        <v>Aanya Sheikh-Pune</v>
      </c>
    </row>
    <row r="465" spans="1:11">
      <c r="A465" t="str">
        <v>ORD-2025-00464</v>
      </c>
      <c r="B465" s="2">
        <v>6080</v>
      </c>
      <c r="C465" s="2">
        <v>2139.59</v>
      </c>
      <c r="D465" s="28">
        <v>0.05</v>
      </c>
      <c r="E465" t="str">
        <f t="shared" si="21"/>
        <v>Profit</v>
      </c>
      <c r="F465" t="str">
        <f t="shared" si="22"/>
        <v>High</v>
      </c>
      <c r="G465" t="str">
        <f>VLOOKUP(A465,DataSet!$1:$1048576,5,FALSE)</f>
        <v>Myra Soni</v>
      </c>
      <c r="H465" s="29">
        <f>INDEX(DataSet!B:B,MATCH('Advanced  Formulas'!A465,DataSet!A:A,0))</f>
        <v>45696</v>
      </c>
      <c r="I465" s="29">
        <f>INDEX(DataSet!C:C,MATCH('Advanced  Formulas'!A465,DataSet!A:A,0))</f>
        <v>46410</v>
      </c>
      <c r="J465" t="str">
        <f t="shared" si="23"/>
        <v>Good Order</v>
      </c>
      <c r="K465" s="10" t="str">
        <f>CONCATENATE(DataSet!E465,"-",DataSet!G465)</f>
        <v>Myra Soni-Surat</v>
      </c>
    </row>
    <row r="466" spans="1:11">
      <c r="A466" t="str">
        <v>ORD-2024-00465</v>
      </c>
      <c r="B466" s="2">
        <v>3000</v>
      </c>
      <c r="C466" s="2">
        <v>997.72</v>
      </c>
      <c r="D466" s="28">
        <v>0</v>
      </c>
      <c r="E466" t="str">
        <f t="shared" si="21"/>
        <v>Profit</v>
      </c>
      <c r="F466" t="str">
        <f t="shared" si="22"/>
        <v>Medium</v>
      </c>
      <c r="G466" t="str">
        <f>VLOOKUP(A466,DataSet!$1:$1048576,5,FALSE)</f>
        <v>Anaya Kapoor</v>
      </c>
      <c r="H466" s="29">
        <f>INDEX(DataSet!B:B,MATCH('Advanced  Formulas'!A466,DataSet!A:A,0))</f>
        <v>45583</v>
      </c>
      <c r="I466" s="29">
        <f>INDEX(DataSet!C:C,MATCH('Advanced  Formulas'!A466,DataSet!A:A,0))</f>
        <v>46411</v>
      </c>
      <c r="J466" t="str">
        <f t="shared" si="23"/>
        <v>Review</v>
      </c>
      <c r="K466" s="10" t="str">
        <f>CONCATENATE(DataSet!E466,"-",DataSet!G466)</f>
        <v>Anaya Kapoor-Chennai</v>
      </c>
    </row>
    <row r="467" spans="1:11">
      <c r="A467" t="str">
        <v>ORD-2025-00466</v>
      </c>
      <c r="B467" s="2">
        <v>2100</v>
      </c>
      <c r="C467" s="2">
        <v>714.93</v>
      </c>
      <c r="D467" s="28">
        <v>0</v>
      </c>
      <c r="E467" t="str">
        <f t="shared" si="21"/>
        <v>Profit</v>
      </c>
      <c r="F467" t="str">
        <f t="shared" si="22"/>
        <v>Low</v>
      </c>
      <c r="G467" t="str">
        <f>VLOOKUP(A467,DataSet!$1:$1048576,5,FALSE)</f>
        <v>Kiara Patel</v>
      </c>
      <c r="H467" s="29">
        <f>INDEX(DataSet!B:B,MATCH('Advanced  Formulas'!A467,DataSet!A:A,0))</f>
        <v>45755</v>
      </c>
      <c r="I467" s="29">
        <f>INDEX(DataSet!C:C,MATCH('Advanced  Formulas'!A467,DataSet!A:A,0))</f>
        <v>46412</v>
      </c>
      <c r="J467" t="str">
        <f t="shared" si="23"/>
        <v>Review</v>
      </c>
      <c r="K467" s="10" t="str">
        <f>CONCATENATE(DataSet!E467,"-",DataSet!G467)</f>
        <v>Kiara Patel-Chennai</v>
      </c>
    </row>
    <row r="468" spans="1:11">
      <c r="A468" t="str">
        <v>ORD-2024-00467</v>
      </c>
      <c r="B468" s="2">
        <v>4400</v>
      </c>
      <c r="C468" s="2">
        <v>1499.62</v>
      </c>
      <c r="D468" s="28">
        <v>0</v>
      </c>
      <c r="E468" t="str">
        <f t="shared" si="21"/>
        <v>Profit</v>
      </c>
      <c r="F468" t="str">
        <f t="shared" si="22"/>
        <v>Medium</v>
      </c>
      <c r="G468" t="str">
        <f>VLOOKUP(A468,DataSet!$1:$1048576,5,FALSE)</f>
        <v>Reyansh Trivedi</v>
      </c>
      <c r="H468" s="29">
        <f>INDEX(DataSet!B:B,MATCH('Advanced  Formulas'!A468,DataSet!A:A,0))</f>
        <v>45580</v>
      </c>
      <c r="I468" s="29">
        <f>INDEX(DataSet!C:C,MATCH('Advanced  Formulas'!A468,DataSet!A:A,0))</f>
        <v>46413</v>
      </c>
      <c r="J468" t="str">
        <f t="shared" si="23"/>
        <v>Good Order</v>
      </c>
      <c r="K468" s="10" t="str">
        <f>CONCATENATE(DataSet!E468,"-",DataSet!G468)</f>
        <v>Reyansh Trivedi-Surat</v>
      </c>
    </row>
    <row r="469" spans="1:11">
      <c r="A469" t="str">
        <v>ORD-2026-00468</v>
      </c>
      <c r="B469" s="2">
        <v>712.5</v>
      </c>
      <c r="C469" s="2">
        <v>250.54</v>
      </c>
      <c r="D469" s="28">
        <v>0.05</v>
      </c>
      <c r="E469" t="str">
        <f t="shared" si="21"/>
        <v>Profit</v>
      </c>
      <c r="F469" t="str">
        <f t="shared" si="22"/>
        <v>Low</v>
      </c>
      <c r="G469" t="str">
        <f>VLOOKUP(A469,DataSet!$1:$1048576,5,FALSE)</f>
        <v>Vivaan Patel</v>
      </c>
      <c r="H469" s="29">
        <f>INDEX(DataSet!B:B,MATCH('Advanced  Formulas'!A469,DataSet!A:A,0))</f>
        <v>46096</v>
      </c>
      <c r="I469" s="29">
        <f>INDEX(DataSet!C:C,MATCH('Advanced  Formulas'!A469,DataSet!A:A,0))</f>
        <v>46414</v>
      </c>
      <c r="J469" t="str">
        <f t="shared" si="23"/>
        <v>Review</v>
      </c>
      <c r="K469" s="10" t="str">
        <f>CONCATENATE(DataSet!E469,"-",DataSet!G469)</f>
        <v>Vivaan Patel-Jaipur</v>
      </c>
    </row>
    <row r="470" spans="1:11">
      <c r="A470" t="str">
        <v>ORD-2024-00469</v>
      </c>
      <c r="B470" s="2">
        <v>540</v>
      </c>
      <c r="C470" s="2">
        <v>80.81</v>
      </c>
      <c r="D470" s="28">
        <v>0.1</v>
      </c>
      <c r="E470" t="str">
        <f t="shared" si="21"/>
        <v>Loss</v>
      </c>
      <c r="F470" t="str">
        <f t="shared" si="22"/>
        <v>Low</v>
      </c>
      <c r="G470" t="str">
        <f>VLOOKUP(A470,DataSet!$1:$1048576,5,FALSE)</f>
        <v>Myra Panjwani</v>
      </c>
      <c r="H470" s="29">
        <f>INDEX(DataSet!B:B,MATCH('Advanced  Formulas'!A470,DataSet!A:A,0))</f>
        <v>45365</v>
      </c>
      <c r="I470" s="29">
        <f>INDEX(DataSet!C:C,MATCH('Advanced  Formulas'!A470,DataSet!A:A,0))</f>
        <v>46415</v>
      </c>
      <c r="J470" t="str">
        <f t="shared" si="23"/>
        <v>Review</v>
      </c>
      <c r="K470" s="10" t="str">
        <f>CONCATENATE(DataSet!E470,"-",DataSet!G470)</f>
        <v>Myra Panjwani-Jaipur</v>
      </c>
    </row>
    <row r="471" spans="1:11">
      <c r="A471" t="str">
        <v>ORD-2026-00470</v>
      </c>
      <c r="B471" s="2">
        <v>3960</v>
      </c>
      <c r="C471" s="2">
        <v>1044.76</v>
      </c>
      <c r="D471" s="28">
        <v>0.1</v>
      </c>
      <c r="E471" t="str">
        <f t="shared" si="21"/>
        <v>Profit</v>
      </c>
      <c r="F471" t="str">
        <f t="shared" si="22"/>
        <v>Medium</v>
      </c>
      <c r="G471" t="str">
        <f>VLOOKUP(A471,DataSet!$1:$1048576,5,FALSE)</f>
        <v>Sara Sheikh</v>
      </c>
      <c r="H471" s="29">
        <f>INDEX(DataSet!B:B,MATCH('Advanced  Formulas'!A471,DataSet!A:A,0))</f>
        <v>46047</v>
      </c>
      <c r="I471" s="29">
        <f>INDEX(DataSet!C:C,MATCH('Advanced  Formulas'!A471,DataSet!A:A,0))</f>
        <v>46416</v>
      </c>
      <c r="J471" t="str">
        <f t="shared" si="23"/>
        <v>Good Order</v>
      </c>
      <c r="K471" s="10" t="str">
        <f>CONCATENATE(DataSet!E471,"-",DataSet!G471)</f>
        <v>Sara Sheikh-Vadodara</v>
      </c>
    </row>
    <row r="472" spans="1:11">
      <c r="A472" t="str">
        <v>ORD-2025-00471</v>
      </c>
      <c r="B472" s="2">
        <v>9280</v>
      </c>
      <c r="C472" s="2">
        <v>2527.02</v>
      </c>
      <c r="D472" s="28">
        <v>0.2</v>
      </c>
      <c r="E472" t="str">
        <f t="shared" si="21"/>
        <v>Profit</v>
      </c>
      <c r="F472" t="str">
        <f t="shared" si="22"/>
        <v>High</v>
      </c>
      <c r="G472" t="str">
        <f>VLOOKUP(A472,DataSet!$1:$1048576,5,FALSE)</f>
        <v>Diya Rao</v>
      </c>
      <c r="H472" s="29">
        <f>INDEX(DataSet!B:B,MATCH('Advanced  Formulas'!A472,DataSet!A:A,0))</f>
        <v>45936</v>
      </c>
      <c r="I472" s="29">
        <f>INDEX(DataSet!C:C,MATCH('Advanced  Formulas'!A472,DataSet!A:A,0))</f>
        <v>46417</v>
      </c>
      <c r="J472" t="str">
        <f t="shared" si="23"/>
        <v>Good Order</v>
      </c>
      <c r="K472" s="10" t="str">
        <f>CONCATENATE(DataSet!E472,"-",DataSet!G472)</f>
        <v>Diya Rao-Ahmedabad</v>
      </c>
    </row>
    <row r="473" spans="1:11">
      <c r="A473" t="str">
        <v>ORD-2026-00472</v>
      </c>
      <c r="B473" s="2">
        <v>1900</v>
      </c>
      <c r="C473" s="2">
        <v>329.57</v>
      </c>
      <c r="D473" s="28">
        <v>0</v>
      </c>
      <c r="E473" t="str">
        <f t="shared" si="21"/>
        <v>Profit</v>
      </c>
      <c r="F473" t="str">
        <f t="shared" si="22"/>
        <v>Low</v>
      </c>
      <c r="G473" t="str">
        <f>VLOOKUP(A473,DataSet!$1:$1048576,5,FALSE)</f>
        <v>Anaya Panjwani</v>
      </c>
      <c r="H473" s="29">
        <f>INDEX(DataSet!B:B,MATCH('Advanced  Formulas'!A473,DataSet!A:A,0))</f>
        <v>46288</v>
      </c>
      <c r="I473" s="29">
        <f>INDEX(DataSet!C:C,MATCH('Advanced  Formulas'!A473,DataSet!A:A,0))</f>
        <v>46418</v>
      </c>
      <c r="J473" t="str">
        <f t="shared" si="23"/>
        <v>Review</v>
      </c>
      <c r="K473" s="10" t="str">
        <f>CONCATENATE(DataSet!E473,"-",DataSet!G473)</f>
        <v>Anaya Panjwani-Vadodara</v>
      </c>
    </row>
    <row r="474" spans="1:11">
      <c r="A474" t="str">
        <v>ORD-2026-00473</v>
      </c>
      <c r="B474" s="2">
        <v>627</v>
      </c>
      <c r="C474" s="2">
        <v>107.9</v>
      </c>
      <c r="D474" s="28">
        <v>0.05</v>
      </c>
      <c r="E474" t="str">
        <f t="shared" si="21"/>
        <v>Loss</v>
      </c>
      <c r="F474" t="str">
        <f t="shared" si="22"/>
        <v>Low</v>
      </c>
      <c r="G474" t="str">
        <f>VLOOKUP(A474,DataSet!$1:$1048576,5,FALSE)</f>
        <v>Isha Khan</v>
      </c>
      <c r="H474" s="29">
        <f>INDEX(DataSet!B:B,MATCH('Advanced  Formulas'!A474,DataSet!A:A,0))</f>
        <v>46284</v>
      </c>
      <c r="I474" s="29">
        <f>INDEX(DataSet!C:C,MATCH('Advanced  Formulas'!A474,DataSet!A:A,0))</f>
        <v>46419</v>
      </c>
      <c r="J474" t="str">
        <f t="shared" si="23"/>
        <v>Review</v>
      </c>
      <c r="K474" s="10" t="str">
        <f>CONCATENATE(DataSet!E474,"-",DataSet!G474)</f>
        <v>Isha Khan-Lucknow</v>
      </c>
    </row>
    <row r="475" spans="1:11">
      <c r="A475" t="str">
        <v>ORD-2024-00474</v>
      </c>
      <c r="B475" s="2">
        <v>3120</v>
      </c>
      <c r="C475" s="2">
        <v>967.14</v>
      </c>
      <c r="D475" s="28">
        <v>0.2</v>
      </c>
      <c r="E475" t="str">
        <f t="shared" si="21"/>
        <v>Profit</v>
      </c>
      <c r="F475" t="str">
        <f t="shared" si="22"/>
        <v>Medium</v>
      </c>
      <c r="G475" t="str">
        <f>VLOOKUP(A475,DataSet!$1:$1048576,5,FALSE)</f>
        <v>Anaya Mehta</v>
      </c>
      <c r="H475" s="29">
        <f>INDEX(DataSet!B:B,MATCH('Advanced  Formulas'!A475,DataSet!A:A,0))</f>
        <v>45638</v>
      </c>
      <c r="I475" s="29">
        <f>INDEX(DataSet!C:C,MATCH('Advanced  Formulas'!A475,DataSet!A:A,0))</f>
        <v>46420</v>
      </c>
      <c r="J475" t="str">
        <f t="shared" si="23"/>
        <v>Good Order</v>
      </c>
      <c r="K475" s="10" t="str">
        <f>CONCATENATE(DataSet!E475,"-",DataSet!G475)</f>
        <v>Anaya Mehta-Bengaluru</v>
      </c>
    </row>
    <row r="476" spans="1:11">
      <c r="A476" t="str">
        <v>ORD-2024-00475</v>
      </c>
      <c r="B476" s="2">
        <v>3000</v>
      </c>
      <c r="C476" s="2">
        <v>602.39</v>
      </c>
      <c r="D476" s="28">
        <v>0</v>
      </c>
      <c r="E476" t="str">
        <f t="shared" si="21"/>
        <v>Profit</v>
      </c>
      <c r="F476" t="str">
        <f t="shared" si="22"/>
        <v>Medium</v>
      </c>
      <c r="G476" t="str">
        <f>VLOOKUP(A476,DataSet!$1:$1048576,5,FALSE)</f>
        <v>Vivaan Joshi</v>
      </c>
      <c r="H476" s="29">
        <f>INDEX(DataSet!B:B,MATCH('Advanced  Formulas'!A476,DataSet!A:A,0))</f>
        <v>45616</v>
      </c>
      <c r="I476" s="29">
        <f>INDEX(DataSet!C:C,MATCH('Advanced  Formulas'!A476,DataSet!A:A,0))</f>
        <v>46421</v>
      </c>
      <c r="J476" t="str">
        <f t="shared" si="23"/>
        <v>Review</v>
      </c>
      <c r="K476" s="10" t="str">
        <f>CONCATENATE(DataSet!E476,"-",DataSet!G476)</f>
        <v>Vivaan Joshi-Hyderabad</v>
      </c>
    </row>
    <row r="477" spans="1:11">
      <c r="A477" t="str">
        <v>ORD-2025-00476</v>
      </c>
      <c r="B477" s="2">
        <v>24800</v>
      </c>
      <c r="C477" s="2">
        <v>5769.91</v>
      </c>
      <c r="D477" s="28">
        <v>0</v>
      </c>
      <c r="E477" t="str">
        <f t="shared" si="21"/>
        <v>Profit</v>
      </c>
      <c r="F477" t="str">
        <f t="shared" si="22"/>
        <v>High</v>
      </c>
      <c r="G477" t="str">
        <f>VLOOKUP(A477,DataSet!$1:$1048576,5,FALSE)</f>
        <v>Zoya Trivedi</v>
      </c>
      <c r="H477" s="29">
        <f>INDEX(DataSet!B:B,MATCH('Advanced  Formulas'!A477,DataSet!A:A,0))</f>
        <v>46015</v>
      </c>
      <c r="I477" s="29">
        <f>INDEX(DataSet!C:C,MATCH('Advanced  Formulas'!A477,DataSet!A:A,0))</f>
        <v>46422</v>
      </c>
      <c r="J477" t="str">
        <f t="shared" si="23"/>
        <v>Good Order</v>
      </c>
      <c r="K477" s="10" t="str">
        <f>CONCATENATE(DataSet!E477,"-",DataSet!G477)</f>
        <v>Zoya Trivedi-Delhi</v>
      </c>
    </row>
    <row r="478" spans="1:11">
      <c r="A478" t="str">
        <v>ORD-2024-00477</v>
      </c>
      <c r="B478" s="2">
        <v>486</v>
      </c>
      <c r="C478" s="2">
        <v>140.03</v>
      </c>
      <c r="D478" s="28">
        <v>0.1</v>
      </c>
      <c r="E478" t="str">
        <f t="shared" si="21"/>
        <v>Loss</v>
      </c>
      <c r="F478" t="str">
        <f t="shared" si="22"/>
        <v>Low</v>
      </c>
      <c r="G478" t="str">
        <f>VLOOKUP(A478,DataSet!$1:$1048576,5,FALSE)</f>
        <v>Kiara Trivedi</v>
      </c>
      <c r="H478" s="29">
        <f>INDEX(DataSet!B:B,MATCH('Advanced  Formulas'!A478,DataSet!A:A,0))</f>
        <v>45573</v>
      </c>
      <c r="I478" s="29">
        <f>INDEX(DataSet!C:C,MATCH('Advanced  Formulas'!A478,DataSet!A:A,0))</f>
        <v>46423</v>
      </c>
      <c r="J478" t="str">
        <f t="shared" si="23"/>
        <v>Review</v>
      </c>
      <c r="K478" s="10" t="str">
        <f>CONCATENATE(DataSet!E478,"-",DataSet!G478)</f>
        <v>Kiara Trivedi-Kolkata</v>
      </c>
    </row>
    <row r="479" spans="1:11">
      <c r="A479" t="str">
        <v>ORD-2026-00478</v>
      </c>
      <c r="B479" s="2">
        <v>297.5</v>
      </c>
      <c r="C479" s="2">
        <v>40.08</v>
      </c>
      <c r="D479" s="28">
        <v>0.15</v>
      </c>
      <c r="E479" t="str">
        <f t="shared" si="21"/>
        <v>Loss</v>
      </c>
      <c r="F479" t="str">
        <f t="shared" si="22"/>
        <v>Low</v>
      </c>
      <c r="G479" t="str">
        <f>VLOOKUP(A479,DataSet!$1:$1048576,5,FALSE)</f>
        <v>Meera Desai</v>
      </c>
      <c r="H479" s="29">
        <f>INDEX(DataSet!B:B,MATCH('Advanced  Formulas'!A479,DataSet!A:A,0))</f>
        <v>46086</v>
      </c>
      <c r="I479" s="29">
        <f>INDEX(DataSet!C:C,MATCH('Advanced  Formulas'!A479,DataSet!A:A,0))</f>
        <v>46424</v>
      </c>
      <c r="J479" t="str">
        <f t="shared" si="23"/>
        <v>Review</v>
      </c>
      <c r="K479" s="10" t="str">
        <f>CONCATENATE(DataSet!E479,"-",DataSet!G479)</f>
        <v>Meera Desai-Delhi</v>
      </c>
    </row>
    <row r="480" spans="1:11">
      <c r="A480" t="str">
        <v>ORD-2025-00479</v>
      </c>
      <c r="B480" s="2">
        <v>2380</v>
      </c>
      <c r="C480" s="2">
        <v>755.47</v>
      </c>
      <c r="D480" s="28">
        <v>0.15</v>
      </c>
      <c r="E480" t="str">
        <f t="shared" si="21"/>
        <v>Profit</v>
      </c>
      <c r="F480" t="str">
        <f t="shared" si="22"/>
        <v>Low</v>
      </c>
      <c r="G480" t="str">
        <f>VLOOKUP(A480,DataSet!$1:$1048576,5,FALSE)</f>
        <v>Aditya Panjwani</v>
      </c>
      <c r="H480" s="29">
        <f>INDEX(DataSet!B:B,MATCH('Advanced  Formulas'!A480,DataSet!A:A,0))</f>
        <v>45966</v>
      </c>
      <c r="I480" s="29">
        <f>INDEX(DataSet!C:C,MATCH('Advanced  Formulas'!A480,DataSet!A:A,0))</f>
        <v>46425</v>
      </c>
      <c r="J480" t="str">
        <f t="shared" si="23"/>
        <v>Review</v>
      </c>
      <c r="K480" s="10" t="str">
        <f>CONCATENATE(DataSet!E480,"-",DataSet!G480)</f>
        <v>Aditya Panjwani-Kolkata</v>
      </c>
    </row>
    <row r="481" spans="1:11">
      <c r="A481" t="str">
        <v>ORD-2024-00480</v>
      </c>
      <c r="B481" s="2">
        <v>1950</v>
      </c>
      <c r="C481" s="2">
        <v>298.14</v>
      </c>
      <c r="D481" s="28">
        <v>0</v>
      </c>
      <c r="E481" t="str">
        <f t="shared" si="21"/>
        <v>Profit</v>
      </c>
      <c r="F481" t="str">
        <f t="shared" si="22"/>
        <v>Low</v>
      </c>
      <c r="G481" t="str">
        <f>VLOOKUP(A481,DataSet!$1:$1048576,5,FALSE)</f>
        <v>Anaya Khan</v>
      </c>
      <c r="H481" s="29">
        <f>INDEX(DataSet!B:B,MATCH('Advanced  Formulas'!A481,DataSet!A:A,0))</f>
        <v>45405</v>
      </c>
      <c r="I481" s="29">
        <f>INDEX(DataSet!C:C,MATCH('Advanced  Formulas'!A481,DataSet!A:A,0))</f>
        <v>46426</v>
      </c>
      <c r="J481" t="str">
        <f t="shared" si="23"/>
        <v>Review</v>
      </c>
      <c r="K481" s="10" t="str">
        <f>CONCATENATE(DataSet!E481,"-",DataSet!G481)</f>
        <v>Anaya Khan-Delhi</v>
      </c>
    </row>
    <row r="482" spans="1:11">
      <c r="A482" t="str">
        <v>ORD-2024-00481</v>
      </c>
      <c r="B482" s="2">
        <v>8000</v>
      </c>
      <c r="C482" s="2">
        <v>2277.98</v>
      </c>
      <c r="D482" s="28">
        <v>0</v>
      </c>
      <c r="E482" t="str">
        <f t="shared" si="21"/>
        <v>Profit</v>
      </c>
      <c r="F482" t="str">
        <f t="shared" si="22"/>
        <v>High</v>
      </c>
      <c r="G482" t="str">
        <f>VLOOKUP(A482,DataSet!$1:$1048576,5,FALSE)</f>
        <v>Kabir Patel</v>
      </c>
      <c r="H482" s="29">
        <f>INDEX(DataSet!B:B,MATCH('Advanced  Formulas'!A482,DataSet!A:A,0))</f>
        <v>45324</v>
      </c>
      <c r="I482" s="29">
        <f>INDEX(DataSet!C:C,MATCH('Advanced  Formulas'!A482,DataSet!A:A,0))</f>
        <v>46427</v>
      </c>
      <c r="J482" t="str">
        <f t="shared" si="23"/>
        <v>Good Order</v>
      </c>
      <c r="K482" s="10" t="str">
        <f>CONCATENATE(DataSet!E482,"-",DataSet!G482)</f>
        <v>Kabir Patel-Bengaluru</v>
      </c>
    </row>
    <row r="483" spans="1:11">
      <c r="A483" t="str">
        <v>ORD-2026-00482</v>
      </c>
      <c r="B483" s="2">
        <v>5610</v>
      </c>
      <c r="C483" s="2">
        <v>921.14</v>
      </c>
      <c r="D483" s="28">
        <v>0.15</v>
      </c>
      <c r="E483" t="str">
        <f t="shared" si="21"/>
        <v>Profit</v>
      </c>
      <c r="F483" t="str">
        <f t="shared" si="22"/>
        <v>Medium</v>
      </c>
      <c r="G483" t="str">
        <f>VLOOKUP(A483,DataSet!$1:$1048576,5,FALSE)</f>
        <v>Aanya Rao</v>
      </c>
      <c r="H483" s="29">
        <f>INDEX(DataSet!B:B,MATCH('Advanced  Formulas'!A483,DataSet!A:A,0))</f>
        <v>46242</v>
      </c>
      <c r="I483" s="29">
        <f>INDEX(DataSet!C:C,MATCH('Advanced  Formulas'!A483,DataSet!A:A,0))</f>
        <v>46428</v>
      </c>
      <c r="J483" t="str">
        <f t="shared" si="23"/>
        <v>Good Order</v>
      </c>
      <c r="K483" s="10" t="str">
        <f>CONCATENATE(DataSet!E483,"-",DataSet!G483)</f>
        <v>Aanya Rao-Bhavnagar</v>
      </c>
    </row>
    <row r="484" spans="1:11">
      <c r="A484" t="str">
        <v>ORD-2026-00483</v>
      </c>
      <c r="B484" s="2">
        <v>3250</v>
      </c>
      <c r="C484" s="2">
        <v>436.81</v>
      </c>
      <c r="D484" s="28">
        <v>0</v>
      </c>
      <c r="E484" t="str">
        <f t="shared" si="21"/>
        <v>Profit</v>
      </c>
      <c r="F484" t="str">
        <f t="shared" si="22"/>
        <v>Medium</v>
      </c>
      <c r="G484" t="str">
        <f>VLOOKUP(A484,DataSet!$1:$1048576,5,FALSE)</f>
        <v>Dev Shah</v>
      </c>
      <c r="H484" s="29">
        <f>INDEX(DataSet!B:B,MATCH('Advanced  Formulas'!A484,DataSet!A:A,0))</f>
        <v>46135</v>
      </c>
      <c r="I484" s="29">
        <f>INDEX(DataSet!C:C,MATCH('Advanced  Formulas'!A484,DataSet!A:A,0))</f>
        <v>46429</v>
      </c>
      <c r="J484" t="str">
        <f t="shared" si="23"/>
        <v>Good Order</v>
      </c>
      <c r="K484" s="10" t="str">
        <f>CONCATENATE(DataSet!E484,"-",DataSet!G484)</f>
        <v>Dev Shah-Rajkot</v>
      </c>
    </row>
    <row r="485" spans="1:11">
      <c r="A485" t="str">
        <v>ORD-2025-00484</v>
      </c>
      <c r="B485" s="2">
        <v>306</v>
      </c>
      <c r="C485" s="2">
        <v>59.64</v>
      </c>
      <c r="D485" s="28">
        <v>0.15</v>
      </c>
      <c r="E485" t="str">
        <f t="shared" si="21"/>
        <v>Loss</v>
      </c>
      <c r="F485" t="str">
        <f t="shared" si="22"/>
        <v>Low</v>
      </c>
      <c r="G485" t="str">
        <f>VLOOKUP(A485,DataSet!$1:$1048576,5,FALSE)</f>
        <v>Kiara Verma</v>
      </c>
      <c r="H485" s="29">
        <f>INDEX(DataSet!B:B,MATCH('Advanced  Formulas'!A485,DataSet!A:A,0))</f>
        <v>45836</v>
      </c>
      <c r="I485" s="29">
        <f>INDEX(DataSet!C:C,MATCH('Advanced  Formulas'!A485,DataSet!A:A,0))</f>
        <v>46430</v>
      </c>
      <c r="J485" t="str">
        <f t="shared" si="23"/>
        <v>Review</v>
      </c>
      <c r="K485" s="10" t="str">
        <f>CONCATENATE(DataSet!E485,"-",DataSet!G485)</f>
        <v>Kiara Verma-Vadodara</v>
      </c>
    </row>
    <row r="486" spans="1:11">
      <c r="A486" t="str">
        <v>ORD-2026-00485</v>
      </c>
      <c r="B486" s="2">
        <v>5250</v>
      </c>
      <c r="C486" s="2">
        <v>1767.31</v>
      </c>
      <c r="D486" s="28">
        <v>0</v>
      </c>
      <c r="E486" t="str">
        <f t="shared" si="21"/>
        <v>Profit</v>
      </c>
      <c r="F486" t="str">
        <f t="shared" si="22"/>
        <v>Medium</v>
      </c>
      <c r="G486" t="str">
        <f>VLOOKUP(A486,DataSet!$1:$1048576,5,FALSE)</f>
        <v>Kiara Panjwani</v>
      </c>
      <c r="H486" s="29">
        <f>INDEX(DataSet!B:B,MATCH('Advanced  Formulas'!A486,DataSet!A:A,0))</f>
        <v>46056</v>
      </c>
      <c r="I486" s="29">
        <f>INDEX(DataSet!C:C,MATCH('Advanced  Formulas'!A486,DataSet!A:A,0))</f>
        <v>46431</v>
      </c>
      <c r="J486" t="str">
        <f t="shared" si="23"/>
        <v>Good Order</v>
      </c>
      <c r="K486" s="10" t="str">
        <f>CONCATENATE(DataSet!E486,"-",DataSet!G486)</f>
        <v>Kiara Panjwani-Hyderabad</v>
      </c>
    </row>
    <row r="487" spans="1:11">
      <c r="A487" t="str">
        <v>ORD-2025-00486</v>
      </c>
      <c r="B487" s="2">
        <v>9690</v>
      </c>
      <c r="C487" s="2">
        <v>966.28</v>
      </c>
      <c r="D487" s="28">
        <v>0.15</v>
      </c>
      <c r="E487" t="str">
        <f t="shared" si="21"/>
        <v>Profit</v>
      </c>
      <c r="F487" t="str">
        <f t="shared" si="22"/>
        <v>High</v>
      </c>
      <c r="G487" t="str">
        <f>VLOOKUP(A487,DataSet!$1:$1048576,5,FALSE)</f>
        <v>Zoya Panjwani</v>
      </c>
      <c r="H487" s="29">
        <f>INDEX(DataSet!B:B,MATCH('Advanced  Formulas'!A487,DataSet!A:A,0))</f>
        <v>45965</v>
      </c>
      <c r="I487" s="29">
        <f>INDEX(DataSet!C:C,MATCH('Advanced  Formulas'!A487,DataSet!A:A,0))</f>
        <v>46432</v>
      </c>
      <c r="J487" t="str">
        <f t="shared" si="23"/>
        <v>Good Order</v>
      </c>
      <c r="K487" s="10" t="str">
        <f>CONCATENATE(DataSet!E487,"-",DataSet!G487)</f>
        <v>Zoya Panjwani-Delhi</v>
      </c>
    </row>
    <row r="488" spans="1:11">
      <c r="A488" t="str">
        <v>ORD-2026-00487</v>
      </c>
      <c r="B488" s="2">
        <v>324</v>
      </c>
      <c r="C488" s="2">
        <v>53.76</v>
      </c>
      <c r="D488" s="28">
        <v>0.1</v>
      </c>
      <c r="E488" t="str">
        <f t="shared" si="21"/>
        <v>Loss</v>
      </c>
      <c r="F488" t="str">
        <f t="shared" si="22"/>
        <v>Low</v>
      </c>
      <c r="G488" t="str">
        <f>VLOOKUP(A488,DataSet!$1:$1048576,5,FALSE)</f>
        <v>Arjun Trivedi</v>
      </c>
      <c r="H488" s="29">
        <f>INDEX(DataSet!B:B,MATCH('Advanced  Formulas'!A488,DataSet!A:A,0))</f>
        <v>46137</v>
      </c>
      <c r="I488" s="29">
        <f>INDEX(DataSet!C:C,MATCH('Advanced  Formulas'!A488,DataSet!A:A,0))</f>
        <v>46433</v>
      </c>
      <c r="J488" t="str">
        <f t="shared" si="23"/>
        <v>Review</v>
      </c>
      <c r="K488" s="10" t="str">
        <f>CONCATENATE(DataSet!E488,"-",DataSet!G488)</f>
        <v>Arjun Trivedi-Mumbai</v>
      </c>
    </row>
    <row r="489" spans="1:11">
      <c r="A489" t="str">
        <v>ORD-2026-00488</v>
      </c>
      <c r="B489" s="2">
        <v>1232.5</v>
      </c>
      <c r="C489" s="2">
        <v>397.33</v>
      </c>
      <c r="D489" s="28">
        <v>0.15</v>
      </c>
      <c r="E489" t="str">
        <f t="shared" si="21"/>
        <v>Profit</v>
      </c>
      <c r="F489" t="str">
        <f t="shared" si="22"/>
        <v>Low</v>
      </c>
      <c r="G489" t="str">
        <f>VLOOKUP(A489,DataSet!$1:$1048576,5,FALSE)</f>
        <v>Sara Patel</v>
      </c>
      <c r="H489" s="29">
        <f>INDEX(DataSet!B:B,MATCH('Advanced  Formulas'!A489,DataSet!A:A,0))</f>
        <v>46274</v>
      </c>
      <c r="I489" s="29">
        <f>INDEX(DataSet!C:C,MATCH('Advanced  Formulas'!A489,DataSet!A:A,0))</f>
        <v>46278</v>
      </c>
      <c r="J489" t="str">
        <f t="shared" si="23"/>
        <v>Review</v>
      </c>
      <c r="K489" s="10" t="str">
        <f>CONCATENATE(DataSet!E489,"-",DataSet!G489)</f>
        <v>Sara Patel-Ahmedabad</v>
      </c>
    </row>
    <row r="490" spans="1:11">
      <c r="A490" t="str">
        <v>ORD-2024-00489</v>
      </c>
      <c r="B490" s="2">
        <v>4350</v>
      </c>
      <c r="C490" s="2">
        <v>1610.32</v>
      </c>
      <c r="D490" s="28">
        <v>0</v>
      </c>
      <c r="E490" t="str">
        <f t="shared" si="21"/>
        <v>Profit</v>
      </c>
      <c r="F490" t="str">
        <f t="shared" si="22"/>
        <v>Medium</v>
      </c>
      <c r="G490" t="str">
        <f>VLOOKUP(A490,DataSet!$1:$1048576,5,FALSE)</f>
        <v>Vivaan Mehta</v>
      </c>
      <c r="H490" s="29">
        <f>INDEX(DataSet!B:B,MATCH('Advanced  Formulas'!A490,DataSet!A:A,0))</f>
        <v>45511</v>
      </c>
      <c r="I490" s="29">
        <f>INDEX(DataSet!C:C,MATCH('Advanced  Formulas'!A490,DataSet!A:A,0))</f>
        <v>45518</v>
      </c>
      <c r="J490" t="str">
        <f t="shared" si="23"/>
        <v>Good Order</v>
      </c>
      <c r="K490" s="10" t="str">
        <f>CONCATENATE(DataSet!E490,"-",DataSet!G490)</f>
        <v>Vivaan Mehta-Mumbai</v>
      </c>
    </row>
    <row r="491" spans="1:11">
      <c r="A491" t="str">
        <v>ORD-2026-00490</v>
      </c>
      <c r="B491" s="2">
        <v>1600</v>
      </c>
      <c r="C491" s="2">
        <v>370.68</v>
      </c>
      <c r="D491" s="28">
        <v>0</v>
      </c>
      <c r="E491" t="str">
        <f t="shared" si="21"/>
        <v>Profit</v>
      </c>
      <c r="F491" t="str">
        <f t="shared" si="22"/>
        <v>Low</v>
      </c>
      <c r="G491" t="str">
        <f>VLOOKUP(A491,DataSet!$1:$1048576,5,FALSE)</f>
        <v>Reyansh Verma</v>
      </c>
      <c r="H491" s="29">
        <f>INDEX(DataSet!B:B,MATCH('Advanced  Formulas'!A491,DataSet!A:A,0))</f>
        <v>46202</v>
      </c>
      <c r="I491" s="29">
        <f>INDEX(DataSet!C:C,MATCH('Advanced  Formulas'!A491,DataSet!A:A,0))</f>
        <v>46207</v>
      </c>
      <c r="J491" t="str">
        <f t="shared" si="23"/>
        <v>Review</v>
      </c>
      <c r="K491" s="10" t="str">
        <f>CONCATENATE(DataSet!E491,"-",DataSet!G491)</f>
        <v>Reyansh Verma-Vadodara</v>
      </c>
    </row>
    <row r="492" spans="1:11">
      <c r="A492" t="str">
        <v>ORD-2026-00491</v>
      </c>
      <c r="B492" s="2">
        <v>374</v>
      </c>
      <c r="C492" s="2">
        <v>71.25</v>
      </c>
      <c r="D492" s="28">
        <v>0.15</v>
      </c>
      <c r="E492" t="str">
        <f t="shared" si="21"/>
        <v>Loss</v>
      </c>
      <c r="F492" t="str">
        <f t="shared" si="22"/>
        <v>Low</v>
      </c>
      <c r="G492" t="str">
        <f>VLOOKUP(A492,DataSet!$1:$1048576,5,FALSE)</f>
        <v>Yusuf Panjwani</v>
      </c>
      <c r="H492" s="29">
        <f>INDEX(DataSet!B:B,MATCH('Advanced  Formulas'!A492,DataSet!A:A,0))</f>
        <v>46103</v>
      </c>
      <c r="I492" s="29">
        <f>INDEX(DataSet!C:C,MATCH('Advanced  Formulas'!A492,DataSet!A:A,0))</f>
        <v>46107</v>
      </c>
      <c r="J492" t="str">
        <f t="shared" si="23"/>
        <v>Review</v>
      </c>
      <c r="K492" s="10" t="str">
        <f>CONCATENATE(DataSet!E492,"-",DataSet!G492)</f>
        <v>Yusuf Panjwani-Surat</v>
      </c>
    </row>
    <row r="493" spans="1:11">
      <c r="A493" t="str">
        <v>ORD-2026-00492</v>
      </c>
      <c r="B493" s="2">
        <v>5250</v>
      </c>
      <c r="C493" s="2">
        <v>807.74</v>
      </c>
      <c r="D493" s="28">
        <v>0</v>
      </c>
      <c r="E493" t="str">
        <f t="shared" si="21"/>
        <v>Profit</v>
      </c>
      <c r="F493" t="str">
        <f t="shared" si="22"/>
        <v>Medium</v>
      </c>
      <c r="G493" t="str">
        <f>VLOOKUP(A493,DataSet!$1:$1048576,5,FALSE)</f>
        <v>Meera Sheikh</v>
      </c>
      <c r="H493" s="29">
        <f>INDEX(DataSet!B:B,MATCH('Advanced  Formulas'!A493,DataSet!A:A,0))</f>
        <v>46235</v>
      </c>
      <c r="I493" s="29">
        <f>INDEX(DataSet!C:C,MATCH('Advanced  Formulas'!A493,DataSet!A:A,0))</f>
        <v>46242</v>
      </c>
      <c r="J493" t="str">
        <f t="shared" si="23"/>
        <v>Good Order</v>
      </c>
      <c r="K493" s="10" t="str">
        <f>CONCATENATE(DataSet!E493,"-",DataSet!G493)</f>
        <v>Meera Sheikh-Mumbai</v>
      </c>
    </row>
    <row r="494" spans="1:11">
      <c r="A494" t="str">
        <v>ORD-2024-00493</v>
      </c>
      <c r="B494" s="2">
        <v>4132.5</v>
      </c>
      <c r="C494" s="2">
        <v>999.55</v>
      </c>
      <c r="D494" s="28">
        <v>0.05</v>
      </c>
      <c r="E494" t="str">
        <f t="shared" si="21"/>
        <v>Profit</v>
      </c>
      <c r="F494" t="str">
        <f t="shared" si="22"/>
        <v>Medium</v>
      </c>
      <c r="G494" t="str">
        <f>VLOOKUP(A494,DataSet!$1:$1048576,5,FALSE)</f>
        <v>Vivaan Patel</v>
      </c>
      <c r="H494" s="29">
        <f>INDEX(DataSet!B:B,MATCH('Advanced  Formulas'!A494,DataSet!A:A,0))</f>
        <v>45347</v>
      </c>
      <c r="I494" s="29">
        <f>INDEX(DataSet!C:C,MATCH('Advanced  Formulas'!A494,DataSet!A:A,0))</f>
        <v>45350</v>
      </c>
      <c r="J494" t="str">
        <f t="shared" si="23"/>
        <v>Good Order</v>
      </c>
      <c r="K494" s="10" t="str">
        <f>CONCATENATE(DataSet!E494,"-",DataSet!G494)</f>
        <v>Vivaan Patel-Delhi</v>
      </c>
    </row>
    <row r="495" spans="1:11">
      <c r="A495" t="str">
        <v>ORD-2026-00494</v>
      </c>
      <c r="B495" s="2">
        <v>6317.5</v>
      </c>
      <c r="C495" s="2">
        <v>1061.6199999999999</v>
      </c>
      <c r="D495" s="28">
        <v>0.05</v>
      </c>
      <c r="E495" t="str">
        <f t="shared" si="21"/>
        <v>Profit</v>
      </c>
      <c r="F495" t="str">
        <f t="shared" si="22"/>
        <v>High</v>
      </c>
      <c r="G495" t="str">
        <f>VLOOKUP(A495,DataSet!$1:$1048576,5,FALSE)</f>
        <v>Vivaan Trivedi</v>
      </c>
      <c r="H495" s="29">
        <f>INDEX(DataSet!B:B,MATCH('Advanced  Formulas'!A495,DataSet!A:A,0))</f>
        <v>46286</v>
      </c>
      <c r="I495" s="29">
        <f>INDEX(DataSet!C:C,MATCH('Advanced  Formulas'!A495,DataSet!A:A,0))</f>
        <v>46290</v>
      </c>
      <c r="J495" t="str">
        <f t="shared" si="23"/>
        <v>Good Order</v>
      </c>
      <c r="K495" s="10" t="str">
        <f>CONCATENATE(DataSet!E495,"-",DataSet!G495)</f>
        <v>Vivaan Trivedi-Hyderabad</v>
      </c>
    </row>
    <row r="496" spans="1:11">
      <c r="A496" t="str">
        <v>ORD-2025-00495</v>
      </c>
      <c r="B496" s="2">
        <v>3420</v>
      </c>
      <c r="C496" s="2">
        <v>802.08</v>
      </c>
      <c r="D496" s="28">
        <v>0.1</v>
      </c>
      <c r="E496" t="str">
        <f t="shared" si="21"/>
        <v>Profit</v>
      </c>
      <c r="F496" t="str">
        <f t="shared" si="22"/>
        <v>Medium</v>
      </c>
      <c r="G496" t="str">
        <f>VLOOKUP(A496,DataSet!$1:$1048576,5,FALSE)</f>
        <v>Vivaan Iyer</v>
      </c>
      <c r="H496" s="29">
        <f>INDEX(DataSet!B:B,MATCH('Advanced  Formulas'!A496,DataSet!A:A,0))</f>
        <v>45877</v>
      </c>
      <c r="I496" s="29">
        <f>INDEX(DataSet!C:C,MATCH('Advanced  Formulas'!A496,DataSet!A:A,0))</f>
        <v>45883</v>
      </c>
      <c r="J496" t="str">
        <f t="shared" si="23"/>
        <v>Good Order</v>
      </c>
      <c r="K496" s="10" t="str">
        <f>CONCATENATE(DataSet!E496,"-",DataSet!G496)</f>
        <v>Vivaan Iyer-Ahmedabad</v>
      </c>
    </row>
    <row r="497" spans="1:11">
      <c r="A497" t="str">
        <v>ORD-2025-00496</v>
      </c>
      <c r="B497" s="2">
        <v>748</v>
      </c>
      <c r="C497" s="2">
        <v>147.61000000000001</v>
      </c>
      <c r="D497" s="28">
        <v>0.15</v>
      </c>
      <c r="E497" t="str">
        <f t="shared" si="21"/>
        <v>Loss</v>
      </c>
      <c r="F497" t="str">
        <f t="shared" si="22"/>
        <v>Low</v>
      </c>
      <c r="G497" t="str">
        <f>VLOOKUP(A497,DataSet!$1:$1048576,5,FALSE)</f>
        <v>Dev Desai</v>
      </c>
      <c r="H497" s="29">
        <f>INDEX(DataSet!B:B,MATCH('Advanced  Formulas'!A497,DataSet!A:A,0))</f>
        <v>45864</v>
      </c>
      <c r="I497" s="29">
        <f>INDEX(DataSet!C:C,MATCH('Advanced  Formulas'!A497,DataSet!A:A,0))</f>
        <v>45866</v>
      </c>
      <c r="J497" t="str">
        <f t="shared" si="23"/>
        <v>Review</v>
      </c>
      <c r="K497" s="10" t="str">
        <f>CONCATENATE(DataSet!E497,"-",DataSet!G497)</f>
        <v>Dev Desai-Jaipur</v>
      </c>
    </row>
    <row r="498" spans="1:11">
      <c r="A498" t="str">
        <v>ORD-2024-00497</v>
      </c>
      <c r="B498" s="2">
        <v>6200</v>
      </c>
      <c r="C498" s="2">
        <v>1273.1400000000001</v>
      </c>
      <c r="D498" s="28">
        <v>0</v>
      </c>
      <c r="E498" t="str">
        <f t="shared" si="21"/>
        <v>Profit</v>
      </c>
      <c r="F498" t="str">
        <f t="shared" si="22"/>
        <v>High</v>
      </c>
      <c r="G498" t="str">
        <f>VLOOKUP(A498,DataSet!$1:$1048576,5,FALSE)</f>
        <v>Zoya Trivedi</v>
      </c>
      <c r="H498" s="29">
        <f>INDEX(DataSet!B:B,MATCH('Advanced  Formulas'!A498,DataSet!A:A,0))</f>
        <v>45564</v>
      </c>
      <c r="I498" s="29">
        <f>INDEX(DataSet!C:C,MATCH('Advanced  Formulas'!A498,DataSet!A:A,0))</f>
        <v>45571</v>
      </c>
      <c r="J498" t="str">
        <f t="shared" si="23"/>
        <v>Good Order</v>
      </c>
      <c r="K498" s="10" t="str">
        <f>CONCATENATE(DataSet!E498,"-",DataSet!G498)</f>
        <v>Zoya Trivedi-Pune</v>
      </c>
    </row>
    <row r="499" spans="1:11">
      <c r="A499" t="str">
        <v>ORD-2024-00498</v>
      </c>
      <c r="B499" s="2">
        <v>4132.5</v>
      </c>
      <c r="C499" s="2">
        <v>877.26</v>
      </c>
      <c r="D499" s="28">
        <v>0.05</v>
      </c>
      <c r="E499" t="str">
        <f t="shared" si="21"/>
        <v>Profit</v>
      </c>
      <c r="F499" t="str">
        <f t="shared" si="22"/>
        <v>Medium</v>
      </c>
      <c r="G499" t="str">
        <f>VLOOKUP(A499,DataSet!$1:$1048576,5,FALSE)</f>
        <v>Rohan Dave</v>
      </c>
      <c r="H499" s="29">
        <f>INDEX(DataSet!B:B,MATCH('Advanced  Formulas'!A499,DataSet!A:A,0))</f>
        <v>45644</v>
      </c>
      <c r="I499" s="29">
        <f>INDEX(DataSet!C:C,MATCH('Advanced  Formulas'!A499,DataSet!A:A,0))</f>
        <v>45649</v>
      </c>
      <c r="J499" t="str">
        <f t="shared" si="23"/>
        <v>Good Order</v>
      </c>
      <c r="K499" s="10" t="str">
        <f>CONCATENATE(DataSet!E499,"-",DataSet!G499)</f>
        <v>Rohan Dave-Bengaluru</v>
      </c>
    </row>
    <row r="500" spans="1:11">
      <c r="A500" t="str">
        <v>ORD-2024-00499</v>
      </c>
      <c r="B500" s="2">
        <v>768</v>
      </c>
      <c r="C500" s="2">
        <v>98.52</v>
      </c>
      <c r="D500" s="28">
        <v>0.2</v>
      </c>
      <c r="E500" t="str">
        <f t="shared" si="21"/>
        <v>Loss</v>
      </c>
      <c r="F500" t="str">
        <f t="shared" si="22"/>
        <v>Low</v>
      </c>
      <c r="G500" t="str">
        <f>VLOOKUP(A500,DataSet!$1:$1048576,5,FALSE)</f>
        <v>Diya Desai</v>
      </c>
      <c r="H500" s="29">
        <f>INDEX(DataSet!B:B,MATCH('Advanced  Formulas'!A500,DataSet!A:A,0))</f>
        <v>45337</v>
      </c>
      <c r="I500" s="29">
        <f>INDEX(DataSet!C:C,MATCH('Advanced  Formulas'!A500,DataSet!A:A,0))</f>
        <v>45344</v>
      </c>
      <c r="J500" t="str">
        <f t="shared" si="23"/>
        <v>Review</v>
      </c>
      <c r="K500" s="10" t="str">
        <f>CONCATENATE(DataSet!E500,"-",DataSet!G500)</f>
        <v>Diya Desai-Vadodara</v>
      </c>
    </row>
    <row r="501" spans="1:11">
      <c r="A501" t="str">
        <v>ORD-2026-00500</v>
      </c>
      <c r="B501" s="2">
        <v>20160</v>
      </c>
      <c r="C501" s="2">
        <v>2840.28</v>
      </c>
      <c r="D501" s="28">
        <v>0.2</v>
      </c>
      <c r="E501" t="str">
        <f t="shared" si="21"/>
        <v>Profit</v>
      </c>
      <c r="F501" t="str">
        <f t="shared" si="22"/>
        <v>High</v>
      </c>
      <c r="G501" t="str">
        <f>VLOOKUP(A501,DataSet!$1:$1048576,5,FALSE)</f>
        <v>Rohan Khan</v>
      </c>
      <c r="H501" s="29">
        <f>INDEX(DataSet!B:B,MATCH('Advanced  Formulas'!A501,DataSet!A:A,0))</f>
        <v>46181</v>
      </c>
      <c r="I501" s="29">
        <f>INDEX(DataSet!C:C,MATCH('Advanced  Formulas'!A501,DataSet!A:A,0))</f>
        <v>46188</v>
      </c>
      <c r="J501" t="str">
        <f t="shared" si="23"/>
        <v>Good Order</v>
      </c>
      <c r="K501" s="10" t="str">
        <f>CONCATENATE(DataSet!E501,"-",DataSet!G501)</f>
        <v>Rohan Khan-Kolkata</v>
      </c>
    </row>
    <row r="502" spans="1:11">
      <c r="A502" t="str">
        <v>ORD-2024-00501</v>
      </c>
      <c r="B502" s="2">
        <v>510</v>
      </c>
      <c r="C502" s="2">
        <v>118.28</v>
      </c>
      <c r="D502" s="28">
        <v>0.15</v>
      </c>
      <c r="E502" t="str">
        <f t="shared" si="21"/>
        <v>Loss</v>
      </c>
      <c r="F502" t="str">
        <f t="shared" si="22"/>
        <v>Low</v>
      </c>
      <c r="G502" t="str">
        <f>VLOOKUP(A502,DataSet!$1:$1048576,5,FALSE)</f>
        <v>Vivaan Verma</v>
      </c>
      <c r="H502" s="29">
        <f>INDEX(DataSet!B:B,MATCH('Advanced  Formulas'!A502,DataSet!A:A,0))</f>
        <v>45506</v>
      </c>
      <c r="I502" s="29">
        <f>INDEX(DataSet!C:C,MATCH('Advanced  Formulas'!A502,DataSet!A:A,0))</f>
        <v>45512</v>
      </c>
      <c r="J502" t="str">
        <f t="shared" si="23"/>
        <v>Review</v>
      </c>
      <c r="K502" s="10" t="str">
        <f>CONCATENATE(DataSet!E502,"-",DataSet!G502)</f>
        <v>Vivaan Verma-Delhi</v>
      </c>
    </row>
    <row r="503" spans="1:11">
      <c r="A503" t="str">
        <v>ORD-2025-00502</v>
      </c>
      <c r="B503" s="2">
        <v>4350</v>
      </c>
      <c r="C503" s="2">
        <v>1331.78</v>
      </c>
      <c r="D503" s="28">
        <v>0</v>
      </c>
      <c r="E503" t="str">
        <f t="shared" si="21"/>
        <v>Profit</v>
      </c>
      <c r="F503" t="str">
        <f t="shared" si="22"/>
        <v>Medium</v>
      </c>
      <c r="G503" t="str">
        <f>VLOOKUP(A503,DataSet!$1:$1048576,5,FALSE)</f>
        <v>Meera Joshi</v>
      </c>
      <c r="H503" s="29">
        <f>INDEX(DataSet!B:B,MATCH('Advanced  Formulas'!A503,DataSet!A:A,0))</f>
        <v>45677</v>
      </c>
      <c r="I503" s="29">
        <f>INDEX(DataSet!C:C,MATCH('Advanced  Formulas'!A503,DataSet!A:A,0))</f>
        <v>45682</v>
      </c>
      <c r="J503" t="str">
        <f t="shared" si="23"/>
        <v>Good Order</v>
      </c>
      <c r="K503" s="10" t="str">
        <f>CONCATENATE(DataSet!E503,"-",DataSet!G503)</f>
        <v>Meera Joshi-Indore</v>
      </c>
    </row>
    <row r="504" spans="1:11">
      <c r="A504" t="str">
        <v>ORD-2025-00503</v>
      </c>
      <c r="B504" s="2">
        <v>11400</v>
      </c>
      <c r="C504" s="2">
        <v>4275.45</v>
      </c>
      <c r="D504" s="28">
        <v>0</v>
      </c>
      <c r="E504" t="str">
        <f t="shared" si="21"/>
        <v>Profit</v>
      </c>
      <c r="F504" t="str">
        <f t="shared" si="22"/>
        <v>High</v>
      </c>
      <c r="G504" t="str">
        <f>VLOOKUP(A504,DataSet!$1:$1048576,5,FALSE)</f>
        <v>Krish Desai</v>
      </c>
      <c r="H504" s="29">
        <f>INDEX(DataSet!B:B,MATCH('Advanced  Formulas'!A504,DataSet!A:A,0))</f>
        <v>45962</v>
      </c>
      <c r="I504" s="29">
        <f>INDEX(DataSet!C:C,MATCH('Advanced  Formulas'!A504,DataSet!A:A,0))</f>
        <v>45963</v>
      </c>
      <c r="J504" t="str">
        <f t="shared" si="23"/>
        <v>Good Order</v>
      </c>
      <c r="K504" s="10" t="str">
        <f>CONCATENATE(DataSet!E504,"-",DataSet!G504)</f>
        <v>Krish Desai-Bhavnagar</v>
      </c>
    </row>
    <row r="505" spans="1:11">
      <c r="A505" t="str">
        <v>ORD-2026-00504</v>
      </c>
      <c r="B505" s="2">
        <v>1500</v>
      </c>
      <c r="C505" s="2">
        <v>492.44</v>
      </c>
      <c r="D505" s="28">
        <v>0</v>
      </c>
      <c r="E505" t="str">
        <f t="shared" si="21"/>
        <v>Profit</v>
      </c>
      <c r="F505" t="str">
        <f t="shared" si="22"/>
        <v>Low</v>
      </c>
      <c r="G505" t="str">
        <f>VLOOKUP(A505,DataSet!$1:$1048576,5,FALSE)</f>
        <v>Rohan Soni</v>
      </c>
      <c r="H505" s="29">
        <f>INDEX(DataSet!B:B,MATCH('Advanced  Formulas'!A505,DataSet!A:A,0))</f>
        <v>46292</v>
      </c>
      <c r="I505" s="29">
        <f>INDEX(DataSet!C:C,MATCH('Advanced  Formulas'!A505,DataSet!A:A,0))</f>
        <v>46298</v>
      </c>
      <c r="J505" t="str">
        <f t="shared" si="23"/>
        <v>Review</v>
      </c>
      <c r="K505" s="10" t="str">
        <f>CONCATENATE(DataSet!E505,"-",DataSet!G505)</f>
        <v>Rohan Soni-Bhavnagar</v>
      </c>
    </row>
    <row r="506" spans="1:11">
      <c r="A506" t="str">
        <v>ORD-2024-00505</v>
      </c>
      <c r="B506" s="2">
        <v>20160</v>
      </c>
      <c r="C506" s="2">
        <v>3456.6</v>
      </c>
      <c r="D506" s="28">
        <v>0.1</v>
      </c>
      <c r="E506" t="str">
        <f t="shared" si="21"/>
        <v>Profit</v>
      </c>
      <c r="F506" t="str">
        <f t="shared" si="22"/>
        <v>High</v>
      </c>
      <c r="G506" t="str">
        <f>VLOOKUP(A506,DataSet!$1:$1048576,5,FALSE)</f>
        <v>Zoya Kapoor</v>
      </c>
      <c r="H506" s="29">
        <f>INDEX(DataSet!B:B,MATCH('Advanced  Formulas'!A506,DataSet!A:A,0))</f>
        <v>45332</v>
      </c>
      <c r="I506" s="29">
        <f>INDEX(DataSet!C:C,MATCH('Advanced  Formulas'!A506,DataSet!A:A,0))</f>
        <v>45334</v>
      </c>
      <c r="J506" t="str">
        <f t="shared" si="23"/>
        <v>Good Order</v>
      </c>
      <c r="K506" s="10" t="str">
        <f>CONCATENATE(DataSet!E506,"-",DataSet!G506)</f>
        <v>Zoya Kapoor-Indore</v>
      </c>
    </row>
    <row r="507" spans="1:11">
      <c r="A507" t="str">
        <v>ORD-2025-00506</v>
      </c>
      <c r="B507" s="2">
        <v>18900</v>
      </c>
      <c r="C507" s="2">
        <v>2523.06</v>
      </c>
      <c r="D507" s="28">
        <v>0.1</v>
      </c>
      <c r="E507" t="str">
        <f t="shared" si="21"/>
        <v>Profit</v>
      </c>
      <c r="F507" t="str">
        <f t="shared" si="22"/>
        <v>High</v>
      </c>
      <c r="G507" t="str">
        <f>VLOOKUP(A507,DataSet!$1:$1048576,5,FALSE)</f>
        <v>Aarav Soni</v>
      </c>
      <c r="H507" s="29">
        <f>INDEX(DataSet!B:B,MATCH('Advanced  Formulas'!A507,DataSet!A:A,0))</f>
        <v>45932</v>
      </c>
      <c r="I507" s="29">
        <f>INDEX(DataSet!C:C,MATCH('Advanced  Formulas'!A507,DataSet!A:A,0))</f>
        <v>45935</v>
      </c>
      <c r="J507" t="str">
        <f t="shared" si="23"/>
        <v>Good Order</v>
      </c>
      <c r="K507" s="10" t="str">
        <f>CONCATENATE(DataSet!E507,"-",DataSet!G507)</f>
        <v>Aarav Soni-Vadodara</v>
      </c>
    </row>
    <row r="508" spans="1:11">
      <c r="A508" t="str">
        <v>ORD-2024-00507</v>
      </c>
      <c r="B508" s="2">
        <v>560</v>
      </c>
      <c r="C508" s="2">
        <v>140.35</v>
      </c>
      <c r="D508" s="28">
        <v>0.2</v>
      </c>
      <c r="E508" t="str">
        <f t="shared" si="21"/>
        <v>Loss</v>
      </c>
      <c r="F508" t="str">
        <f t="shared" si="22"/>
        <v>Low</v>
      </c>
      <c r="G508" t="str">
        <f>VLOOKUP(A508,DataSet!$1:$1048576,5,FALSE)</f>
        <v>Meera Rao</v>
      </c>
      <c r="H508" s="29">
        <f>INDEX(DataSet!B:B,MATCH('Advanced  Formulas'!A508,DataSet!A:A,0))</f>
        <v>45447</v>
      </c>
      <c r="I508" s="29">
        <f>INDEX(DataSet!C:C,MATCH('Advanced  Formulas'!A508,DataSet!A:A,0))</f>
        <v>45450</v>
      </c>
      <c r="J508" t="str">
        <f t="shared" si="23"/>
        <v>Review</v>
      </c>
      <c r="K508" s="10" t="str">
        <f>CONCATENATE(DataSet!E508,"-",DataSet!G508)</f>
        <v>Meera Rao-Indore</v>
      </c>
    </row>
    <row r="509" spans="1:11">
      <c r="A509" t="str">
        <v>ORD-2025-00508</v>
      </c>
      <c r="B509" s="2">
        <v>637.5</v>
      </c>
      <c r="C509" s="2">
        <v>173.33</v>
      </c>
      <c r="D509" s="28">
        <v>0.15</v>
      </c>
      <c r="E509" t="str">
        <f t="shared" si="21"/>
        <v>Loss</v>
      </c>
      <c r="F509" t="str">
        <f t="shared" si="22"/>
        <v>Low</v>
      </c>
      <c r="G509" t="str">
        <f>VLOOKUP(A509,DataSet!$1:$1048576,5,FALSE)</f>
        <v>Vivaan Desai</v>
      </c>
      <c r="H509" s="29">
        <f>INDEX(DataSet!B:B,MATCH('Advanced  Formulas'!A509,DataSet!A:A,0))</f>
        <v>45719</v>
      </c>
      <c r="I509" s="29">
        <f>INDEX(DataSet!C:C,MATCH('Advanced  Formulas'!A509,DataSet!A:A,0))</f>
        <v>45721</v>
      </c>
      <c r="J509" t="str">
        <f t="shared" si="23"/>
        <v>Review</v>
      </c>
      <c r="K509" s="10" t="str">
        <f>CONCATENATE(DataSet!E509,"-",DataSet!G509)</f>
        <v>Vivaan Desai-Lucknow</v>
      </c>
    </row>
    <row r="510" spans="1:11">
      <c r="A510" t="str">
        <v>ORD-2025-00509</v>
      </c>
      <c r="B510" s="2">
        <v>480</v>
      </c>
      <c r="C510" s="2">
        <v>80</v>
      </c>
      <c r="D510" s="28">
        <v>0.2</v>
      </c>
      <c r="E510" t="str">
        <f t="shared" si="21"/>
        <v>Loss</v>
      </c>
      <c r="F510" t="str">
        <f t="shared" si="22"/>
        <v>Low</v>
      </c>
      <c r="G510" t="str">
        <f>VLOOKUP(A510,DataSet!$1:$1048576,5,FALSE)</f>
        <v>Vivaan Panjwani</v>
      </c>
      <c r="H510" s="29">
        <f>INDEX(DataSet!B:B,MATCH('Advanced  Formulas'!A510,DataSet!A:A,0))</f>
        <v>45886</v>
      </c>
      <c r="I510" s="29">
        <f>INDEX(DataSet!C:C,MATCH('Advanced  Formulas'!A510,DataSet!A:A,0))</f>
        <v>45891</v>
      </c>
      <c r="J510" t="str">
        <f t="shared" si="23"/>
        <v>Review</v>
      </c>
      <c r="K510" s="10" t="str">
        <f>CONCATENATE(DataSet!E510,"-",DataSet!G510)</f>
        <v>Vivaan Panjwani-Bengaluru</v>
      </c>
    </row>
    <row r="511" spans="1:11">
      <c r="A511" t="str">
        <v>ORD-2026-00510</v>
      </c>
      <c r="B511" s="2">
        <v>17000</v>
      </c>
      <c r="C511" s="2">
        <v>5056.22</v>
      </c>
      <c r="D511" s="28">
        <v>0</v>
      </c>
      <c r="E511" t="str">
        <f t="shared" si="21"/>
        <v>Profit</v>
      </c>
      <c r="F511" t="str">
        <f t="shared" si="22"/>
        <v>High</v>
      </c>
      <c r="G511" t="str">
        <f>VLOOKUP(A511,DataSet!$1:$1048576,5,FALSE)</f>
        <v>Vivaan Verma</v>
      </c>
      <c r="H511" s="29">
        <f>INDEX(DataSet!B:B,MATCH('Advanced  Formulas'!A511,DataSet!A:A,0))</f>
        <v>46231</v>
      </c>
      <c r="I511" s="29">
        <f>INDEX(DataSet!C:C,MATCH('Advanced  Formulas'!A511,DataSet!A:A,0))</f>
        <v>46233</v>
      </c>
      <c r="J511" t="str">
        <f t="shared" si="23"/>
        <v>Good Order</v>
      </c>
      <c r="K511" s="10" t="str">
        <f>CONCATENATE(DataSet!E511,"-",DataSet!G511)</f>
        <v>Vivaan Verma-Mumbai</v>
      </c>
    </row>
    <row r="512" spans="1:11">
      <c r="A512" t="str">
        <v>ORD-2026-00511</v>
      </c>
      <c r="B512" s="2">
        <v>3750</v>
      </c>
      <c r="C512" s="2">
        <v>665.37</v>
      </c>
      <c r="D512" s="28">
        <v>0</v>
      </c>
      <c r="E512" t="str">
        <f t="shared" si="21"/>
        <v>Profit</v>
      </c>
      <c r="F512" t="str">
        <f t="shared" si="22"/>
        <v>Medium</v>
      </c>
      <c r="G512" t="str">
        <f>VLOOKUP(A512,DataSet!$1:$1048576,5,FALSE)</f>
        <v>Vivaan Mehta</v>
      </c>
      <c r="H512" s="29">
        <f>INDEX(DataSet!B:B,MATCH('Advanced  Formulas'!A512,DataSet!A:A,0))</f>
        <v>46193</v>
      </c>
      <c r="I512" s="29">
        <f>INDEX(DataSet!C:C,MATCH('Advanced  Formulas'!A512,DataSet!A:A,0))</f>
        <v>46197</v>
      </c>
      <c r="J512" t="str">
        <f t="shared" si="23"/>
        <v>Good Order</v>
      </c>
      <c r="K512" s="10" t="str">
        <f>CONCATENATE(DataSet!E512,"-",DataSet!G512)</f>
        <v>Vivaan Mehta-Pune</v>
      </c>
    </row>
    <row r="513" spans="1:11">
      <c r="A513" t="str">
        <v>ORD-2025-00512</v>
      </c>
      <c r="B513" s="2">
        <v>360</v>
      </c>
      <c r="C513" s="2">
        <v>72.459999999999994</v>
      </c>
      <c r="D513" s="28">
        <v>0</v>
      </c>
      <c r="E513" t="str">
        <f t="shared" si="21"/>
        <v>Loss</v>
      </c>
      <c r="F513" t="str">
        <f t="shared" si="22"/>
        <v>Low</v>
      </c>
      <c r="G513" t="str">
        <f>VLOOKUP(A513,DataSet!$1:$1048576,5,FALSE)</f>
        <v>Kabir Verma</v>
      </c>
      <c r="H513" s="29">
        <f>INDEX(DataSet!B:B,MATCH('Advanced  Formulas'!A513,DataSet!A:A,0))</f>
        <v>45923</v>
      </c>
      <c r="I513" s="29">
        <f>INDEX(DataSet!C:C,MATCH('Advanced  Formulas'!A513,DataSet!A:A,0))</f>
        <v>45926</v>
      </c>
      <c r="J513" t="str">
        <f t="shared" si="23"/>
        <v>Review</v>
      </c>
      <c r="K513" s="10" t="str">
        <f>CONCATENATE(DataSet!E513,"-",DataSet!G513)</f>
        <v>Kabir Verma-Lucknow</v>
      </c>
    </row>
    <row r="514" spans="1:11">
      <c r="A514" t="str">
        <v>ORD-2025-00513</v>
      </c>
      <c r="B514" s="2">
        <v>5130</v>
      </c>
      <c r="C514" s="2">
        <v>1216.96</v>
      </c>
      <c r="D514" s="28">
        <v>0.1</v>
      </c>
      <c r="E514" t="str">
        <f t="shared" si="21"/>
        <v>Profit</v>
      </c>
      <c r="F514" t="str">
        <f t="shared" si="22"/>
        <v>Medium</v>
      </c>
      <c r="G514" t="str">
        <f>VLOOKUP(A514,DataSet!$1:$1048576,5,FALSE)</f>
        <v>Isha Desai</v>
      </c>
      <c r="H514" s="29">
        <f>INDEX(DataSet!B:B,MATCH('Advanced  Formulas'!A514,DataSet!A:A,0))</f>
        <v>45806</v>
      </c>
      <c r="I514" s="29">
        <f>INDEX(DataSet!C:C,MATCH('Advanced  Formulas'!A514,DataSet!A:A,0))</f>
        <v>45813</v>
      </c>
      <c r="J514" t="str">
        <f t="shared" si="23"/>
        <v>Good Order</v>
      </c>
      <c r="K514" s="10" t="str">
        <f>CONCATENATE(DataSet!E514,"-",DataSet!G514)</f>
        <v>Isha Desai-Lucknow</v>
      </c>
    </row>
    <row r="515" spans="1:11">
      <c r="A515" t="str">
        <v>ORD-2025-00514</v>
      </c>
      <c r="B515" s="2">
        <v>2400</v>
      </c>
      <c r="C515" s="2">
        <v>421.08</v>
      </c>
      <c r="D515" s="28">
        <v>0.2</v>
      </c>
      <c r="E515" t="str">
        <f t="shared" ref="E515:E578" si="24">IF(C515&gt;200,"Profit","Loss")</f>
        <v>Profit</v>
      </c>
      <c r="F515" t="str">
        <f t="shared" ref="F515:F578" si="25">IF(B515&gt;6000,"High",IF(B515&gt;=3000,"Medium",IF(B515&lt;3000,"Low")))</f>
        <v>Low</v>
      </c>
      <c r="G515" t="str">
        <f>VLOOKUP(A515,DataSet!$1:$1048576,5,FALSE)</f>
        <v>Reyansh Shah</v>
      </c>
      <c r="H515" s="29">
        <f>INDEX(DataSet!B:B,MATCH('Advanced  Formulas'!A515,DataSet!A:A,0))</f>
        <v>45710</v>
      </c>
      <c r="I515" s="29">
        <f>INDEX(DataSet!C:C,MATCH('Advanced  Formulas'!A515,DataSet!A:A,0))</f>
        <v>45717</v>
      </c>
      <c r="J515" t="str">
        <f t="shared" ref="J515:J578" si="26">IF(AND(B515&gt;3000,C515&gt;0),"Good Order","Review")</f>
        <v>Review</v>
      </c>
      <c r="K515" s="10" t="str">
        <f>CONCATENATE(DataSet!E515,"-",DataSet!G515)</f>
        <v>Reyansh Shah-Ahmedabad</v>
      </c>
    </row>
    <row r="516" spans="1:11">
      <c r="A516" t="str">
        <v>ORD-2026-00515</v>
      </c>
      <c r="B516" s="2">
        <v>2700</v>
      </c>
      <c r="C516" s="2">
        <v>701.28</v>
      </c>
      <c r="D516" s="28">
        <v>0.1</v>
      </c>
      <c r="E516" t="str">
        <f t="shared" si="24"/>
        <v>Profit</v>
      </c>
      <c r="F516" t="str">
        <f t="shared" si="25"/>
        <v>Low</v>
      </c>
      <c r="G516" t="str">
        <f>VLOOKUP(A516,DataSet!$1:$1048576,5,FALSE)</f>
        <v>Meera Verma</v>
      </c>
      <c r="H516" s="29">
        <f>INDEX(DataSet!B:B,MATCH('Advanced  Formulas'!A516,DataSet!A:A,0))</f>
        <v>46179</v>
      </c>
      <c r="I516" s="29">
        <f>INDEX(DataSet!C:C,MATCH('Advanced  Formulas'!A516,DataSet!A:A,0))</f>
        <v>46184</v>
      </c>
      <c r="J516" t="str">
        <f t="shared" si="26"/>
        <v>Review</v>
      </c>
      <c r="K516" s="10" t="str">
        <f>CONCATENATE(DataSet!E516,"-",DataSet!G516)</f>
        <v>Meera Verma-Jaipur</v>
      </c>
    </row>
    <row r="517" spans="1:11">
      <c r="A517" t="str">
        <v>ORD-2025-00516</v>
      </c>
      <c r="B517" s="2">
        <v>15300</v>
      </c>
      <c r="C517" s="2">
        <v>3766.95</v>
      </c>
      <c r="D517" s="28">
        <v>0.1</v>
      </c>
      <c r="E517" t="str">
        <f t="shared" si="24"/>
        <v>Profit</v>
      </c>
      <c r="F517" t="str">
        <f t="shared" si="25"/>
        <v>High</v>
      </c>
      <c r="G517" t="str">
        <f>VLOOKUP(A517,DataSet!$1:$1048576,5,FALSE)</f>
        <v>Diya Sheikh</v>
      </c>
      <c r="H517" s="29">
        <f>INDEX(DataSet!B:B,MATCH('Advanced  Formulas'!A517,DataSet!A:A,0))</f>
        <v>45695</v>
      </c>
      <c r="I517" s="29">
        <f>INDEX(DataSet!C:C,MATCH('Advanced  Formulas'!A517,DataSet!A:A,0))</f>
        <v>45700</v>
      </c>
      <c r="J517" t="str">
        <f t="shared" si="26"/>
        <v>Good Order</v>
      </c>
      <c r="K517" s="10" t="str">
        <f>CONCATENATE(DataSet!E517,"-",DataSet!G517)</f>
        <v>Diya Sheikh-Chennai</v>
      </c>
    </row>
    <row r="518" spans="1:11">
      <c r="A518" t="str">
        <v>ORD-2025-00517</v>
      </c>
      <c r="B518" s="2">
        <v>50575</v>
      </c>
      <c r="C518" s="2">
        <v>8019.09</v>
      </c>
      <c r="D518" s="28">
        <v>0.15</v>
      </c>
      <c r="E518" t="str">
        <f t="shared" si="24"/>
        <v>Profit</v>
      </c>
      <c r="F518" t="str">
        <f t="shared" si="25"/>
        <v>High</v>
      </c>
      <c r="G518" t="str">
        <f>VLOOKUP(A518,DataSet!$1:$1048576,5,FALSE)</f>
        <v>Diya Desai</v>
      </c>
      <c r="H518" s="29">
        <f>INDEX(DataSet!B:B,MATCH('Advanced  Formulas'!A518,DataSet!A:A,0))</f>
        <v>45842</v>
      </c>
      <c r="I518" s="29">
        <f>INDEX(DataSet!C:C,MATCH('Advanced  Formulas'!A518,DataSet!A:A,0))</f>
        <v>45846</v>
      </c>
      <c r="J518" t="str">
        <f t="shared" si="26"/>
        <v>Good Order</v>
      </c>
      <c r="K518" s="10" t="str">
        <f>CONCATENATE(DataSet!E518,"-",DataSet!G518)</f>
        <v>Diya Desai-Chennai</v>
      </c>
    </row>
    <row r="519" spans="1:11">
      <c r="A519" t="str">
        <v>ORD-2025-00518</v>
      </c>
      <c r="B519" s="2">
        <v>2025</v>
      </c>
      <c r="C519" s="2">
        <v>584.11</v>
      </c>
      <c r="D519" s="28">
        <v>0.1</v>
      </c>
      <c r="E519" t="str">
        <f t="shared" si="24"/>
        <v>Profit</v>
      </c>
      <c r="F519" t="str">
        <f t="shared" si="25"/>
        <v>Low</v>
      </c>
      <c r="G519" t="str">
        <f>VLOOKUP(A519,DataSet!$1:$1048576,5,FALSE)</f>
        <v>Diya Verma</v>
      </c>
      <c r="H519" s="29">
        <f>INDEX(DataSet!B:B,MATCH('Advanced  Formulas'!A519,DataSet!A:A,0))</f>
        <v>45699</v>
      </c>
      <c r="I519" s="29">
        <f>INDEX(DataSet!C:C,MATCH('Advanced  Formulas'!A519,DataSet!A:A,0))</f>
        <v>45702</v>
      </c>
      <c r="J519" t="str">
        <f t="shared" si="26"/>
        <v>Review</v>
      </c>
      <c r="K519" s="10" t="str">
        <f>CONCATENATE(DataSet!E519,"-",DataSet!G519)</f>
        <v>Diya Verma-Hyderabad</v>
      </c>
    </row>
    <row r="520" spans="1:11">
      <c r="A520" t="str">
        <v>ORD-2025-00519</v>
      </c>
      <c r="B520" s="2">
        <v>2200</v>
      </c>
      <c r="C520" s="2">
        <v>390.57</v>
      </c>
      <c r="D520" s="28">
        <v>0</v>
      </c>
      <c r="E520" t="str">
        <f t="shared" si="24"/>
        <v>Profit</v>
      </c>
      <c r="F520" t="str">
        <f t="shared" si="25"/>
        <v>Low</v>
      </c>
      <c r="G520" t="str">
        <f>VLOOKUP(A520,DataSet!$1:$1048576,5,FALSE)</f>
        <v>Kiara Mehta</v>
      </c>
      <c r="H520" s="29">
        <f>INDEX(DataSet!B:B,MATCH('Advanced  Formulas'!A520,DataSet!A:A,0))</f>
        <v>45766</v>
      </c>
      <c r="I520" s="29">
        <f>INDEX(DataSet!C:C,MATCH('Advanced  Formulas'!A520,DataSet!A:A,0))</f>
        <v>45773</v>
      </c>
      <c r="J520" t="str">
        <f t="shared" si="26"/>
        <v>Review</v>
      </c>
      <c r="K520" s="10" t="str">
        <f>CONCATENATE(DataSet!E520,"-",DataSet!G520)</f>
        <v>Kiara Mehta-Bengaluru</v>
      </c>
    </row>
    <row r="521" spans="1:11">
      <c r="A521" t="str">
        <v>ORD-2024-00520</v>
      </c>
      <c r="B521" s="2">
        <v>540</v>
      </c>
      <c r="C521" s="2">
        <v>184.44</v>
      </c>
      <c r="D521" s="28">
        <v>0.1</v>
      </c>
      <c r="E521" t="str">
        <f t="shared" si="24"/>
        <v>Loss</v>
      </c>
      <c r="F521" t="str">
        <f t="shared" si="25"/>
        <v>Low</v>
      </c>
      <c r="G521" t="str">
        <f>VLOOKUP(A521,DataSet!$1:$1048576,5,FALSE)</f>
        <v>Isha Verma</v>
      </c>
      <c r="H521" s="29">
        <f>INDEX(DataSet!B:B,MATCH('Advanced  Formulas'!A521,DataSet!A:A,0))</f>
        <v>45623</v>
      </c>
      <c r="I521" s="29">
        <f>INDEX(DataSet!C:C,MATCH('Advanced  Formulas'!A521,DataSet!A:A,0))</f>
        <v>45627</v>
      </c>
      <c r="J521" t="str">
        <f t="shared" si="26"/>
        <v>Review</v>
      </c>
      <c r="K521" s="10" t="str">
        <f>CONCATENATE(DataSet!E521,"-",DataSet!G521)</f>
        <v>Isha Verma-Ahmedabad</v>
      </c>
    </row>
    <row r="522" spans="1:11">
      <c r="A522" t="str">
        <v>ORD-2024-00521</v>
      </c>
      <c r="B522" s="2">
        <v>3230</v>
      </c>
      <c r="C522" s="2">
        <v>560.75</v>
      </c>
      <c r="D522" s="28">
        <v>0.15</v>
      </c>
      <c r="E522" t="str">
        <f t="shared" si="24"/>
        <v>Profit</v>
      </c>
      <c r="F522" t="str">
        <f t="shared" si="25"/>
        <v>Medium</v>
      </c>
      <c r="G522" t="str">
        <f>VLOOKUP(A522,DataSet!$1:$1048576,5,FALSE)</f>
        <v>Dev Dave</v>
      </c>
      <c r="H522" s="29">
        <f>INDEX(DataSet!B:B,MATCH('Advanced  Formulas'!A522,DataSet!A:A,0))</f>
        <v>45385</v>
      </c>
      <c r="I522" s="29">
        <f>INDEX(DataSet!C:C,MATCH('Advanced  Formulas'!A522,DataSet!A:A,0))</f>
        <v>45386</v>
      </c>
      <c r="J522" t="str">
        <f t="shared" si="26"/>
        <v>Good Order</v>
      </c>
      <c r="K522" s="10" t="str">
        <f>CONCATENATE(DataSet!E522,"-",DataSet!G522)</f>
        <v>Dev Dave-Chennai</v>
      </c>
    </row>
    <row r="523" spans="1:11">
      <c r="A523" t="str">
        <v>ORD-2025-00522</v>
      </c>
      <c r="B523" s="2">
        <v>960</v>
      </c>
      <c r="C523" s="2">
        <v>147.94</v>
      </c>
      <c r="D523" s="28">
        <v>0</v>
      </c>
      <c r="E523" t="str">
        <f t="shared" si="24"/>
        <v>Loss</v>
      </c>
      <c r="F523" t="str">
        <f t="shared" si="25"/>
        <v>Low</v>
      </c>
      <c r="G523" t="str">
        <f>VLOOKUP(A523,DataSet!$1:$1048576,5,FALSE)</f>
        <v>Diya Panjwani</v>
      </c>
      <c r="H523" s="29">
        <f>INDEX(DataSet!B:B,MATCH('Advanced  Formulas'!A523,DataSet!A:A,0))</f>
        <v>45855</v>
      </c>
      <c r="I523" s="29">
        <f>INDEX(DataSet!C:C,MATCH('Advanced  Formulas'!A523,DataSet!A:A,0))</f>
        <v>45859</v>
      </c>
      <c r="J523" t="str">
        <f t="shared" si="26"/>
        <v>Review</v>
      </c>
      <c r="K523" s="10" t="str">
        <f>CONCATENATE(DataSet!E523,"-",DataSet!G523)</f>
        <v>Diya Panjwani-Ahmedabad</v>
      </c>
    </row>
    <row r="524" spans="1:11">
      <c r="A524" t="str">
        <v>ORD-2026-00523</v>
      </c>
      <c r="B524" s="2">
        <v>13000</v>
      </c>
      <c r="C524" s="2">
        <v>1693.73</v>
      </c>
      <c r="D524" s="28">
        <v>0</v>
      </c>
      <c r="E524" t="str">
        <f t="shared" si="24"/>
        <v>Profit</v>
      </c>
      <c r="F524" t="str">
        <f t="shared" si="25"/>
        <v>High</v>
      </c>
      <c r="G524" t="str">
        <f>VLOOKUP(A524,DataSet!$1:$1048576,5,FALSE)</f>
        <v>Meera Iyer</v>
      </c>
      <c r="H524" s="29">
        <f>INDEX(DataSet!B:B,MATCH('Advanced  Formulas'!A524,DataSet!A:A,0))</f>
        <v>46039</v>
      </c>
      <c r="I524" s="29">
        <f>INDEX(DataSet!C:C,MATCH('Advanced  Formulas'!A524,DataSet!A:A,0))</f>
        <v>46046</v>
      </c>
      <c r="J524" t="str">
        <f t="shared" si="26"/>
        <v>Good Order</v>
      </c>
      <c r="K524" s="10" t="str">
        <f>CONCATENATE(DataSet!E524,"-",DataSet!G524)</f>
        <v>Meera Iyer-Jaipur</v>
      </c>
    </row>
    <row r="525" spans="1:11">
      <c r="A525" t="str">
        <v>ORD-2025-00524</v>
      </c>
      <c r="B525" s="2">
        <v>187</v>
      </c>
      <c r="C525" s="2">
        <v>23.94</v>
      </c>
      <c r="D525" s="28">
        <v>0.15</v>
      </c>
      <c r="E525" t="str">
        <f t="shared" si="24"/>
        <v>Loss</v>
      </c>
      <c r="F525" t="str">
        <f t="shared" si="25"/>
        <v>Low</v>
      </c>
      <c r="G525" t="str">
        <f>VLOOKUP(A525,DataSet!$1:$1048576,5,FALSE)</f>
        <v>Reyansh Dave</v>
      </c>
      <c r="H525" s="29">
        <f>INDEX(DataSet!B:B,MATCH('Advanced  Formulas'!A525,DataSet!A:A,0))</f>
        <v>45761</v>
      </c>
      <c r="I525" s="29">
        <f>INDEX(DataSet!C:C,MATCH('Advanced  Formulas'!A525,DataSet!A:A,0))</f>
        <v>45765</v>
      </c>
      <c r="J525" t="str">
        <f t="shared" si="26"/>
        <v>Review</v>
      </c>
      <c r="K525" s="10" t="str">
        <f>CONCATENATE(DataSet!E525,"-",DataSet!G525)</f>
        <v>Reyansh Dave-Kolkata</v>
      </c>
    </row>
    <row r="526" spans="1:11">
      <c r="A526" t="str">
        <v>ORD-2025-00525</v>
      </c>
      <c r="B526" s="2">
        <v>8500</v>
      </c>
      <c r="C526" s="2">
        <v>1280.4100000000001</v>
      </c>
      <c r="D526" s="28">
        <v>0</v>
      </c>
      <c r="E526" t="str">
        <f t="shared" si="24"/>
        <v>Profit</v>
      </c>
      <c r="F526" t="str">
        <f t="shared" si="25"/>
        <v>High</v>
      </c>
      <c r="G526" t="str">
        <f>VLOOKUP(A526,DataSet!$1:$1048576,5,FALSE)</f>
        <v>Meera Kapoor</v>
      </c>
      <c r="H526" s="29">
        <f>INDEX(DataSet!B:B,MATCH('Advanced  Formulas'!A526,DataSet!A:A,0))</f>
        <v>45756</v>
      </c>
      <c r="I526" s="29">
        <f>INDEX(DataSet!C:C,MATCH('Advanced  Formulas'!A526,DataSet!A:A,0))</f>
        <v>45760</v>
      </c>
      <c r="J526" t="str">
        <f t="shared" si="26"/>
        <v>Good Order</v>
      </c>
      <c r="K526" s="10" t="str">
        <f>CONCATENATE(DataSet!E526,"-",DataSet!G526)</f>
        <v>Meera Kapoor-Jaipur</v>
      </c>
    </row>
    <row r="527" spans="1:11">
      <c r="A527" t="str">
        <v>ORD-2024-00526</v>
      </c>
      <c r="B527" s="2">
        <v>1450</v>
      </c>
      <c r="C527" s="2">
        <v>229.11</v>
      </c>
      <c r="D527" s="28">
        <v>0</v>
      </c>
      <c r="E527" t="str">
        <f t="shared" si="24"/>
        <v>Profit</v>
      </c>
      <c r="F527" t="str">
        <f t="shared" si="25"/>
        <v>Low</v>
      </c>
      <c r="G527" t="str">
        <f>VLOOKUP(A527,DataSet!$1:$1048576,5,FALSE)</f>
        <v>Yusuf Rao</v>
      </c>
      <c r="H527" s="29">
        <f>INDEX(DataSet!B:B,MATCH('Advanced  Formulas'!A527,DataSet!A:A,0))</f>
        <v>45342</v>
      </c>
      <c r="I527" s="29">
        <f>INDEX(DataSet!C:C,MATCH('Advanced  Formulas'!A527,DataSet!A:A,0))</f>
        <v>45344</v>
      </c>
      <c r="J527" t="str">
        <f t="shared" si="26"/>
        <v>Review</v>
      </c>
      <c r="K527" s="10" t="str">
        <f>CONCATENATE(DataSet!E527,"-",DataSet!G527)</f>
        <v>Yusuf Rao-Surat</v>
      </c>
    </row>
    <row r="528" spans="1:11">
      <c r="A528" t="str">
        <v>ORD-2024-00527</v>
      </c>
      <c r="B528" s="2">
        <v>1650</v>
      </c>
      <c r="C528" s="2">
        <v>338.67</v>
      </c>
      <c r="D528" s="28">
        <v>0</v>
      </c>
      <c r="E528" t="str">
        <f t="shared" si="24"/>
        <v>Profit</v>
      </c>
      <c r="F528" t="str">
        <f t="shared" si="25"/>
        <v>Low</v>
      </c>
      <c r="G528" t="str">
        <f>VLOOKUP(A528,DataSet!$1:$1048576,5,FALSE)</f>
        <v>Meera Dave</v>
      </c>
      <c r="H528" s="29">
        <f>INDEX(DataSet!B:B,MATCH('Advanced  Formulas'!A528,DataSet!A:A,0))</f>
        <v>45631</v>
      </c>
      <c r="I528" s="29">
        <f>INDEX(DataSet!C:C,MATCH('Advanced  Formulas'!A528,DataSet!A:A,0))</f>
        <v>45632</v>
      </c>
      <c r="J528" t="str">
        <f t="shared" si="26"/>
        <v>Review</v>
      </c>
      <c r="K528" s="10" t="str">
        <f>CONCATENATE(DataSet!E528,"-",DataSet!G528)</f>
        <v>Meera Dave-Ahmedabad</v>
      </c>
    </row>
    <row r="529" spans="1:11">
      <c r="A529" t="str">
        <v>ORD-2026-00528</v>
      </c>
      <c r="B529" s="2">
        <v>7980</v>
      </c>
      <c r="C529" s="2">
        <v>2302.7600000000002</v>
      </c>
      <c r="D529" s="28">
        <v>0.05</v>
      </c>
      <c r="E529" t="str">
        <f t="shared" si="24"/>
        <v>Profit</v>
      </c>
      <c r="F529" t="str">
        <f t="shared" si="25"/>
        <v>High</v>
      </c>
      <c r="G529" t="str">
        <f>VLOOKUP(A529,DataSet!$1:$1048576,5,FALSE)</f>
        <v>Krish Rao</v>
      </c>
      <c r="H529" s="29">
        <f>INDEX(DataSet!B:B,MATCH('Advanced  Formulas'!A529,DataSet!A:A,0))</f>
        <v>46281</v>
      </c>
      <c r="I529" s="29">
        <f>INDEX(DataSet!C:C,MATCH('Advanced  Formulas'!A529,DataSet!A:A,0))</f>
        <v>46285</v>
      </c>
      <c r="J529" t="str">
        <f t="shared" si="26"/>
        <v>Good Order</v>
      </c>
      <c r="K529" s="10" t="str">
        <f>CONCATENATE(DataSet!E529,"-",DataSet!G529)</f>
        <v>Krish Rao-Chennai</v>
      </c>
    </row>
    <row r="530" spans="1:11">
      <c r="A530" t="str">
        <v>ORD-2026-00529</v>
      </c>
      <c r="B530" s="2">
        <v>2250</v>
      </c>
      <c r="C530" s="2">
        <v>448.65</v>
      </c>
      <c r="D530" s="28">
        <v>0</v>
      </c>
      <c r="E530" t="str">
        <f t="shared" si="24"/>
        <v>Profit</v>
      </c>
      <c r="F530" t="str">
        <f t="shared" si="25"/>
        <v>Low</v>
      </c>
      <c r="G530" t="str">
        <f>VLOOKUP(A530,DataSet!$1:$1048576,5,FALSE)</f>
        <v>Aditya Soni</v>
      </c>
      <c r="H530" s="29">
        <f>INDEX(DataSet!B:B,MATCH('Advanced  Formulas'!A530,DataSet!A:A,0))</f>
        <v>46155</v>
      </c>
      <c r="I530" s="29">
        <f>INDEX(DataSet!C:C,MATCH('Advanced  Formulas'!A530,DataSet!A:A,0))</f>
        <v>46160</v>
      </c>
      <c r="J530" t="str">
        <f t="shared" si="26"/>
        <v>Review</v>
      </c>
      <c r="K530" s="10" t="str">
        <f>CONCATENATE(DataSet!E530,"-",DataSet!G530)</f>
        <v>Aditya Soni-Bhavnagar</v>
      </c>
    </row>
    <row r="531" spans="1:11">
      <c r="A531" t="str">
        <v>ORD-2024-00530</v>
      </c>
      <c r="B531" s="2">
        <v>1170</v>
      </c>
      <c r="C531" s="2">
        <v>206.79</v>
      </c>
      <c r="D531" s="28">
        <v>0.1</v>
      </c>
      <c r="E531" t="str">
        <f t="shared" si="24"/>
        <v>Profit</v>
      </c>
      <c r="F531" t="str">
        <f t="shared" si="25"/>
        <v>Low</v>
      </c>
      <c r="G531" t="str">
        <f>VLOOKUP(A531,DataSet!$1:$1048576,5,FALSE)</f>
        <v>Sara Panjwani</v>
      </c>
      <c r="H531" s="29">
        <f>INDEX(DataSet!B:B,MATCH('Advanced  Formulas'!A531,DataSet!A:A,0))</f>
        <v>45506</v>
      </c>
      <c r="I531" s="29">
        <f>INDEX(DataSet!C:C,MATCH('Advanced  Formulas'!A531,DataSet!A:A,0))</f>
        <v>45512</v>
      </c>
      <c r="J531" t="str">
        <f t="shared" si="26"/>
        <v>Review</v>
      </c>
      <c r="K531" s="10" t="str">
        <f>CONCATENATE(DataSet!E531,"-",DataSet!G531)</f>
        <v>Sara Panjwani-Vadodara</v>
      </c>
    </row>
    <row r="532" spans="1:11">
      <c r="A532" t="str">
        <v>ORD-2024-00531</v>
      </c>
      <c r="B532" s="2">
        <v>44200</v>
      </c>
      <c r="C532" s="2">
        <v>7421.71</v>
      </c>
      <c r="D532" s="28">
        <v>0.15</v>
      </c>
      <c r="E532" t="str">
        <f t="shared" si="24"/>
        <v>Profit</v>
      </c>
      <c r="F532" t="str">
        <f t="shared" si="25"/>
        <v>High</v>
      </c>
      <c r="G532" t="str">
        <f>VLOOKUP(A532,DataSet!$1:$1048576,5,FALSE)</f>
        <v>Fatima Iyer</v>
      </c>
      <c r="H532" s="29">
        <f>INDEX(DataSet!B:B,MATCH('Advanced  Formulas'!A532,DataSet!A:A,0))</f>
        <v>45557</v>
      </c>
      <c r="I532" s="29">
        <f>INDEX(DataSet!C:C,MATCH('Advanced  Formulas'!A532,DataSet!A:A,0))</f>
        <v>45562</v>
      </c>
      <c r="J532" t="str">
        <f t="shared" si="26"/>
        <v>Good Order</v>
      </c>
      <c r="K532" s="10" t="str">
        <f>CONCATENATE(DataSet!E532,"-",DataSet!G532)</f>
        <v>Fatima Iyer-Lucknow</v>
      </c>
    </row>
    <row r="533" spans="1:11">
      <c r="A533" t="str">
        <v>ORD-2024-00532</v>
      </c>
      <c r="B533" s="2">
        <v>360</v>
      </c>
      <c r="C533" s="2">
        <v>93.29</v>
      </c>
      <c r="D533" s="28">
        <v>0</v>
      </c>
      <c r="E533" t="str">
        <f t="shared" si="24"/>
        <v>Loss</v>
      </c>
      <c r="F533" t="str">
        <f t="shared" si="25"/>
        <v>Low</v>
      </c>
      <c r="G533" t="str">
        <f>VLOOKUP(A533,DataSet!$1:$1048576,5,FALSE)</f>
        <v>Anaya Verma</v>
      </c>
      <c r="H533" s="29">
        <f>INDEX(DataSet!B:B,MATCH('Advanced  Formulas'!A533,DataSet!A:A,0))</f>
        <v>45530</v>
      </c>
      <c r="I533" s="29">
        <f>INDEX(DataSet!C:C,MATCH('Advanced  Formulas'!A533,DataSet!A:A,0))</f>
        <v>45536</v>
      </c>
      <c r="J533" t="str">
        <f t="shared" si="26"/>
        <v>Review</v>
      </c>
      <c r="K533" s="10" t="str">
        <f>CONCATENATE(DataSet!E533,"-",DataSet!G533)</f>
        <v>Anaya Verma-Rajkot</v>
      </c>
    </row>
    <row r="534" spans="1:11">
      <c r="A534" t="str">
        <v>ORD-2025-00533</v>
      </c>
      <c r="B534" s="2">
        <v>11200</v>
      </c>
      <c r="C534" s="2">
        <v>2390.52</v>
      </c>
      <c r="D534" s="28">
        <v>0</v>
      </c>
      <c r="E534" t="str">
        <f t="shared" si="24"/>
        <v>Profit</v>
      </c>
      <c r="F534" t="str">
        <f t="shared" si="25"/>
        <v>High</v>
      </c>
      <c r="G534" t="str">
        <f>VLOOKUP(A534,DataSet!$1:$1048576,5,FALSE)</f>
        <v>Sara Joshi</v>
      </c>
      <c r="H534" s="29">
        <f>INDEX(DataSet!B:B,MATCH('Advanced  Formulas'!A534,DataSet!A:A,0))</f>
        <v>45716</v>
      </c>
      <c r="I534" s="29">
        <f>INDEX(DataSet!C:C,MATCH('Advanced  Formulas'!A534,DataSet!A:A,0))</f>
        <v>45720</v>
      </c>
      <c r="J534" t="str">
        <f t="shared" si="26"/>
        <v>Good Order</v>
      </c>
      <c r="K534" s="10" t="str">
        <f>CONCATENATE(DataSet!E534,"-",DataSet!G534)</f>
        <v>Sara Joshi-Ahmedabad</v>
      </c>
    </row>
    <row r="535" spans="1:11">
      <c r="A535" t="str">
        <v>ORD-2024-00534</v>
      </c>
      <c r="B535" s="2">
        <v>6720</v>
      </c>
      <c r="C535" s="2">
        <v>1769.69</v>
      </c>
      <c r="D535" s="28">
        <v>0.2</v>
      </c>
      <c r="E535" t="str">
        <f t="shared" si="24"/>
        <v>Profit</v>
      </c>
      <c r="F535" t="str">
        <f t="shared" si="25"/>
        <v>High</v>
      </c>
      <c r="G535" t="str">
        <f>VLOOKUP(A535,DataSet!$1:$1048576,5,FALSE)</f>
        <v>Yusuf Dave</v>
      </c>
      <c r="H535" s="29">
        <f>INDEX(DataSet!B:B,MATCH('Advanced  Formulas'!A535,DataSet!A:A,0))</f>
        <v>45599</v>
      </c>
      <c r="I535" s="29">
        <f>INDEX(DataSet!C:C,MATCH('Advanced  Formulas'!A535,DataSet!A:A,0))</f>
        <v>45604</v>
      </c>
      <c r="J535" t="str">
        <f t="shared" si="26"/>
        <v>Good Order</v>
      </c>
      <c r="K535" s="10" t="str">
        <f>CONCATENATE(DataSet!E535,"-",DataSet!G535)</f>
        <v>Yusuf Dave-Delhi</v>
      </c>
    </row>
    <row r="536" spans="1:11">
      <c r="A536" t="str">
        <v>ORD-2024-00535</v>
      </c>
      <c r="B536" s="2">
        <v>6000</v>
      </c>
      <c r="C536" s="2">
        <v>1272.78</v>
      </c>
      <c r="D536" s="28">
        <v>0</v>
      </c>
      <c r="E536" t="str">
        <f t="shared" si="24"/>
        <v>Profit</v>
      </c>
      <c r="F536" t="str">
        <f t="shared" si="25"/>
        <v>Medium</v>
      </c>
      <c r="G536" t="str">
        <f>VLOOKUP(A536,DataSet!$1:$1048576,5,FALSE)</f>
        <v>Vivaan Kapoor</v>
      </c>
      <c r="H536" s="29">
        <f>INDEX(DataSet!B:B,MATCH('Advanced  Formulas'!A536,DataSet!A:A,0))</f>
        <v>45490</v>
      </c>
      <c r="I536" s="29">
        <f>INDEX(DataSet!C:C,MATCH('Advanced  Formulas'!A536,DataSet!A:A,0))</f>
        <v>45493</v>
      </c>
      <c r="J536" t="str">
        <f t="shared" si="26"/>
        <v>Good Order</v>
      </c>
      <c r="K536" s="10" t="str">
        <f>CONCATENATE(DataSet!E536,"-",DataSet!G536)</f>
        <v>Vivaan Kapoor-Kolkata</v>
      </c>
    </row>
    <row r="537" spans="1:11">
      <c r="A537" t="str">
        <v>ORD-2026-00536</v>
      </c>
      <c r="B537" s="2">
        <v>4675</v>
      </c>
      <c r="C537" s="2">
        <v>790.12</v>
      </c>
      <c r="D537" s="28">
        <v>0.15</v>
      </c>
      <c r="E537" t="str">
        <f t="shared" si="24"/>
        <v>Profit</v>
      </c>
      <c r="F537" t="str">
        <f t="shared" si="25"/>
        <v>Medium</v>
      </c>
      <c r="G537" t="str">
        <f>VLOOKUP(A537,DataSet!$1:$1048576,5,FALSE)</f>
        <v>Kiara Soni</v>
      </c>
      <c r="H537" s="29">
        <f>INDEX(DataSet!B:B,MATCH('Advanced  Formulas'!A537,DataSet!A:A,0))</f>
        <v>46209</v>
      </c>
      <c r="I537" s="29">
        <f>INDEX(DataSet!C:C,MATCH('Advanced  Formulas'!A537,DataSet!A:A,0))</f>
        <v>46212</v>
      </c>
      <c r="J537" t="str">
        <f t="shared" si="26"/>
        <v>Good Order</v>
      </c>
      <c r="K537" s="10" t="str">
        <f>CONCATENATE(DataSet!E537,"-",DataSet!G537)</f>
        <v>Kiara Soni-Jaipur</v>
      </c>
    </row>
    <row r="538" spans="1:11">
      <c r="A538" t="str">
        <v>ORD-2025-00537</v>
      </c>
      <c r="B538" s="2">
        <v>11970</v>
      </c>
      <c r="C538" s="2">
        <v>1842.28</v>
      </c>
      <c r="D538" s="28">
        <v>0.05</v>
      </c>
      <c r="E538" t="str">
        <f t="shared" si="24"/>
        <v>Profit</v>
      </c>
      <c r="F538" t="str">
        <f t="shared" si="25"/>
        <v>High</v>
      </c>
      <c r="G538" t="str">
        <f>VLOOKUP(A538,DataSet!$1:$1048576,5,FALSE)</f>
        <v>Krish Kapoor</v>
      </c>
      <c r="H538" s="29">
        <f>INDEX(DataSet!B:B,MATCH('Advanced  Formulas'!A538,DataSet!A:A,0))</f>
        <v>45883</v>
      </c>
      <c r="I538" s="29">
        <f>INDEX(DataSet!C:C,MATCH('Advanced  Formulas'!A538,DataSet!A:A,0))</f>
        <v>45889</v>
      </c>
      <c r="J538" t="str">
        <f t="shared" si="26"/>
        <v>Good Order</v>
      </c>
      <c r="K538" s="10" t="str">
        <f>CONCATENATE(DataSet!E538,"-",DataSet!G538)</f>
        <v>Krish Kapoor-Mumbai</v>
      </c>
    </row>
    <row r="539" spans="1:11">
      <c r="A539" t="str">
        <v>ORD-2025-00538</v>
      </c>
      <c r="B539" s="2">
        <v>171</v>
      </c>
      <c r="C539" s="2">
        <v>32.340000000000003</v>
      </c>
      <c r="D539" s="28">
        <v>0.05</v>
      </c>
      <c r="E539" t="str">
        <f t="shared" si="24"/>
        <v>Loss</v>
      </c>
      <c r="F539" t="str">
        <f t="shared" si="25"/>
        <v>Low</v>
      </c>
      <c r="G539" t="str">
        <f>VLOOKUP(A539,DataSet!$1:$1048576,5,FALSE)</f>
        <v>Diya Joshi</v>
      </c>
      <c r="H539" s="29">
        <f>INDEX(DataSet!B:B,MATCH('Advanced  Formulas'!A539,DataSet!A:A,0))</f>
        <v>45876</v>
      </c>
      <c r="I539" s="29">
        <f>INDEX(DataSet!C:C,MATCH('Advanced  Formulas'!A539,DataSet!A:A,0))</f>
        <v>45881</v>
      </c>
      <c r="J539" t="str">
        <f t="shared" si="26"/>
        <v>Review</v>
      </c>
      <c r="K539" s="10" t="str">
        <f>CONCATENATE(DataSet!E539,"-",DataSet!G539)</f>
        <v>Diya Joshi-Pune</v>
      </c>
    </row>
    <row r="540" spans="1:11">
      <c r="A540" t="str">
        <v>ORD-2025-00539</v>
      </c>
      <c r="B540" s="2">
        <v>6460</v>
      </c>
      <c r="C540" s="2">
        <v>1801.68</v>
      </c>
      <c r="D540" s="28">
        <v>0.15</v>
      </c>
      <c r="E540" t="str">
        <f t="shared" si="24"/>
        <v>Profit</v>
      </c>
      <c r="F540" t="str">
        <f t="shared" si="25"/>
        <v>High</v>
      </c>
      <c r="G540" t="str">
        <f>VLOOKUP(A540,DataSet!$1:$1048576,5,FALSE)</f>
        <v>Zoya Iyer</v>
      </c>
      <c r="H540" s="29">
        <f>INDEX(DataSet!B:B,MATCH('Advanced  Formulas'!A540,DataSet!A:A,0))</f>
        <v>45800</v>
      </c>
      <c r="I540" s="29">
        <f>INDEX(DataSet!C:C,MATCH('Advanced  Formulas'!A540,DataSet!A:A,0))</f>
        <v>45802</v>
      </c>
      <c r="J540" t="str">
        <f t="shared" si="26"/>
        <v>Good Order</v>
      </c>
      <c r="K540" s="10" t="str">
        <f>CONCATENATE(DataSet!E540,"-",DataSet!G540)</f>
        <v>Zoya Iyer-Mumbai</v>
      </c>
    </row>
    <row r="541" spans="1:11">
      <c r="A541" t="str">
        <v>ORD-2026-00540</v>
      </c>
      <c r="B541" s="2">
        <v>1650</v>
      </c>
      <c r="C541" s="2">
        <v>481.09</v>
      </c>
      <c r="D541" s="28">
        <v>0</v>
      </c>
      <c r="E541" t="str">
        <f t="shared" si="24"/>
        <v>Profit</v>
      </c>
      <c r="F541" t="str">
        <f t="shared" si="25"/>
        <v>Low</v>
      </c>
      <c r="G541" t="str">
        <f>VLOOKUP(A541,DataSet!$1:$1048576,5,FALSE)</f>
        <v>Dev Joshi</v>
      </c>
      <c r="H541" s="29">
        <f>INDEX(DataSet!B:B,MATCH('Advanced  Formulas'!A541,DataSet!A:A,0))</f>
        <v>46227</v>
      </c>
      <c r="I541" s="29">
        <f>INDEX(DataSet!C:C,MATCH('Advanced  Formulas'!A541,DataSet!A:A,0))</f>
        <v>46228</v>
      </c>
      <c r="J541" t="str">
        <f t="shared" si="26"/>
        <v>Review</v>
      </c>
      <c r="K541" s="10" t="str">
        <f>CONCATENATE(DataSet!E541,"-",DataSet!G541)</f>
        <v>Dev Joshi-Jaipur</v>
      </c>
    </row>
    <row r="542" spans="1:11">
      <c r="A542" t="str">
        <v>ORD-2026-00541</v>
      </c>
      <c r="B542" s="2">
        <v>108</v>
      </c>
      <c r="C542" s="2">
        <v>28.54</v>
      </c>
      <c r="D542" s="28">
        <v>0.1</v>
      </c>
      <c r="E542" t="str">
        <f t="shared" si="24"/>
        <v>Loss</v>
      </c>
      <c r="F542" t="str">
        <f t="shared" si="25"/>
        <v>Low</v>
      </c>
      <c r="G542" t="str">
        <f>VLOOKUP(A542,DataSet!$1:$1048576,5,FALSE)</f>
        <v>Dev Shah</v>
      </c>
      <c r="H542" s="29">
        <f>INDEX(DataSet!B:B,MATCH('Advanced  Formulas'!A542,DataSet!A:A,0))</f>
        <v>46079</v>
      </c>
      <c r="I542" s="29">
        <f>INDEX(DataSet!C:C,MATCH('Advanced  Formulas'!A542,DataSet!A:A,0))</f>
        <v>46086</v>
      </c>
      <c r="J542" t="str">
        <f t="shared" si="26"/>
        <v>Review</v>
      </c>
      <c r="K542" s="10" t="str">
        <f>CONCATENATE(DataSet!E542,"-",DataSet!G542)</f>
        <v>Dev Shah-Bhavnagar</v>
      </c>
    </row>
    <row r="543" spans="1:11">
      <c r="A543" t="str">
        <v>ORD-2026-00542</v>
      </c>
      <c r="B543" s="2">
        <v>11600</v>
      </c>
      <c r="C543" s="2">
        <v>4097.04</v>
      </c>
      <c r="D543" s="28">
        <v>0</v>
      </c>
      <c r="E543" t="str">
        <f t="shared" si="24"/>
        <v>Profit</v>
      </c>
      <c r="F543" t="str">
        <f t="shared" si="25"/>
        <v>High</v>
      </c>
      <c r="G543" t="str">
        <f>VLOOKUP(A543,DataSet!$1:$1048576,5,FALSE)</f>
        <v>Sara Patel</v>
      </c>
      <c r="H543" s="29">
        <f>INDEX(DataSet!B:B,MATCH('Advanced  Formulas'!A543,DataSet!A:A,0))</f>
        <v>46246</v>
      </c>
      <c r="I543" s="29">
        <f>INDEX(DataSet!C:C,MATCH('Advanced  Formulas'!A543,DataSet!A:A,0))</f>
        <v>46247</v>
      </c>
      <c r="J543" t="str">
        <f t="shared" si="26"/>
        <v>Good Order</v>
      </c>
      <c r="K543" s="10" t="str">
        <f>CONCATENATE(DataSet!E543,"-",DataSet!G543)</f>
        <v>Sara Patel-Bengaluru</v>
      </c>
    </row>
    <row r="544" spans="1:11">
      <c r="A544" t="str">
        <v>ORD-2025-00543</v>
      </c>
      <c r="B544" s="2">
        <v>570</v>
      </c>
      <c r="C544" s="2">
        <v>133.44</v>
      </c>
      <c r="D544" s="28">
        <v>0.05</v>
      </c>
      <c r="E544" t="str">
        <f t="shared" si="24"/>
        <v>Loss</v>
      </c>
      <c r="F544" t="str">
        <f t="shared" si="25"/>
        <v>Low</v>
      </c>
      <c r="G544" t="str">
        <f>VLOOKUP(A544,DataSet!$1:$1048576,5,FALSE)</f>
        <v>Rohan Kapoor</v>
      </c>
      <c r="H544" s="29">
        <f>INDEX(DataSet!B:B,MATCH('Advanced  Formulas'!A544,DataSet!A:A,0))</f>
        <v>45946</v>
      </c>
      <c r="I544" s="29">
        <f>INDEX(DataSet!C:C,MATCH('Advanced  Formulas'!A544,DataSet!A:A,0))</f>
        <v>45948</v>
      </c>
      <c r="J544" t="str">
        <f t="shared" si="26"/>
        <v>Review</v>
      </c>
      <c r="K544" s="10" t="str">
        <f>CONCATENATE(DataSet!E544,"-",DataSet!G544)</f>
        <v>Rohan Kapoor-Mumbai</v>
      </c>
    </row>
    <row r="545" spans="1:11">
      <c r="A545" t="str">
        <v>ORD-2024-00544</v>
      </c>
      <c r="B545" s="2">
        <v>1300</v>
      </c>
      <c r="C545" s="2">
        <v>310.63</v>
      </c>
      <c r="D545" s="28">
        <v>0</v>
      </c>
      <c r="E545" t="str">
        <f t="shared" si="24"/>
        <v>Profit</v>
      </c>
      <c r="F545" t="str">
        <f t="shared" si="25"/>
        <v>Low</v>
      </c>
      <c r="G545" t="str">
        <f>VLOOKUP(A545,DataSet!$1:$1048576,5,FALSE)</f>
        <v>Aditya Joshi</v>
      </c>
      <c r="H545" s="29">
        <f>INDEX(DataSet!B:B,MATCH('Advanced  Formulas'!A545,DataSet!A:A,0))</f>
        <v>45444</v>
      </c>
      <c r="I545" s="29">
        <f>INDEX(DataSet!C:C,MATCH('Advanced  Formulas'!A545,DataSet!A:A,0))</f>
        <v>45446</v>
      </c>
      <c r="J545" t="str">
        <f t="shared" si="26"/>
        <v>Review</v>
      </c>
      <c r="K545" s="10" t="str">
        <f>CONCATENATE(DataSet!E545,"-",DataSet!G545)</f>
        <v>Aditya Joshi-Rajkot</v>
      </c>
    </row>
    <row r="546" spans="1:11">
      <c r="A546" t="str">
        <v>ORD-2025-00545</v>
      </c>
      <c r="B546" s="2">
        <v>7395</v>
      </c>
      <c r="C546" s="2">
        <v>1790.71</v>
      </c>
      <c r="D546" s="28">
        <v>0.15</v>
      </c>
      <c r="E546" t="str">
        <f t="shared" si="24"/>
        <v>Profit</v>
      </c>
      <c r="F546" t="str">
        <f t="shared" si="25"/>
        <v>High</v>
      </c>
      <c r="G546" t="str">
        <f>VLOOKUP(A546,DataSet!$1:$1048576,5,FALSE)</f>
        <v>Aarav Khan</v>
      </c>
      <c r="H546" s="29">
        <f>INDEX(DataSet!B:B,MATCH('Advanced  Formulas'!A546,DataSet!A:A,0))</f>
        <v>45879</v>
      </c>
      <c r="I546" s="29">
        <f>INDEX(DataSet!C:C,MATCH('Advanced  Formulas'!A546,DataSet!A:A,0))</f>
        <v>45881</v>
      </c>
      <c r="J546" t="str">
        <f t="shared" si="26"/>
        <v>Good Order</v>
      </c>
      <c r="K546" s="10" t="str">
        <f>CONCATENATE(DataSet!E546,"-",DataSet!G546)</f>
        <v>Aarav Khan-Surat</v>
      </c>
    </row>
    <row r="547" spans="1:11">
      <c r="A547" t="str">
        <v>ORD-2024-00546</v>
      </c>
      <c r="B547" s="2">
        <v>3850</v>
      </c>
      <c r="C547" s="2">
        <v>757.62</v>
      </c>
      <c r="D547" s="28">
        <v>0</v>
      </c>
      <c r="E547" t="str">
        <f t="shared" si="24"/>
        <v>Profit</v>
      </c>
      <c r="F547" t="str">
        <f t="shared" si="25"/>
        <v>Medium</v>
      </c>
      <c r="G547" t="str">
        <f>VLOOKUP(A547,DataSet!$1:$1048576,5,FALSE)</f>
        <v>Yusuf Kapoor</v>
      </c>
      <c r="H547" s="29">
        <f>INDEX(DataSet!B:B,MATCH('Advanced  Formulas'!A547,DataSet!A:A,0))</f>
        <v>45400</v>
      </c>
      <c r="I547" s="29">
        <f>INDEX(DataSet!C:C,MATCH('Advanced  Formulas'!A547,DataSet!A:A,0))</f>
        <v>45404</v>
      </c>
      <c r="J547" t="str">
        <f t="shared" si="26"/>
        <v>Good Order</v>
      </c>
      <c r="K547" s="10" t="str">
        <f>CONCATENATE(DataSet!E547,"-",DataSet!G547)</f>
        <v>Yusuf Kapoor-Ahmedabad</v>
      </c>
    </row>
    <row r="548" spans="1:11">
      <c r="A548" t="str">
        <v>ORD-2025-00547</v>
      </c>
      <c r="B548" s="2">
        <v>11700</v>
      </c>
      <c r="C548" s="2">
        <v>2543.2800000000002</v>
      </c>
      <c r="D548" s="28">
        <v>0.1</v>
      </c>
      <c r="E548" t="str">
        <f t="shared" si="24"/>
        <v>Profit</v>
      </c>
      <c r="F548" t="str">
        <f t="shared" si="25"/>
        <v>High</v>
      </c>
      <c r="G548" t="str">
        <f>VLOOKUP(A548,DataSet!$1:$1048576,5,FALSE)</f>
        <v>Rohan Shah</v>
      </c>
      <c r="H548" s="29">
        <f>INDEX(DataSet!B:B,MATCH('Advanced  Formulas'!A548,DataSet!A:A,0))</f>
        <v>45923</v>
      </c>
      <c r="I548" s="29">
        <f>INDEX(DataSet!C:C,MATCH('Advanced  Formulas'!A548,DataSet!A:A,0))</f>
        <v>45926</v>
      </c>
      <c r="J548" t="str">
        <f t="shared" si="26"/>
        <v>Good Order</v>
      </c>
      <c r="K548" s="10" t="str">
        <f>CONCATENATE(DataSet!E548,"-",DataSet!G548)</f>
        <v>Rohan Shah-Rajkot</v>
      </c>
    </row>
    <row r="549" spans="1:11">
      <c r="A549" t="str">
        <v>ORD-2025-00548</v>
      </c>
      <c r="B549" s="2">
        <v>6400</v>
      </c>
      <c r="C549" s="2">
        <v>2192.85</v>
      </c>
      <c r="D549" s="28">
        <v>0</v>
      </c>
      <c r="E549" t="str">
        <f t="shared" si="24"/>
        <v>Profit</v>
      </c>
      <c r="F549" t="str">
        <f t="shared" si="25"/>
        <v>High</v>
      </c>
      <c r="G549" t="str">
        <f>VLOOKUP(A549,DataSet!$1:$1048576,5,FALSE)</f>
        <v>Meera Joshi</v>
      </c>
      <c r="H549" s="29">
        <f>INDEX(DataSet!B:B,MATCH('Advanced  Formulas'!A549,DataSet!A:A,0))</f>
        <v>45992</v>
      </c>
      <c r="I549" s="29">
        <f>INDEX(DataSet!C:C,MATCH('Advanced  Formulas'!A549,DataSet!A:A,0))</f>
        <v>45998</v>
      </c>
      <c r="J549" t="str">
        <f t="shared" si="26"/>
        <v>Good Order</v>
      </c>
      <c r="K549" s="10" t="str">
        <f>CONCATENATE(DataSet!E549,"-",DataSet!G549)</f>
        <v>Meera Joshi-Chennai</v>
      </c>
    </row>
    <row r="550" spans="1:11">
      <c r="A550" t="str">
        <v>ORD-2024-00549</v>
      </c>
      <c r="B550" s="2">
        <v>20160</v>
      </c>
      <c r="C550" s="2">
        <v>7199.77</v>
      </c>
      <c r="D550" s="28">
        <v>0.1</v>
      </c>
      <c r="E550" t="str">
        <f t="shared" si="24"/>
        <v>Profit</v>
      </c>
      <c r="F550" t="str">
        <f t="shared" si="25"/>
        <v>High</v>
      </c>
      <c r="G550" t="str">
        <f>VLOOKUP(A550,DataSet!$1:$1048576,5,FALSE)</f>
        <v>Anaya Trivedi</v>
      </c>
      <c r="H550" s="29">
        <f>INDEX(DataSet!B:B,MATCH('Advanced  Formulas'!A550,DataSet!A:A,0))</f>
        <v>45479</v>
      </c>
      <c r="I550" s="29">
        <f>INDEX(DataSet!C:C,MATCH('Advanced  Formulas'!A550,DataSet!A:A,0))</f>
        <v>45485</v>
      </c>
      <c r="J550" t="str">
        <f t="shared" si="26"/>
        <v>Good Order</v>
      </c>
      <c r="K550" s="10" t="str">
        <f>CONCATENATE(DataSet!E550,"-",DataSet!G550)</f>
        <v>Anaya Trivedi-Indore</v>
      </c>
    </row>
    <row r="551" spans="1:11">
      <c r="A551" t="str">
        <v>ORD-2026-00550</v>
      </c>
      <c r="B551" s="2">
        <v>7905</v>
      </c>
      <c r="C551" s="2">
        <v>2614.48</v>
      </c>
      <c r="D551" s="28">
        <v>0.15</v>
      </c>
      <c r="E551" t="str">
        <f t="shared" si="24"/>
        <v>Profit</v>
      </c>
      <c r="F551" t="str">
        <f t="shared" si="25"/>
        <v>High</v>
      </c>
      <c r="G551" t="str">
        <f>VLOOKUP(A551,DataSet!$1:$1048576,5,FALSE)</f>
        <v>Anaya Trivedi</v>
      </c>
      <c r="H551" s="29">
        <f>INDEX(DataSet!B:B,MATCH('Advanced  Formulas'!A551,DataSet!A:A,0))</f>
        <v>46158</v>
      </c>
      <c r="I551" s="29">
        <f>INDEX(DataSet!C:C,MATCH('Advanced  Formulas'!A551,DataSet!A:A,0))</f>
        <v>46160</v>
      </c>
      <c r="J551" t="str">
        <f t="shared" si="26"/>
        <v>Good Order</v>
      </c>
      <c r="K551" s="10" t="str">
        <f>CONCATENATE(DataSet!E551,"-",DataSet!G551)</f>
        <v>Anaya Trivedi-Rajkot</v>
      </c>
    </row>
    <row r="552" spans="1:11">
      <c r="A552" t="str">
        <v>ORD-2026-00551</v>
      </c>
      <c r="B552" s="2">
        <v>11200</v>
      </c>
      <c r="C552" s="2">
        <v>2448.0100000000002</v>
      </c>
      <c r="D552" s="28">
        <v>0</v>
      </c>
      <c r="E552" t="str">
        <f t="shared" si="24"/>
        <v>Profit</v>
      </c>
      <c r="F552" t="str">
        <f t="shared" si="25"/>
        <v>High</v>
      </c>
      <c r="G552" t="str">
        <f>VLOOKUP(A552,DataSet!$1:$1048576,5,FALSE)</f>
        <v>Isha Khan</v>
      </c>
      <c r="H552" s="29">
        <f>INDEX(DataSet!B:B,MATCH('Advanced  Formulas'!A552,DataSet!A:A,0))</f>
        <v>46103</v>
      </c>
      <c r="I552" s="29">
        <f>INDEX(DataSet!C:C,MATCH('Advanced  Formulas'!A552,DataSet!A:A,0))</f>
        <v>46106</v>
      </c>
      <c r="J552" t="str">
        <f t="shared" si="26"/>
        <v>Good Order</v>
      </c>
      <c r="K552" s="10" t="str">
        <f>CONCATENATE(DataSet!E552,"-",DataSet!G552)</f>
        <v>Isha Khan-Delhi</v>
      </c>
    </row>
    <row r="553" spans="1:11">
      <c r="A553" t="str">
        <v>ORD-2024-00552</v>
      </c>
      <c r="B553" s="2">
        <v>8160</v>
      </c>
      <c r="C553" s="2">
        <v>1444.53</v>
      </c>
      <c r="D553" s="28">
        <v>0.15</v>
      </c>
      <c r="E553" t="str">
        <f t="shared" si="24"/>
        <v>Profit</v>
      </c>
      <c r="F553" t="str">
        <f t="shared" si="25"/>
        <v>High</v>
      </c>
      <c r="G553" t="str">
        <f>VLOOKUP(A553,DataSet!$1:$1048576,5,FALSE)</f>
        <v>Kabir Verma</v>
      </c>
      <c r="H553" s="29">
        <f>INDEX(DataSet!B:B,MATCH('Advanced  Formulas'!A553,DataSet!A:A,0))</f>
        <v>45640</v>
      </c>
      <c r="I553" s="29">
        <f>INDEX(DataSet!C:C,MATCH('Advanced  Formulas'!A553,DataSet!A:A,0))</f>
        <v>45642</v>
      </c>
      <c r="J553" t="str">
        <f t="shared" si="26"/>
        <v>Good Order</v>
      </c>
      <c r="K553" s="10" t="str">
        <f>CONCATENATE(DataSet!E553,"-",DataSet!G553)</f>
        <v>Kabir Verma-Kolkata</v>
      </c>
    </row>
    <row r="554" spans="1:11">
      <c r="A554" t="str">
        <v>ORD-2026-00553</v>
      </c>
      <c r="B554" s="2">
        <v>3420</v>
      </c>
      <c r="C554" s="2">
        <v>1091.6500000000001</v>
      </c>
      <c r="D554" s="28">
        <v>0.1</v>
      </c>
      <c r="E554" t="str">
        <f t="shared" si="24"/>
        <v>Profit</v>
      </c>
      <c r="F554" t="str">
        <f t="shared" si="25"/>
        <v>Medium</v>
      </c>
      <c r="G554" t="str">
        <f>VLOOKUP(A554,DataSet!$1:$1048576,5,FALSE)</f>
        <v>Krish Shah</v>
      </c>
      <c r="H554" s="29">
        <f>INDEX(DataSet!B:B,MATCH('Advanced  Formulas'!A554,DataSet!A:A,0))</f>
        <v>46148</v>
      </c>
      <c r="I554" s="29">
        <f>INDEX(DataSet!C:C,MATCH('Advanced  Formulas'!A554,DataSet!A:A,0))</f>
        <v>46152</v>
      </c>
      <c r="J554" t="str">
        <f t="shared" si="26"/>
        <v>Good Order</v>
      </c>
      <c r="K554" s="10" t="str">
        <f>CONCATENATE(DataSet!E554,"-",DataSet!G554)</f>
        <v>Krish Shah-Bhavnagar</v>
      </c>
    </row>
    <row r="555" spans="1:11">
      <c r="A555" t="str">
        <v>ORD-2025-00554</v>
      </c>
      <c r="B555" s="2">
        <v>12160</v>
      </c>
      <c r="C555" s="2">
        <v>2168.8200000000002</v>
      </c>
      <c r="D555" s="28">
        <v>0.2</v>
      </c>
      <c r="E555" t="str">
        <f t="shared" si="24"/>
        <v>Profit</v>
      </c>
      <c r="F555" t="str">
        <f t="shared" si="25"/>
        <v>High</v>
      </c>
      <c r="G555" t="str">
        <f>VLOOKUP(A555,DataSet!$1:$1048576,5,FALSE)</f>
        <v>Reyansh Rao</v>
      </c>
      <c r="H555" s="29">
        <f>INDEX(DataSet!B:B,MATCH('Advanced  Formulas'!A555,DataSet!A:A,0))</f>
        <v>45993</v>
      </c>
      <c r="I555" s="29">
        <f>INDEX(DataSet!C:C,MATCH('Advanced  Formulas'!A555,DataSet!A:A,0))</f>
        <v>46000</v>
      </c>
      <c r="J555" t="str">
        <f t="shared" si="26"/>
        <v>Good Order</v>
      </c>
      <c r="K555" s="10" t="str">
        <f>CONCATENATE(DataSet!E555,"-",DataSet!G555)</f>
        <v>Reyansh Rao-Lucknow</v>
      </c>
    </row>
    <row r="556" spans="1:11">
      <c r="A556" t="str">
        <v>ORD-2026-00555</v>
      </c>
      <c r="B556" s="2">
        <v>2565</v>
      </c>
      <c r="C556" s="2">
        <v>581.92999999999995</v>
      </c>
      <c r="D556" s="28">
        <v>0.1</v>
      </c>
      <c r="E556" t="str">
        <f t="shared" si="24"/>
        <v>Profit</v>
      </c>
      <c r="F556" t="str">
        <f t="shared" si="25"/>
        <v>Low</v>
      </c>
      <c r="G556" t="str">
        <f>VLOOKUP(A556,DataSet!$1:$1048576,5,FALSE)</f>
        <v>Meera Dave</v>
      </c>
      <c r="H556" s="29">
        <f>INDEX(DataSet!B:B,MATCH('Advanced  Formulas'!A556,DataSet!A:A,0))</f>
        <v>46216</v>
      </c>
      <c r="I556" s="29">
        <f>INDEX(DataSet!C:C,MATCH('Advanced  Formulas'!A556,DataSet!A:A,0))</f>
        <v>46223</v>
      </c>
      <c r="J556" t="str">
        <f t="shared" si="26"/>
        <v>Review</v>
      </c>
      <c r="K556" s="10" t="str">
        <f>CONCATENATE(DataSet!E556,"-",DataSet!G556)</f>
        <v>Meera Dave-Bengaluru</v>
      </c>
    </row>
    <row r="557" spans="1:11">
      <c r="A557" t="str">
        <v>ORD-2024-00556</v>
      </c>
      <c r="B557" s="2">
        <v>12600</v>
      </c>
      <c r="C557" s="2">
        <v>2247.52</v>
      </c>
      <c r="D557" s="28">
        <v>0.1</v>
      </c>
      <c r="E557" t="str">
        <f t="shared" si="24"/>
        <v>Profit</v>
      </c>
      <c r="F557" t="str">
        <f t="shared" si="25"/>
        <v>High</v>
      </c>
      <c r="G557" t="str">
        <f>VLOOKUP(A557,DataSet!$1:$1048576,5,FALSE)</f>
        <v>Zoya Shah</v>
      </c>
      <c r="H557" s="29">
        <f>INDEX(DataSet!B:B,MATCH('Advanced  Formulas'!A557,DataSet!A:A,0))</f>
        <v>45502</v>
      </c>
      <c r="I557" s="29">
        <f>INDEX(DataSet!C:C,MATCH('Advanced  Formulas'!A557,DataSet!A:A,0))</f>
        <v>45508</v>
      </c>
      <c r="J557" t="str">
        <f t="shared" si="26"/>
        <v>Good Order</v>
      </c>
      <c r="K557" s="10" t="str">
        <f>CONCATENATE(DataSet!E557,"-",DataSet!G557)</f>
        <v>Zoya Shah-Indore</v>
      </c>
    </row>
    <row r="558" spans="1:11">
      <c r="A558" t="str">
        <v>ORD-2025-00557</v>
      </c>
      <c r="B558" s="2">
        <v>304</v>
      </c>
      <c r="C558" s="2">
        <v>42.02</v>
      </c>
      <c r="D558" s="28">
        <v>0.05</v>
      </c>
      <c r="E558" t="str">
        <f t="shared" si="24"/>
        <v>Loss</v>
      </c>
      <c r="F558" t="str">
        <f t="shared" si="25"/>
        <v>Low</v>
      </c>
      <c r="G558" t="str">
        <f>VLOOKUP(A558,DataSet!$1:$1048576,5,FALSE)</f>
        <v>Diya Patel</v>
      </c>
      <c r="H558" s="29">
        <f>INDEX(DataSet!B:B,MATCH('Advanced  Formulas'!A558,DataSet!A:A,0))</f>
        <v>45918</v>
      </c>
      <c r="I558" s="29">
        <f>INDEX(DataSet!C:C,MATCH('Advanced  Formulas'!A558,DataSet!A:A,0))</f>
        <v>45923</v>
      </c>
      <c r="J558" t="str">
        <f t="shared" si="26"/>
        <v>Review</v>
      </c>
      <c r="K558" s="10" t="str">
        <f>CONCATENATE(DataSet!E558,"-",DataSet!G558)</f>
        <v>Diya Patel-Pune</v>
      </c>
    </row>
    <row r="559" spans="1:11">
      <c r="A559" t="str">
        <v>ORD-2026-00558</v>
      </c>
      <c r="B559" s="2">
        <v>15120</v>
      </c>
      <c r="C559" s="2">
        <v>2758.23</v>
      </c>
      <c r="D559" s="28">
        <v>0.1</v>
      </c>
      <c r="E559" t="str">
        <f t="shared" si="24"/>
        <v>Profit</v>
      </c>
      <c r="F559" t="str">
        <f t="shared" si="25"/>
        <v>High</v>
      </c>
      <c r="G559" t="str">
        <f>VLOOKUP(A559,DataSet!$1:$1048576,5,FALSE)</f>
        <v>Aditya Verma</v>
      </c>
      <c r="H559" s="29">
        <f>INDEX(DataSet!B:B,MATCH('Advanced  Formulas'!A559,DataSet!A:A,0))</f>
        <v>46132</v>
      </c>
      <c r="I559" s="29">
        <f>INDEX(DataSet!C:C,MATCH('Advanced  Formulas'!A559,DataSet!A:A,0))</f>
        <v>46135</v>
      </c>
      <c r="J559" t="str">
        <f t="shared" si="26"/>
        <v>Good Order</v>
      </c>
      <c r="K559" s="10" t="str">
        <f>CONCATENATE(DataSet!E559,"-",DataSet!G559)</f>
        <v>Aditya Verma-Bhavnagar</v>
      </c>
    </row>
    <row r="560" spans="1:11">
      <c r="A560" t="str">
        <v>ORD-2025-00559</v>
      </c>
      <c r="B560" s="2">
        <v>960</v>
      </c>
      <c r="C560" s="2">
        <v>317.82</v>
      </c>
      <c r="D560" s="28">
        <v>0</v>
      </c>
      <c r="E560" t="str">
        <f t="shared" si="24"/>
        <v>Profit</v>
      </c>
      <c r="F560" t="str">
        <f t="shared" si="25"/>
        <v>Low</v>
      </c>
      <c r="G560" t="str">
        <f>VLOOKUP(A560,DataSet!$1:$1048576,5,FALSE)</f>
        <v>Zoya Rao</v>
      </c>
      <c r="H560" s="29">
        <f>INDEX(DataSet!B:B,MATCH('Advanced  Formulas'!A560,DataSet!A:A,0))</f>
        <v>45682</v>
      </c>
      <c r="I560" s="29">
        <f>INDEX(DataSet!C:C,MATCH('Advanced  Formulas'!A560,DataSet!A:A,0))</f>
        <v>45686</v>
      </c>
      <c r="J560" t="str">
        <f t="shared" si="26"/>
        <v>Review</v>
      </c>
      <c r="K560" s="10" t="str">
        <f>CONCATENATE(DataSet!E560,"-",DataSet!G560)</f>
        <v>Zoya Rao-Delhi</v>
      </c>
    </row>
    <row r="561" spans="1:11">
      <c r="A561" t="str">
        <v>ORD-2024-00560</v>
      </c>
      <c r="B561" s="2">
        <v>120</v>
      </c>
      <c r="C561" s="2">
        <v>25.37</v>
      </c>
      <c r="D561" s="28">
        <v>0</v>
      </c>
      <c r="E561" t="str">
        <f t="shared" si="24"/>
        <v>Loss</v>
      </c>
      <c r="F561" t="str">
        <f t="shared" si="25"/>
        <v>Low</v>
      </c>
      <c r="G561" t="str">
        <f>VLOOKUP(A561,DataSet!$1:$1048576,5,FALSE)</f>
        <v>Fatima Kapoor</v>
      </c>
      <c r="H561" s="29">
        <f>INDEX(DataSet!B:B,MATCH('Advanced  Formulas'!A561,DataSet!A:A,0))</f>
        <v>45587</v>
      </c>
      <c r="I561" s="29">
        <f>INDEX(DataSet!C:C,MATCH('Advanced  Formulas'!A561,DataSet!A:A,0))</f>
        <v>45594</v>
      </c>
      <c r="J561" t="str">
        <f t="shared" si="26"/>
        <v>Review</v>
      </c>
      <c r="K561" s="10" t="str">
        <f>CONCATENATE(DataSet!E561,"-",DataSet!G561)</f>
        <v>Fatima Kapoor-Bengaluru</v>
      </c>
    </row>
    <row r="562" spans="1:11">
      <c r="A562" t="str">
        <v>ORD-2024-00561</v>
      </c>
      <c r="B562" s="2">
        <v>9520</v>
      </c>
      <c r="C562" s="2">
        <v>2958.37</v>
      </c>
      <c r="D562" s="28">
        <v>0.15</v>
      </c>
      <c r="E562" t="str">
        <f t="shared" si="24"/>
        <v>Profit</v>
      </c>
      <c r="F562" t="str">
        <f t="shared" si="25"/>
        <v>High</v>
      </c>
      <c r="G562" t="str">
        <f>VLOOKUP(A562,DataSet!$1:$1048576,5,FALSE)</f>
        <v>Aanya Soni</v>
      </c>
      <c r="H562" s="29">
        <f>INDEX(DataSet!B:B,MATCH('Advanced  Formulas'!A562,DataSet!A:A,0))</f>
        <v>45378</v>
      </c>
      <c r="I562" s="29">
        <f>INDEX(DataSet!C:C,MATCH('Advanced  Formulas'!A562,DataSet!A:A,0))</f>
        <v>45380</v>
      </c>
      <c r="J562" t="str">
        <f t="shared" si="26"/>
        <v>Good Order</v>
      </c>
      <c r="K562" s="10" t="str">
        <f>CONCATENATE(DataSet!E562,"-",DataSet!G562)</f>
        <v>Aanya Soni-Bengaluru</v>
      </c>
    </row>
    <row r="563" spans="1:11">
      <c r="A563" t="str">
        <v>ORD-2024-00562</v>
      </c>
      <c r="B563" s="2">
        <v>187</v>
      </c>
      <c r="C563" s="2">
        <v>42.63</v>
      </c>
      <c r="D563" s="28">
        <v>0.15</v>
      </c>
      <c r="E563" t="str">
        <f t="shared" si="24"/>
        <v>Loss</v>
      </c>
      <c r="F563" t="str">
        <f t="shared" si="25"/>
        <v>Low</v>
      </c>
      <c r="G563" t="str">
        <f>VLOOKUP(A563,DataSet!$1:$1048576,5,FALSE)</f>
        <v>Myra Verma</v>
      </c>
      <c r="H563" s="29">
        <f>INDEX(DataSet!B:B,MATCH('Advanced  Formulas'!A563,DataSet!A:A,0))</f>
        <v>45655</v>
      </c>
      <c r="I563" s="29">
        <f>INDEX(DataSet!C:C,MATCH('Advanced  Formulas'!A563,DataSet!A:A,0))</f>
        <v>45657</v>
      </c>
      <c r="J563" t="str">
        <f t="shared" si="26"/>
        <v>Review</v>
      </c>
      <c r="K563" s="10" t="str">
        <f>CONCATENATE(DataSet!E563,"-",DataSet!G563)</f>
        <v>Myra Verma-Surat</v>
      </c>
    </row>
    <row r="564" spans="1:11">
      <c r="A564" t="str">
        <v>ORD-2025-00563</v>
      </c>
      <c r="B564" s="2">
        <v>3570</v>
      </c>
      <c r="C564" s="2">
        <v>827.71</v>
      </c>
      <c r="D564" s="28">
        <v>0.15</v>
      </c>
      <c r="E564" t="str">
        <f t="shared" si="24"/>
        <v>Profit</v>
      </c>
      <c r="F564" t="str">
        <f t="shared" si="25"/>
        <v>Medium</v>
      </c>
      <c r="G564" t="str">
        <f>VLOOKUP(A564,DataSet!$1:$1048576,5,FALSE)</f>
        <v>Anaya Dave</v>
      </c>
      <c r="H564" s="29">
        <f>INDEX(DataSet!B:B,MATCH('Advanced  Formulas'!A564,DataSet!A:A,0))</f>
        <v>45712</v>
      </c>
      <c r="I564" s="29">
        <f>INDEX(DataSet!C:C,MATCH('Advanced  Formulas'!A564,DataSet!A:A,0))</f>
        <v>45717</v>
      </c>
      <c r="J564" t="str">
        <f t="shared" si="26"/>
        <v>Good Order</v>
      </c>
      <c r="K564" s="10" t="str">
        <f>CONCATENATE(DataSet!E564,"-",DataSet!G564)</f>
        <v>Anaya Dave-Lucknow</v>
      </c>
    </row>
    <row r="565" spans="1:11">
      <c r="A565" t="str">
        <v>ORD-2024-00564</v>
      </c>
      <c r="B565" s="2">
        <v>1275</v>
      </c>
      <c r="C565" s="2">
        <v>160.81</v>
      </c>
      <c r="D565" s="28">
        <v>0.15</v>
      </c>
      <c r="E565" t="str">
        <f t="shared" si="24"/>
        <v>Loss</v>
      </c>
      <c r="F565" t="str">
        <f t="shared" si="25"/>
        <v>Low</v>
      </c>
      <c r="G565" t="str">
        <f>VLOOKUP(A565,DataSet!$1:$1048576,5,FALSE)</f>
        <v>Myra Khan</v>
      </c>
      <c r="H565" s="29">
        <f>INDEX(DataSet!B:B,MATCH('Advanced  Formulas'!A565,DataSet!A:A,0))</f>
        <v>45437</v>
      </c>
      <c r="I565" s="29">
        <f>INDEX(DataSet!C:C,MATCH('Advanced  Formulas'!A565,DataSet!A:A,0))</f>
        <v>45443</v>
      </c>
      <c r="J565" t="str">
        <f t="shared" si="26"/>
        <v>Review</v>
      </c>
      <c r="K565" s="10" t="str">
        <f>CONCATENATE(DataSet!E565,"-",DataSet!G565)</f>
        <v>Myra Khan-Chennai</v>
      </c>
    </row>
    <row r="566" spans="1:11">
      <c r="A566" t="str">
        <v>ORD-2025-00565</v>
      </c>
      <c r="B566" s="2">
        <v>2945</v>
      </c>
      <c r="C566" s="2">
        <v>687.34</v>
      </c>
      <c r="D566" s="28">
        <v>0.05</v>
      </c>
      <c r="E566" t="str">
        <f t="shared" si="24"/>
        <v>Profit</v>
      </c>
      <c r="F566" t="str">
        <f t="shared" si="25"/>
        <v>Low</v>
      </c>
      <c r="G566" t="str">
        <f>VLOOKUP(A566,DataSet!$1:$1048576,5,FALSE)</f>
        <v>Fatima Khan</v>
      </c>
      <c r="H566" s="29">
        <f>INDEX(DataSet!B:B,MATCH('Advanced  Formulas'!A566,DataSet!A:A,0))</f>
        <v>45992</v>
      </c>
      <c r="I566" s="29">
        <f>INDEX(DataSet!C:C,MATCH('Advanced  Formulas'!A566,DataSet!A:A,0))</f>
        <v>45998</v>
      </c>
      <c r="J566" t="str">
        <f t="shared" si="26"/>
        <v>Review</v>
      </c>
      <c r="K566" s="10" t="str">
        <f>CONCATENATE(DataSet!E566,"-",DataSet!G566)</f>
        <v>Fatima Khan-Delhi</v>
      </c>
    </row>
    <row r="567" spans="1:11">
      <c r="A567" t="str">
        <v>ORD-2025-00566</v>
      </c>
      <c r="B567" s="2">
        <v>9025</v>
      </c>
      <c r="C567" s="2">
        <v>2968.75</v>
      </c>
      <c r="D567" s="28">
        <v>0.05</v>
      </c>
      <c r="E567" t="str">
        <f t="shared" si="24"/>
        <v>Profit</v>
      </c>
      <c r="F567" t="str">
        <f t="shared" si="25"/>
        <v>High</v>
      </c>
      <c r="G567" t="str">
        <f>VLOOKUP(A567,DataSet!$1:$1048576,5,FALSE)</f>
        <v>Meera Verma</v>
      </c>
      <c r="H567" s="29">
        <f>INDEX(DataSet!B:B,MATCH('Advanced  Formulas'!A567,DataSet!A:A,0))</f>
        <v>45879</v>
      </c>
      <c r="I567" s="29">
        <f>INDEX(DataSet!C:C,MATCH('Advanced  Formulas'!A567,DataSet!A:A,0))</f>
        <v>45885</v>
      </c>
      <c r="J567" t="str">
        <f t="shared" si="26"/>
        <v>Good Order</v>
      </c>
      <c r="K567" s="10" t="str">
        <f>CONCATENATE(DataSet!E567,"-",DataSet!G567)</f>
        <v>Meera Verma-Mumbai</v>
      </c>
    </row>
    <row r="568" spans="1:11">
      <c r="A568" t="str">
        <v>ORD-2024-00567</v>
      </c>
      <c r="B568" s="2">
        <v>561</v>
      </c>
      <c r="C568" s="2">
        <v>193.03</v>
      </c>
      <c r="D568" s="28">
        <v>0.15</v>
      </c>
      <c r="E568" t="str">
        <f t="shared" si="24"/>
        <v>Loss</v>
      </c>
      <c r="F568" t="str">
        <f t="shared" si="25"/>
        <v>Low</v>
      </c>
      <c r="G568" t="str">
        <f>VLOOKUP(A568,DataSet!$1:$1048576,5,FALSE)</f>
        <v>Meera Patel</v>
      </c>
      <c r="H568" s="29">
        <f>INDEX(DataSet!B:B,MATCH('Advanced  Formulas'!A568,DataSet!A:A,0))</f>
        <v>45558</v>
      </c>
      <c r="I568" s="29">
        <f>INDEX(DataSet!C:C,MATCH('Advanced  Formulas'!A568,DataSet!A:A,0))</f>
        <v>45559</v>
      </c>
      <c r="J568" t="str">
        <f t="shared" si="26"/>
        <v>Review</v>
      </c>
      <c r="K568" s="10" t="str">
        <f>CONCATENATE(DataSet!E568,"-",DataSet!G568)</f>
        <v>Meera Patel-Bengaluru</v>
      </c>
    </row>
    <row r="569" spans="1:11">
      <c r="A569" t="str">
        <v>ORD-2024-00568</v>
      </c>
      <c r="B569" s="2">
        <v>7250</v>
      </c>
      <c r="C569" s="2">
        <v>1594.22</v>
      </c>
      <c r="D569" s="28">
        <v>0</v>
      </c>
      <c r="E569" t="str">
        <f t="shared" si="24"/>
        <v>Profit</v>
      </c>
      <c r="F569" t="str">
        <f t="shared" si="25"/>
        <v>High</v>
      </c>
      <c r="G569" t="str">
        <f>VLOOKUP(A569,DataSet!$1:$1048576,5,FALSE)</f>
        <v>Arjun Patel</v>
      </c>
      <c r="H569" s="29">
        <f>INDEX(DataSet!B:B,MATCH('Advanced  Formulas'!A569,DataSet!A:A,0))</f>
        <v>45376</v>
      </c>
      <c r="I569" s="29">
        <f>INDEX(DataSet!C:C,MATCH('Advanced  Formulas'!A569,DataSet!A:A,0))</f>
        <v>45378</v>
      </c>
      <c r="J569" t="str">
        <f t="shared" si="26"/>
        <v>Good Order</v>
      </c>
      <c r="K569" s="10" t="str">
        <f>CONCATENATE(DataSet!E569,"-",DataSet!G569)</f>
        <v>Arjun Patel-Delhi</v>
      </c>
    </row>
    <row r="570" spans="1:11">
      <c r="A570" t="str">
        <v>ORD-2025-00569</v>
      </c>
      <c r="B570" s="2">
        <v>900</v>
      </c>
      <c r="C570" s="2">
        <v>280.87</v>
      </c>
      <c r="D570" s="28">
        <v>0</v>
      </c>
      <c r="E570" t="str">
        <f t="shared" si="24"/>
        <v>Profit</v>
      </c>
      <c r="F570" t="str">
        <f t="shared" si="25"/>
        <v>Low</v>
      </c>
      <c r="G570" t="str">
        <f>VLOOKUP(A570,DataSet!$1:$1048576,5,FALSE)</f>
        <v>Myra Khan</v>
      </c>
      <c r="H570" s="29">
        <f>INDEX(DataSet!B:B,MATCH('Advanced  Formulas'!A570,DataSet!A:A,0))</f>
        <v>45910</v>
      </c>
      <c r="I570" s="29">
        <f>INDEX(DataSet!C:C,MATCH('Advanced  Formulas'!A570,DataSet!A:A,0))</f>
        <v>45912</v>
      </c>
      <c r="J570" t="str">
        <f t="shared" si="26"/>
        <v>Review</v>
      </c>
      <c r="K570" s="10" t="str">
        <f>CONCATENATE(DataSet!E570,"-",DataSet!G570)</f>
        <v>Myra Khan-Indore</v>
      </c>
    </row>
    <row r="571" spans="1:11">
      <c r="A571" t="str">
        <v>ORD-2026-00570</v>
      </c>
      <c r="B571" s="2">
        <v>2565</v>
      </c>
      <c r="C571" s="2">
        <v>434.21</v>
      </c>
      <c r="D571" s="28">
        <v>0.1</v>
      </c>
      <c r="E571" t="str">
        <f t="shared" si="24"/>
        <v>Profit</v>
      </c>
      <c r="F571" t="str">
        <f t="shared" si="25"/>
        <v>Low</v>
      </c>
      <c r="G571" t="str">
        <f>VLOOKUP(A571,DataSet!$1:$1048576,5,FALSE)</f>
        <v>Krish Desai</v>
      </c>
      <c r="H571" s="29">
        <f>INDEX(DataSet!B:B,MATCH('Advanced  Formulas'!A571,DataSet!A:A,0))</f>
        <v>46174</v>
      </c>
      <c r="I571" s="29">
        <f>INDEX(DataSet!C:C,MATCH('Advanced  Formulas'!A571,DataSet!A:A,0))</f>
        <v>46175</v>
      </c>
      <c r="J571" t="str">
        <f t="shared" si="26"/>
        <v>Review</v>
      </c>
      <c r="K571" s="10" t="str">
        <f>CONCATENATE(DataSet!E571,"-",DataSet!G571)</f>
        <v>Krish Desai-Mumbai</v>
      </c>
    </row>
    <row r="572" spans="1:11">
      <c r="A572" t="str">
        <v>ORD-2026-00571</v>
      </c>
      <c r="B572" s="2">
        <v>540</v>
      </c>
      <c r="C572" s="2">
        <v>115.03</v>
      </c>
      <c r="D572" s="28">
        <v>0</v>
      </c>
      <c r="E572" t="str">
        <f t="shared" si="24"/>
        <v>Loss</v>
      </c>
      <c r="F572" t="str">
        <f t="shared" si="25"/>
        <v>Low</v>
      </c>
      <c r="G572" t="str">
        <f>VLOOKUP(A572,DataSet!$1:$1048576,5,FALSE)</f>
        <v>Anaya Patel</v>
      </c>
      <c r="H572" s="29">
        <f>INDEX(DataSet!B:B,MATCH('Advanced  Formulas'!A572,DataSet!A:A,0))</f>
        <v>46035</v>
      </c>
      <c r="I572" s="29">
        <f>INDEX(DataSet!C:C,MATCH('Advanced  Formulas'!A572,DataSet!A:A,0))</f>
        <v>46041</v>
      </c>
      <c r="J572" t="str">
        <f t="shared" si="26"/>
        <v>Review</v>
      </c>
      <c r="K572" s="10" t="str">
        <f>CONCATENATE(DataSet!E572,"-",DataSet!G572)</f>
        <v>Anaya Patel-Surat</v>
      </c>
    </row>
    <row r="573" spans="1:11">
      <c r="A573" t="str">
        <v>ORD-2025-00572</v>
      </c>
      <c r="B573" s="2">
        <v>792</v>
      </c>
      <c r="C573" s="2">
        <v>148.33000000000001</v>
      </c>
      <c r="D573" s="28">
        <v>0.1</v>
      </c>
      <c r="E573" t="str">
        <f t="shared" si="24"/>
        <v>Loss</v>
      </c>
      <c r="F573" t="str">
        <f t="shared" si="25"/>
        <v>Low</v>
      </c>
      <c r="G573" t="str">
        <f>VLOOKUP(A573,DataSet!$1:$1048576,5,FALSE)</f>
        <v>Fatima Joshi</v>
      </c>
      <c r="H573" s="29">
        <f>INDEX(DataSet!B:B,MATCH('Advanced  Formulas'!A573,DataSet!A:A,0))</f>
        <v>45700</v>
      </c>
      <c r="I573" s="29">
        <f>INDEX(DataSet!C:C,MATCH('Advanced  Formulas'!A573,DataSet!A:A,0))</f>
        <v>45704</v>
      </c>
      <c r="J573" t="str">
        <f t="shared" si="26"/>
        <v>Review</v>
      </c>
      <c r="K573" s="10" t="str">
        <f>CONCATENATE(DataSet!E573,"-",DataSet!G573)</f>
        <v>Fatima Joshi-Rajkot</v>
      </c>
    </row>
    <row r="574" spans="1:11">
      <c r="A574" t="str">
        <v>ORD-2026-00573</v>
      </c>
      <c r="B574" s="2">
        <v>4200</v>
      </c>
      <c r="C574" s="2">
        <v>1125.27</v>
      </c>
      <c r="D574" s="28">
        <v>0.2</v>
      </c>
      <c r="E574" t="str">
        <f t="shared" si="24"/>
        <v>Profit</v>
      </c>
      <c r="F574" t="str">
        <f t="shared" si="25"/>
        <v>Medium</v>
      </c>
      <c r="G574" t="str">
        <f>VLOOKUP(A574,DataSet!$1:$1048576,5,FALSE)</f>
        <v>Diya Shah</v>
      </c>
      <c r="H574" s="29">
        <f>INDEX(DataSet!B:B,MATCH('Advanced  Formulas'!A574,DataSet!A:A,0))</f>
        <v>46183</v>
      </c>
      <c r="I574" s="29">
        <f>INDEX(DataSet!C:C,MATCH('Advanced  Formulas'!A574,DataSet!A:A,0))</f>
        <v>46187</v>
      </c>
      <c r="J574" t="str">
        <f t="shared" si="26"/>
        <v>Good Order</v>
      </c>
      <c r="K574" s="10" t="str">
        <f>CONCATENATE(DataSet!E574,"-",DataSet!G574)</f>
        <v>Diya Shah-Ahmedabad</v>
      </c>
    </row>
    <row r="575" spans="1:11">
      <c r="A575" t="str">
        <v>ORD-2026-00574</v>
      </c>
      <c r="B575" s="2">
        <v>13300</v>
      </c>
      <c r="C575" s="2">
        <v>2179.84</v>
      </c>
      <c r="D575" s="28">
        <v>0.05</v>
      </c>
      <c r="E575" t="str">
        <f t="shared" si="24"/>
        <v>Profit</v>
      </c>
      <c r="F575" t="str">
        <f t="shared" si="25"/>
        <v>High</v>
      </c>
      <c r="G575" t="str">
        <f>VLOOKUP(A575,DataSet!$1:$1048576,5,FALSE)</f>
        <v>Yusuf Panjwani</v>
      </c>
      <c r="H575" s="29">
        <f>INDEX(DataSet!B:B,MATCH('Advanced  Formulas'!A575,DataSet!A:A,0))</f>
        <v>46271</v>
      </c>
      <c r="I575" s="29">
        <f>INDEX(DataSet!C:C,MATCH('Advanced  Formulas'!A575,DataSet!A:A,0))</f>
        <v>46278</v>
      </c>
      <c r="J575" t="str">
        <f t="shared" si="26"/>
        <v>Good Order</v>
      </c>
      <c r="K575" s="10" t="str">
        <f>CONCATENATE(DataSet!E575,"-",DataSet!G575)</f>
        <v>Yusuf Panjwani-Pune</v>
      </c>
    </row>
    <row r="576" spans="1:11">
      <c r="A576" t="str">
        <v>ORD-2026-00575</v>
      </c>
      <c r="B576" s="2">
        <v>432</v>
      </c>
      <c r="C576" s="2">
        <v>73.67</v>
      </c>
      <c r="D576" s="28">
        <v>0.2</v>
      </c>
      <c r="E576" t="str">
        <f t="shared" si="24"/>
        <v>Loss</v>
      </c>
      <c r="F576" t="str">
        <f t="shared" si="25"/>
        <v>Low</v>
      </c>
      <c r="G576" t="str">
        <f>VLOOKUP(A576,DataSet!$1:$1048576,5,FALSE)</f>
        <v>Aditya Soni</v>
      </c>
      <c r="H576" s="29">
        <f>INDEX(DataSet!B:B,MATCH('Advanced  Formulas'!A576,DataSet!A:A,0))</f>
        <v>46043</v>
      </c>
      <c r="I576" s="29">
        <f>INDEX(DataSet!C:C,MATCH('Advanced  Formulas'!A576,DataSet!A:A,0))</f>
        <v>46049</v>
      </c>
      <c r="J576" t="str">
        <f t="shared" si="26"/>
        <v>Review</v>
      </c>
      <c r="K576" s="10" t="str">
        <f>CONCATENATE(DataSet!E576,"-",DataSet!G576)</f>
        <v>Aditya Soni-Lucknow</v>
      </c>
    </row>
    <row r="577" spans="1:11">
      <c r="A577" t="str">
        <v>ORD-2026-00576</v>
      </c>
      <c r="B577" s="2">
        <v>1760</v>
      </c>
      <c r="C577" s="2">
        <v>411.94</v>
      </c>
      <c r="D577" s="28">
        <v>0.2</v>
      </c>
      <c r="E577" t="str">
        <f t="shared" si="24"/>
        <v>Profit</v>
      </c>
      <c r="F577" t="str">
        <f t="shared" si="25"/>
        <v>Low</v>
      </c>
      <c r="G577" t="str">
        <f>VLOOKUP(A577,DataSet!$1:$1048576,5,FALSE)</f>
        <v>Sara Joshi</v>
      </c>
      <c r="H577" s="29">
        <f>INDEX(DataSet!B:B,MATCH('Advanced  Formulas'!A577,DataSet!A:A,0))</f>
        <v>46143</v>
      </c>
      <c r="I577" s="29">
        <f>INDEX(DataSet!C:C,MATCH('Advanced  Formulas'!A577,DataSet!A:A,0))</f>
        <v>46144</v>
      </c>
      <c r="J577" t="str">
        <f t="shared" si="26"/>
        <v>Review</v>
      </c>
      <c r="K577" s="10" t="str">
        <f>CONCATENATE(DataSet!E577,"-",DataSet!G577)</f>
        <v>Sara Joshi-Ahmedabad</v>
      </c>
    </row>
    <row r="578" spans="1:11">
      <c r="A578" t="str">
        <v>ORD-2024-00577</v>
      </c>
      <c r="B578" s="2">
        <v>28900</v>
      </c>
      <c r="C578" s="2">
        <v>5537.2</v>
      </c>
      <c r="D578" s="28">
        <v>0.15</v>
      </c>
      <c r="E578" t="str">
        <f t="shared" si="24"/>
        <v>Profit</v>
      </c>
      <c r="F578" t="str">
        <f t="shared" si="25"/>
        <v>High</v>
      </c>
      <c r="G578" t="str">
        <f>VLOOKUP(A578,DataSet!$1:$1048576,5,FALSE)</f>
        <v>Anaya Shah</v>
      </c>
      <c r="H578" s="29">
        <f>INDEX(DataSet!B:B,MATCH('Advanced  Formulas'!A578,DataSet!A:A,0))</f>
        <v>45316</v>
      </c>
      <c r="I578" s="29">
        <f>INDEX(DataSet!C:C,MATCH('Advanced  Formulas'!A578,DataSet!A:A,0))</f>
        <v>45321</v>
      </c>
      <c r="J578" t="str">
        <f t="shared" si="26"/>
        <v>Good Order</v>
      </c>
      <c r="K578" s="10" t="str">
        <f>CONCATENATE(DataSet!E578,"-",DataSet!G578)</f>
        <v>Anaya Shah-Bhavnagar</v>
      </c>
    </row>
    <row r="579" spans="1:11">
      <c r="A579" t="str">
        <v>ORD-2025-00578</v>
      </c>
      <c r="B579" s="2">
        <v>513</v>
      </c>
      <c r="C579" s="2">
        <v>151.80000000000001</v>
      </c>
      <c r="D579" s="28">
        <v>0.05</v>
      </c>
      <c r="E579" t="str">
        <f t="shared" ref="E579:E642" si="27">IF(C579&gt;200,"Profit","Loss")</f>
        <v>Loss</v>
      </c>
      <c r="F579" t="str">
        <f t="shared" ref="F579:F642" si="28">IF(B579&gt;6000,"High",IF(B579&gt;=3000,"Medium",IF(B579&lt;3000,"Low")))</f>
        <v>Low</v>
      </c>
      <c r="G579" t="str">
        <f>VLOOKUP(A579,DataSet!$1:$1048576,5,FALSE)</f>
        <v>Kabir Kapoor</v>
      </c>
      <c r="H579" s="29">
        <f>INDEX(DataSet!B:B,MATCH('Advanced  Formulas'!A579,DataSet!A:A,0))</f>
        <v>45676</v>
      </c>
      <c r="I579" s="29">
        <f>INDEX(DataSet!C:C,MATCH('Advanced  Formulas'!A579,DataSet!A:A,0))</f>
        <v>45682</v>
      </c>
      <c r="J579" t="str">
        <f t="shared" ref="J579:J642" si="29">IF(AND(B579&gt;3000,C579&gt;0),"Good Order","Review")</f>
        <v>Review</v>
      </c>
      <c r="K579" s="10" t="str">
        <f>CONCATENATE(DataSet!E579,"-",DataSet!G579)</f>
        <v>Kabir Kapoor-Hyderabad</v>
      </c>
    </row>
    <row r="580" spans="1:11">
      <c r="A580" t="str">
        <v>ORD-2026-00579</v>
      </c>
      <c r="B580" s="2">
        <v>8400</v>
      </c>
      <c r="C580" s="2">
        <v>2586.4</v>
      </c>
      <c r="D580" s="28">
        <v>0</v>
      </c>
      <c r="E580" t="str">
        <f t="shared" si="27"/>
        <v>Profit</v>
      </c>
      <c r="F580" t="str">
        <f t="shared" si="28"/>
        <v>High</v>
      </c>
      <c r="G580" t="str">
        <f>VLOOKUP(A580,DataSet!$1:$1048576,5,FALSE)</f>
        <v>Krish Panjwani</v>
      </c>
      <c r="H580" s="29">
        <f>INDEX(DataSet!B:B,MATCH('Advanced  Formulas'!A580,DataSet!A:A,0))</f>
        <v>46079</v>
      </c>
      <c r="I580" s="29">
        <f>INDEX(DataSet!C:C,MATCH('Advanced  Formulas'!A580,DataSet!A:A,0))</f>
        <v>46083</v>
      </c>
      <c r="J580" t="str">
        <f t="shared" si="29"/>
        <v>Good Order</v>
      </c>
      <c r="K580" s="10" t="str">
        <f>CONCATENATE(DataSet!E580,"-",DataSet!G580)</f>
        <v>Krish Panjwani-Chennai</v>
      </c>
    </row>
    <row r="581" spans="1:11">
      <c r="A581" t="str">
        <v>ORD-2024-00580</v>
      </c>
      <c r="B581" s="2">
        <v>270</v>
      </c>
      <c r="C581" s="2">
        <v>29.79</v>
      </c>
      <c r="D581" s="28">
        <v>0.1</v>
      </c>
      <c r="E581" t="str">
        <f t="shared" si="27"/>
        <v>Loss</v>
      </c>
      <c r="F581" t="str">
        <f t="shared" si="28"/>
        <v>Low</v>
      </c>
      <c r="G581" t="str">
        <f>VLOOKUP(A581,DataSet!$1:$1048576,5,FALSE)</f>
        <v>Meera Panjwani</v>
      </c>
      <c r="H581" s="29">
        <f>INDEX(DataSet!B:B,MATCH('Advanced  Formulas'!A581,DataSet!A:A,0))</f>
        <v>45556</v>
      </c>
      <c r="I581" s="29">
        <f>INDEX(DataSet!C:C,MATCH('Advanced  Formulas'!A581,DataSet!A:A,0))</f>
        <v>45563</v>
      </c>
      <c r="J581" t="str">
        <f t="shared" si="29"/>
        <v>Review</v>
      </c>
      <c r="K581" s="10" t="str">
        <f>CONCATENATE(DataSet!E581,"-",DataSet!G581)</f>
        <v>Meera Panjwani-Rajkot</v>
      </c>
    </row>
    <row r="582" spans="1:11">
      <c r="A582" t="str">
        <v>ORD-2024-00581</v>
      </c>
      <c r="B582" s="2">
        <v>630</v>
      </c>
      <c r="C582" s="2">
        <v>112.77</v>
      </c>
      <c r="D582" s="28">
        <v>0.1</v>
      </c>
      <c r="E582" t="str">
        <f t="shared" si="27"/>
        <v>Loss</v>
      </c>
      <c r="F582" t="str">
        <f t="shared" si="28"/>
        <v>Low</v>
      </c>
      <c r="G582" t="str">
        <f>VLOOKUP(A582,DataSet!$1:$1048576,5,FALSE)</f>
        <v>Diya Shah</v>
      </c>
      <c r="H582" s="29">
        <f>INDEX(DataSet!B:B,MATCH('Advanced  Formulas'!A582,DataSet!A:A,0))</f>
        <v>45403</v>
      </c>
      <c r="I582" s="29">
        <f>INDEX(DataSet!C:C,MATCH('Advanced  Formulas'!A582,DataSet!A:A,0))</f>
        <v>45405</v>
      </c>
      <c r="J582" t="str">
        <f t="shared" si="29"/>
        <v>Review</v>
      </c>
      <c r="K582" s="10" t="str">
        <f>CONCATENATE(DataSet!E582,"-",DataSet!G582)</f>
        <v>Diya Shah-Delhi</v>
      </c>
    </row>
    <row r="583" spans="1:11">
      <c r="A583" t="str">
        <v>ORD-2026-00582</v>
      </c>
      <c r="B583" s="2">
        <v>8800</v>
      </c>
      <c r="C583" s="2">
        <v>1850.24</v>
      </c>
      <c r="D583" s="28">
        <v>0</v>
      </c>
      <c r="E583" t="str">
        <f t="shared" si="27"/>
        <v>Profit</v>
      </c>
      <c r="F583" t="str">
        <f t="shared" si="28"/>
        <v>High</v>
      </c>
      <c r="G583" t="str">
        <f>VLOOKUP(A583,DataSet!$1:$1048576,5,FALSE)</f>
        <v>Diya Kapoor</v>
      </c>
      <c r="H583" s="29">
        <f>INDEX(DataSet!B:B,MATCH('Advanced  Formulas'!A583,DataSet!A:A,0))</f>
        <v>46037</v>
      </c>
      <c r="I583" s="29">
        <f>INDEX(DataSet!C:C,MATCH('Advanced  Formulas'!A583,DataSet!A:A,0))</f>
        <v>46040</v>
      </c>
      <c r="J583" t="str">
        <f t="shared" si="29"/>
        <v>Good Order</v>
      </c>
      <c r="K583" s="10" t="str">
        <f>CONCATENATE(DataSet!E583,"-",DataSet!G583)</f>
        <v>Diya Kapoor-Hyderabad</v>
      </c>
    </row>
    <row r="584" spans="1:11">
      <c r="A584" t="str">
        <v>ORD-2024-00583</v>
      </c>
      <c r="B584" s="2">
        <v>187</v>
      </c>
      <c r="C584" s="2">
        <v>32.450000000000003</v>
      </c>
      <c r="D584" s="28">
        <v>0.15</v>
      </c>
      <c r="E584" t="str">
        <f t="shared" si="27"/>
        <v>Loss</v>
      </c>
      <c r="F584" t="str">
        <f t="shared" si="28"/>
        <v>Low</v>
      </c>
      <c r="G584" t="str">
        <f>VLOOKUP(A584,DataSet!$1:$1048576,5,FALSE)</f>
        <v>Fatima Khan</v>
      </c>
      <c r="H584" s="29">
        <f>INDEX(DataSet!B:B,MATCH('Advanced  Formulas'!A584,DataSet!A:A,0))</f>
        <v>45447</v>
      </c>
      <c r="I584" s="29">
        <f>INDEX(DataSet!C:C,MATCH('Advanced  Formulas'!A584,DataSet!A:A,0))</f>
        <v>45453</v>
      </c>
      <c r="J584" t="str">
        <f t="shared" si="29"/>
        <v>Review</v>
      </c>
      <c r="K584" s="10" t="str">
        <f>CONCATENATE(DataSet!E584,"-",DataSet!G584)</f>
        <v>Fatima Khan-Mumbai</v>
      </c>
    </row>
    <row r="585" spans="1:11">
      <c r="A585" t="str">
        <v>ORD-2026-00584</v>
      </c>
      <c r="B585" s="2">
        <v>34000</v>
      </c>
      <c r="C585" s="2">
        <v>9521.69</v>
      </c>
      <c r="D585" s="28">
        <v>0</v>
      </c>
      <c r="E585" t="str">
        <f t="shared" si="27"/>
        <v>Profit</v>
      </c>
      <c r="F585" t="str">
        <f t="shared" si="28"/>
        <v>High</v>
      </c>
      <c r="G585" t="str">
        <f>VLOOKUP(A585,DataSet!$1:$1048576,5,FALSE)</f>
        <v>Fatima Shah</v>
      </c>
      <c r="H585" s="29">
        <f>INDEX(DataSet!B:B,MATCH('Advanced  Formulas'!A585,DataSet!A:A,0))</f>
        <v>46156</v>
      </c>
      <c r="I585" s="29">
        <f>INDEX(DataSet!C:C,MATCH('Advanced  Formulas'!A585,DataSet!A:A,0))</f>
        <v>46162</v>
      </c>
      <c r="J585" t="str">
        <f t="shared" si="29"/>
        <v>Good Order</v>
      </c>
      <c r="K585" s="10" t="str">
        <f>CONCATENATE(DataSet!E585,"-",DataSet!G585)</f>
        <v>Fatima Shah-Hyderabad</v>
      </c>
    </row>
    <row r="586" spans="1:11">
      <c r="A586" t="str">
        <v>ORD-2026-00585</v>
      </c>
      <c r="B586" s="2">
        <v>600</v>
      </c>
      <c r="C586" s="2">
        <v>54.47</v>
      </c>
      <c r="D586" s="28">
        <v>0.2</v>
      </c>
      <c r="E586" t="str">
        <f t="shared" si="27"/>
        <v>Loss</v>
      </c>
      <c r="F586" t="str">
        <f t="shared" si="28"/>
        <v>Low</v>
      </c>
      <c r="G586" t="str">
        <f>VLOOKUP(A586,DataSet!$1:$1048576,5,FALSE)</f>
        <v>Kabir Trivedi</v>
      </c>
      <c r="H586" s="29">
        <f>INDEX(DataSet!B:B,MATCH('Advanced  Formulas'!A586,DataSet!A:A,0))</f>
        <v>46249</v>
      </c>
      <c r="I586" s="29">
        <f>INDEX(DataSet!C:C,MATCH('Advanced  Formulas'!A586,DataSet!A:A,0))</f>
        <v>46252</v>
      </c>
      <c r="J586" t="str">
        <f t="shared" si="29"/>
        <v>Review</v>
      </c>
      <c r="K586" s="10" t="str">
        <f>CONCATENATE(DataSet!E586,"-",DataSet!G586)</f>
        <v>Kabir Trivedi-Mumbai</v>
      </c>
    </row>
    <row r="587" spans="1:11">
      <c r="A587" t="str">
        <v>ORD-2024-00586</v>
      </c>
      <c r="B587" s="2">
        <v>16575</v>
      </c>
      <c r="C587" s="2">
        <v>5756.06</v>
      </c>
      <c r="D587" s="28">
        <v>0.15</v>
      </c>
      <c r="E587" t="str">
        <f t="shared" si="27"/>
        <v>Profit</v>
      </c>
      <c r="F587" t="str">
        <f t="shared" si="28"/>
        <v>High</v>
      </c>
      <c r="G587" t="str">
        <f>VLOOKUP(A587,DataSet!$1:$1048576,5,FALSE)</f>
        <v>Reyansh Joshi</v>
      </c>
      <c r="H587" s="29">
        <f>INDEX(DataSet!B:B,MATCH('Advanced  Formulas'!A587,DataSet!A:A,0))</f>
        <v>45374</v>
      </c>
      <c r="I587" s="29">
        <f>INDEX(DataSet!C:C,MATCH('Advanced  Formulas'!A587,DataSet!A:A,0))</f>
        <v>45381</v>
      </c>
      <c r="J587" t="str">
        <f t="shared" si="29"/>
        <v>Good Order</v>
      </c>
      <c r="K587" s="10" t="str">
        <f>CONCATENATE(DataSet!E587,"-",DataSet!G587)</f>
        <v>Reyansh Joshi-Jaipur</v>
      </c>
    </row>
    <row r="588" spans="1:11">
      <c r="A588" t="str">
        <v>ORD-2026-00587</v>
      </c>
      <c r="B588" s="2">
        <v>1200</v>
      </c>
      <c r="C588" s="2">
        <v>283.35000000000002</v>
      </c>
      <c r="D588" s="28">
        <v>0.2</v>
      </c>
      <c r="E588" t="str">
        <f t="shared" si="27"/>
        <v>Profit</v>
      </c>
      <c r="F588" t="str">
        <f t="shared" si="28"/>
        <v>Low</v>
      </c>
      <c r="G588" t="str">
        <f>VLOOKUP(A588,DataSet!$1:$1048576,5,FALSE)</f>
        <v>Vivaan Patel</v>
      </c>
      <c r="H588" s="29">
        <f>INDEX(DataSet!B:B,MATCH('Advanced  Formulas'!A588,DataSet!A:A,0))</f>
        <v>46209</v>
      </c>
      <c r="I588" s="29">
        <f>INDEX(DataSet!C:C,MATCH('Advanced  Formulas'!A588,DataSet!A:A,0))</f>
        <v>46210</v>
      </c>
      <c r="J588" t="str">
        <f t="shared" si="29"/>
        <v>Review</v>
      </c>
      <c r="K588" s="10" t="str">
        <f>CONCATENATE(DataSet!E588,"-",DataSet!G588)</f>
        <v>Vivaan Patel-Bengaluru</v>
      </c>
    </row>
    <row r="589" spans="1:11">
      <c r="A589" t="str">
        <v>ORD-2026-00588</v>
      </c>
      <c r="B589" s="2">
        <v>2720</v>
      </c>
      <c r="C589" s="2">
        <v>517.38</v>
      </c>
      <c r="D589" s="28">
        <v>0.15</v>
      </c>
      <c r="E589" t="str">
        <f t="shared" si="27"/>
        <v>Profit</v>
      </c>
      <c r="F589" t="str">
        <f t="shared" si="28"/>
        <v>Low</v>
      </c>
      <c r="G589" t="str">
        <f>VLOOKUP(A589,DataSet!$1:$1048576,5,FALSE)</f>
        <v>Kiara Rao</v>
      </c>
      <c r="H589" s="29">
        <f>INDEX(DataSet!B:B,MATCH('Advanced  Formulas'!A589,DataSet!A:A,0))</f>
        <v>46029</v>
      </c>
      <c r="I589" s="29">
        <f>INDEX(DataSet!C:C,MATCH('Advanced  Formulas'!A589,DataSet!A:A,0))</f>
        <v>46034</v>
      </c>
      <c r="J589" t="str">
        <f t="shared" si="29"/>
        <v>Review</v>
      </c>
      <c r="K589" s="10" t="str">
        <f>CONCATENATE(DataSet!E589,"-",DataSet!G589)</f>
        <v>Kiara Rao-Vadodara</v>
      </c>
    </row>
    <row r="590" spans="1:11">
      <c r="A590" t="str">
        <v>ORD-2024-00589</v>
      </c>
      <c r="B590" s="2">
        <v>29400</v>
      </c>
      <c r="C590" s="2">
        <v>9553.93</v>
      </c>
      <c r="D590" s="28">
        <v>0</v>
      </c>
      <c r="E590" t="str">
        <f t="shared" si="27"/>
        <v>Profit</v>
      </c>
      <c r="F590" t="str">
        <f t="shared" si="28"/>
        <v>High</v>
      </c>
      <c r="G590" t="str">
        <f>VLOOKUP(A590,DataSet!$1:$1048576,5,FALSE)</f>
        <v>Dev Khan</v>
      </c>
      <c r="H590" s="29">
        <f>INDEX(DataSet!B:B,MATCH('Advanced  Formulas'!A590,DataSet!A:A,0))</f>
        <v>45329</v>
      </c>
      <c r="I590" s="29">
        <f>INDEX(DataSet!C:C,MATCH('Advanced  Formulas'!A590,DataSet!A:A,0))</f>
        <v>45332</v>
      </c>
      <c r="J590" t="str">
        <f t="shared" si="29"/>
        <v>Good Order</v>
      </c>
      <c r="K590" s="10" t="str">
        <f>CONCATENATE(DataSet!E590,"-",DataSet!G590)</f>
        <v>Dev Khan-Ahmedabad</v>
      </c>
    </row>
    <row r="591" spans="1:11">
      <c r="A591" t="str">
        <v>ORD-2024-00590</v>
      </c>
      <c r="B591" s="2">
        <v>144</v>
      </c>
      <c r="C591" s="2">
        <v>45.1</v>
      </c>
      <c r="D591" s="28">
        <v>0.2</v>
      </c>
      <c r="E591" t="str">
        <f t="shared" si="27"/>
        <v>Loss</v>
      </c>
      <c r="F591" t="str">
        <f t="shared" si="28"/>
        <v>Low</v>
      </c>
      <c r="G591" t="str">
        <f>VLOOKUP(A591,DataSet!$1:$1048576,5,FALSE)</f>
        <v>Aarav Khan</v>
      </c>
      <c r="H591" s="29">
        <f>INDEX(DataSet!B:B,MATCH('Advanced  Formulas'!A591,DataSet!A:A,0))</f>
        <v>45444</v>
      </c>
      <c r="I591" s="29">
        <f>INDEX(DataSet!C:C,MATCH('Advanced  Formulas'!A591,DataSet!A:A,0))</f>
        <v>45450</v>
      </c>
      <c r="J591" t="str">
        <f t="shared" si="29"/>
        <v>Review</v>
      </c>
      <c r="K591" s="10" t="str">
        <f>CONCATENATE(DataSet!E591,"-",DataSet!G591)</f>
        <v>Aarav Khan-Lucknow</v>
      </c>
    </row>
    <row r="592" spans="1:11">
      <c r="A592" t="str">
        <v>ORD-2024-00591</v>
      </c>
      <c r="B592" s="2">
        <v>432</v>
      </c>
      <c r="C592" s="2">
        <v>145.59</v>
      </c>
      <c r="D592" s="28">
        <v>0.2</v>
      </c>
      <c r="E592" t="str">
        <f t="shared" si="27"/>
        <v>Loss</v>
      </c>
      <c r="F592" t="str">
        <f t="shared" si="28"/>
        <v>Low</v>
      </c>
      <c r="G592" t="str">
        <f>VLOOKUP(A592,DataSet!$1:$1048576,5,FALSE)</f>
        <v>Anaya Khan</v>
      </c>
      <c r="H592" s="29">
        <f>INDEX(DataSet!B:B,MATCH('Advanced  Formulas'!A592,DataSet!A:A,0))</f>
        <v>45540</v>
      </c>
      <c r="I592" s="29">
        <f>INDEX(DataSet!C:C,MATCH('Advanced  Formulas'!A592,DataSet!A:A,0))</f>
        <v>45546</v>
      </c>
      <c r="J592" t="str">
        <f t="shared" si="29"/>
        <v>Review</v>
      </c>
      <c r="K592" s="10" t="str">
        <f>CONCATENATE(DataSet!E592,"-",DataSet!G592)</f>
        <v>Anaya Khan-Bengaluru</v>
      </c>
    </row>
    <row r="593" spans="1:11">
      <c r="A593" t="str">
        <v>ORD-2026-00592</v>
      </c>
      <c r="B593" s="2">
        <v>4420</v>
      </c>
      <c r="C593" s="2">
        <v>661.74</v>
      </c>
      <c r="D593" s="28">
        <v>0.15</v>
      </c>
      <c r="E593" t="str">
        <f t="shared" si="27"/>
        <v>Profit</v>
      </c>
      <c r="F593" t="str">
        <f t="shared" si="28"/>
        <v>Medium</v>
      </c>
      <c r="G593" t="str">
        <f>VLOOKUP(A593,DataSet!$1:$1048576,5,FALSE)</f>
        <v>Kabir Iyer</v>
      </c>
      <c r="H593" s="29">
        <f>INDEX(DataSet!B:B,MATCH('Advanced  Formulas'!A593,DataSet!A:A,0))</f>
        <v>46147</v>
      </c>
      <c r="I593" s="29">
        <f>INDEX(DataSet!C:C,MATCH('Advanced  Formulas'!A593,DataSet!A:A,0))</f>
        <v>46152</v>
      </c>
      <c r="J593" t="str">
        <f t="shared" si="29"/>
        <v>Good Order</v>
      </c>
      <c r="K593" s="10" t="str">
        <f>CONCATENATE(DataSet!E593,"-",DataSet!G593)</f>
        <v>Kabir Iyer-Bhavnagar</v>
      </c>
    </row>
    <row r="594" spans="1:11">
      <c r="A594" t="str">
        <v>ORD-2024-00593</v>
      </c>
      <c r="B594" s="2">
        <v>3040</v>
      </c>
      <c r="C594" s="2">
        <v>608.76</v>
      </c>
      <c r="D594" s="28">
        <v>0.2</v>
      </c>
      <c r="E594" t="str">
        <f t="shared" si="27"/>
        <v>Profit</v>
      </c>
      <c r="F594" t="str">
        <f t="shared" si="28"/>
        <v>Medium</v>
      </c>
      <c r="G594" t="str">
        <f>VLOOKUP(A594,DataSet!$1:$1048576,5,FALSE)</f>
        <v>Aditya Rao</v>
      </c>
      <c r="H594" s="29">
        <f>INDEX(DataSet!B:B,MATCH('Advanced  Formulas'!A594,DataSet!A:A,0))</f>
        <v>45637</v>
      </c>
      <c r="I594" s="29">
        <f>INDEX(DataSet!C:C,MATCH('Advanced  Formulas'!A594,DataSet!A:A,0))</f>
        <v>45644</v>
      </c>
      <c r="J594" t="str">
        <f t="shared" si="29"/>
        <v>Good Order</v>
      </c>
      <c r="K594" s="10" t="str">
        <f>CONCATENATE(DataSet!E594,"-",DataSet!G594)</f>
        <v>Aditya Rao-Kolkata</v>
      </c>
    </row>
    <row r="595" spans="1:11">
      <c r="A595" t="str">
        <v>ORD-2025-00594</v>
      </c>
      <c r="B595" s="2">
        <v>3250</v>
      </c>
      <c r="C595" s="2">
        <v>594.87</v>
      </c>
      <c r="D595" s="28">
        <v>0</v>
      </c>
      <c r="E595" t="str">
        <f t="shared" si="27"/>
        <v>Profit</v>
      </c>
      <c r="F595" t="str">
        <f t="shared" si="28"/>
        <v>Medium</v>
      </c>
      <c r="G595" t="str">
        <f>VLOOKUP(A595,DataSet!$1:$1048576,5,FALSE)</f>
        <v>Zoya Soni</v>
      </c>
      <c r="H595" s="29">
        <f>INDEX(DataSet!B:B,MATCH('Advanced  Formulas'!A595,DataSet!A:A,0))</f>
        <v>45899</v>
      </c>
      <c r="I595" s="29">
        <f>INDEX(DataSet!C:C,MATCH('Advanced  Formulas'!A595,DataSet!A:A,0))</f>
        <v>45901</v>
      </c>
      <c r="J595" t="str">
        <f t="shared" si="29"/>
        <v>Good Order</v>
      </c>
      <c r="K595" s="10" t="str">
        <f>CONCATENATE(DataSet!E595,"-",DataSet!G595)</f>
        <v>Zoya Soni-Mumbai</v>
      </c>
    </row>
    <row r="596" spans="1:11">
      <c r="A596" t="str">
        <v>ORD-2024-00595</v>
      </c>
      <c r="B596" s="2">
        <v>1260</v>
      </c>
      <c r="C596" s="2">
        <v>473.68</v>
      </c>
      <c r="D596" s="28">
        <v>0</v>
      </c>
      <c r="E596" t="str">
        <f t="shared" si="27"/>
        <v>Profit</v>
      </c>
      <c r="F596" t="str">
        <f t="shared" si="28"/>
        <v>Low</v>
      </c>
      <c r="G596" t="str">
        <f>VLOOKUP(A596,DataSet!$1:$1048576,5,FALSE)</f>
        <v>Kabir Patel</v>
      </c>
      <c r="H596" s="29">
        <f>INDEX(DataSet!B:B,MATCH('Advanced  Formulas'!A596,DataSet!A:A,0))</f>
        <v>45541</v>
      </c>
      <c r="I596" s="29">
        <f>INDEX(DataSet!C:C,MATCH('Advanced  Formulas'!A596,DataSet!A:A,0))</f>
        <v>45546</v>
      </c>
      <c r="J596" t="str">
        <f t="shared" si="29"/>
        <v>Review</v>
      </c>
      <c r="K596" s="10" t="str">
        <f>CONCATENATE(DataSet!E596,"-",DataSet!G596)</f>
        <v>Kabir Patel-Ahmedabad</v>
      </c>
    </row>
    <row r="597" spans="1:11">
      <c r="A597" t="str">
        <v>ORD-2026-00596</v>
      </c>
      <c r="B597" s="2">
        <v>4800</v>
      </c>
      <c r="C597" s="2">
        <v>1521.64</v>
      </c>
      <c r="D597" s="28">
        <v>0.2</v>
      </c>
      <c r="E597" t="str">
        <f t="shared" si="27"/>
        <v>Profit</v>
      </c>
      <c r="F597" t="str">
        <f t="shared" si="28"/>
        <v>Medium</v>
      </c>
      <c r="G597" t="str">
        <f>VLOOKUP(A597,DataSet!$1:$1048576,5,FALSE)</f>
        <v>Arjun Soni</v>
      </c>
      <c r="H597" s="29">
        <f>INDEX(DataSet!B:B,MATCH('Advanced  Formulas'!A597,DataSet!A:A,0))</f>
        <v>46240</v>
      </c>
      <c r="I597" s="29">
        <f>INDEX(DataSet!C:C,MATCH('Advanced  Formulas'!A597,DataSet!A:A,0))</f>
        <v>46241</v>
      </c>
      <c r="J597" t="str">
        <f t="shared" si="29"/>
        <v>Good Order</v>
      </c>
      <c r="K597" s="10" t="str">
        <f>CONCATENATE(DataSet!E597,"-",DataSet!G597)</f>
        <v>Arjun Soni-Chennai</v>
      </c>
    </row>
    <row r="598" spans="1:11">
      <c r="A598" t="str">
        <v>ORD-2024-00597</v>
      </c>
      <c r="B598" s="2">
        <v>20400</v>
      </c>
      <c r="C598" s="2">
        <v>4488.6000000000004</v>
      </c>
      <c r="D598" s="28">
        <v>0.2</v>
      </c>
      <c r="E598" t="str">
        <f t="shared" si="27"/>
        <v>Profit</v>
      </c>
      <c r="F598" t="str">
        <f t="shared" si="28"/>
        <v>High</v>
      </c>
      <c r="G598" t="str">
        <f>VLOOKUP(A598,DataSet!$1:$1048576,5,FALSE)</f>
        <v>Kabir Kapoor</v>
      </c>
      <c r="H598" s="29">
        <f>INDEX(DataSet!B:B,MATCH('Advanced  Formulas'!A598,DataSet!A:A,0))</f>
        <v>45536</v>
      </c>
      <c r="I598" s="29">
        <f>INDEX(DataSet!C:C,MATCH('Advanced  Formulas'!A598,DataSet!A:A,0))</f>
        <v>45538</v>
      </c>
      <c r="J598" t="str">
        <f t="shared" si="29"/>
        <v>Good Order</v>
      </c>
      <c r="K598" s="10" t="str">
        <f>CONCATENATE(DataSet!E598,"-",DataSet!G598)</f>
        <v>Kabir Kapoor-Lucknow</v>
      </c>
    </row>
    <row r="599" spans="1:11">
      <c r="A599" t="str">
        <v>ORD-2025-00598</v>
      </c>
      <c r="B599" s="2">
        <v>204</v>
      </c>
      <c r="C599" s="2">
        <v>21.12</v>
      </c>
      <c r="D599" s="28">
        <v>0.15</v>
      </c>
      <c r="E599" t="str">
        <f t="shared" si="27"/>
        <v>Loss</v>
      </c>
      <c r="F599" t="str">
        <f t="shared" si="28"/>
        <v>Low</v>
      </c>
      <c r="G599" t="str">
        <f>VLOOKUP(A599,DataSet!$1:$1048576,5,FALSE)</f>
        <v>Zoya Rao</v>
      </c>
      <c r="H599" s="29">
        <f>INDEX(DataSet!B:B,MATCH('Advanced  Formulas'!A599,DataSet!A:A,0))</f>
        <v>45720</v>
      </c>
      <c r="I599" s="29">
        <f>INDEX(DataSet!C:C,MATCH('Advanced  Formulas'!A599,DataSet!A:A,0))</f>
        <v>45721</v>
      </c>
      <c r="J599" t="str">
        <f t="shared" si="29"/>
        <v>Review</v>
      </c>
      <c r="K599" s="10" t="str">
        <f>CONCATENATE(DataSet!E599,"-",DataSet!G599)</f>
        <v>Zoya Rao-Delhi</v>
      </c>
    </row>
    <row r="600" spans="1:11">
      <c r="A600" t="str">
        <v>ORD-2024-00599</v>
      </c>
      <c r="B600" s="2">
        <v>320</v>
      </c>
      <c r="C600" s="2">
        <v>112.23</v>
      </c>
      <c r="D600" s="28">
        <v>0</v>
      </c>
      <c r="E600" t="str">
        <f t="shared" si="27"/>
        <v>Loss</v>
      </c>
      <c r="F600" t="str">
        <f t="shared" si="28"/>
        <v>Low</v>
      </c>
      <c r="G600" t="str">
        <f>VLOOKUP(A600,DataSet!$1:$1048576,5,FALSE)</f>
        <v>Fatima Khan</v>
      </c>
      <c r="H600" s="29">
        <f>INDEX(DataSet!B:B,MATCH('Advanced  Formulas'!A600,DataSet!A:A,0))</f>
        <v>45516</v>
      </c>
      <c r="I600" s="29">
        <f>INDEX(DataSet!C:C,MATCH('Advanced  Formulas'!A600,DataSet!A:A,0))</f>
        <v>45520</v>
      </c>
      <c r="J600" t="str">
        <f t="shared" si="29"/>
        <v>Review</v>
      </c>
      <c r="K600" s="10" t="str">
        <f>CONCATENATE(DataSet!E600,"-",DataSet!G600)</f>
        <v>Fatima Khan-Hyderabad</v>
      </c>
    </row>
    <row r="601" spans="1:11">
      <c r="A601" t="str">
        <v>ORD-2025-00600</v>
      </c>
      <c r="B601" s="2">
        <v>10080</v>
      </c>
      <c r="C601" s="2">
        <v>3020.38</v>
      </c>
      <c r="D601" s="28">
        <v>0.1</v>
      </c>
      <c r="E601" t="str">
        <f t="shared" si="27"/>
        <v>Profit</v>
      </c>
      <c r="F601" t="str">
        <f t="shared" si="28"/>
        <v>High</v>
      </c>
      <c r="G601" t="str">
        <f>VLOOKUP(A601,DataSet!$1:$1048576,5,FALSE)</f>
        <v>Rohan Patel</v>
      </c>
      <c r="H601" s="29">
        <f>INDEX(DataSet!B:B,MATCH('Advanced  Formulas'!A601,DataSet!A:A,0))</f>
        <v>45978</v>
      </c>
      <c r="I601" s="29">
        <f>INDEX(DataSet!C:C,MATCH('Advanced  Formulas'!A601,DataSet!A:A,0))</f>
        <v>45979</v>
      </c>
      <c r="J601" t="str">
        <f t="shared" si="29"/>
        <v>Good Order</v>
      </c>
      <c r="K601" s="10" t="str">
        <f>CONCATENATE(DataSet!E601,"-",DataSet!G601)</f>
        <v>Rohan Patel-Ahmedabad</v>
      </c>
    </row>
    <row r="602" spans="1:11">
      <c r="A602" t="str">
        <v>ORD-2026-00601</v>
      </c>
      <c r="B602" s="2">
        <v>1224</v>
      </c>
      <c r="C602" s="2">
        <v>400.64</v>
      </c>
      <c r="D602" s="28">
        <v>0.15</v>
      </c>
      <c r="E602" t="str">
        <f t="shared" si="27"/>
        <v>Profit</v>
      </c>
      <c r="F602" t="str">
        <f t="shared" si="28"/>
        <v>Low</v>
      </c>
      <c r="G602" t="str">
        <f>VLOOKUP(A602,DataSet!$1:$1048576,5,FALSE)</f>
        <v>Myra Verma</v>
      </c>
      <c r="H602" s="29">
        <f>INDEX(DataSet!B:B,MATCH('Advanced  Formulas'!A602,DataSet!A:A,0))</f>
        <v>46239</v>
      </c>
      <c r="I602" s="29">
        <f>INDEX(DataSet!C:C,MATCH('Advanced  Formulas'!A602,DataSet!A:A,0))</f>
        <v>46244</v>
      </c>
      <c r="J602" t="str">
        <f t="shared" si="29"/>
        <v>Review</v>
      </c>
      <c r="K602" s="10" t="str">
        <f>CONCATENATE(DataSet!E602,"-",DataSet!G602)</f>
        <v>Myra Verma-Surat</v>
      </c>
    </row>
    <row r="603" spans="1:11">
      <c r="A603" t="str">
        <v>ORD-2025-00602</v>
      </c>
      <c r="B603" s="2">
        <v>1280</v>
      </c>
      <c r="C603" s="2">
        <v>377.86</v>
      </c>
      <c r="D603" s="28">
        <v>0</v>
      </c>
      <c r="E603" t="str">
        <f t="shared" si="27"/>
        <v>Profit</v>
      </c>
      <c r="F603" t="str">
        <f t="shared" si="28"/>
        <v>Low</v>
      </c>
      <c r="G603" t="str">
        <f>VLOOKUP(A603,DataSet!$1:$1048576,5,FALSE)</f>
        <v>Myra Verma</v>
      </c>
      <c r="H603" s="29">
        <f>INDEX(DataSet!B:B,MATCH('Advanced  Formulas'!A603,DataSet!A:A,0))</f>
        <v>45885</v>
      </c>
      <c r="I603" s="29">
        <f>INDEX(DataSet!C:C,MATCH('Advanced  Formulas'!A603,DataSet!A:A,0))</f>
        <v>45888</v>
      </c>
      <c r="J603" t="str">
        <f t="shared" si="29"/>
        <v>Review</v>
      </c>
      <c r="K603" s="10" t="str">
        <f>CONCATENATE(DataSet!E603,"-",DataSet!G603)</f>
        <v>Myra Verma-Pune</v>
      </c>
    </row>
    <row r="604" spans="1:11">
      <c r="A604" t="str">
        <v>ORD-2025-00603</v>
      </c>
      <c r="B604" s="2">
        <v>1760</v>
      </c>
      <c r="C604" s="2">
        <v>261.31</v>
      </c>
      <c r="D604" s="28">
        <v>0</v>
      </c>
      <c r="E604" t="str">
        <f t="shared" si="27"/>
        <v>Profit</v>
      </c>
      <c r="F604" t="str">
        <f t="shared" si="28"/>
        <v>Low</v>
      </c>
      <c r="G604" t="str">
        <f>VLOOKUP(A604,DataSet!$1:$1048576,5,FALSE)</f>
        <v>Reyansh Sheikh</v>
      </c>
      <c r="H604" s="29">
        <f>INDEX(DataSet!B:B,MATCH('Advanced  Formulas'!A604,DataSet!A:A,0))</f>
        <v>45676</v>
      </c>
      <c r="I604" s="29">
        <f>INDEX(DataSet!C:C,MATCH('Advanced  Formulas'!A604,DataSet!A:A,0))</f>
        <v>45678</v>
      </c>
      <c r="J604" t="str">
        <f t="shared" si="29"/>
        <v>Review</v>
      </c>
      <c r="K604" s="10" t="str">
        <f>CONCATENATE(DataSet!E604,"-",DataSet!G604)</f>
        <v>Reyansh Sheikh-Bhavnagar</v>
      </c>
    </row>
    <row r="605" spans="1:11">
      <c r="A605" t="str">
        <v>ORD-2024-00604</v>
      </c>
      <c r="B605" s="2">
        <v>480</v>
      </c>
      <c r="C605" s="2">
        <v>123.25</v>
      </c>
      <c r="D605" s="28">
        <v>0.2</v>
      </c>
      <c r="E605" t="str">
        <f t="shared" si="27"/>
        <v>Loss</v>
      </c>
      <c r="F605" t="str">
        <f t="shared" si="28"/>
        <v>Low</v>
      </c>
      <c r="G605" t="str">
        <f>VLOOKUP(A605,DataSet!$1:$1048576,5,FALSE)</f>
        <v>Reyansh Trivedi</v>
      </c>
      <c r="H605" s="29">
        <f>INDEX(DataSet!B:B,MATCH('Advanced  Formulas'!A605,DataSet!A:A,0))</f>
        <v>45474</v>
      </c>
      <c r="I605" s="29">
        <f>INDEX(DataSet!C:C,MATCH('Advanced  Formulas'!A605,DataSet!A:A,0))</f>
        <v>45478</v>
      </c>
      <c r="J605" t="str">
        <f t="shared" si="29"/>
        <v>Review</v>
      </c>
      <c r="K605" s="10" t="str">
        <f>CONCATENATE(DataSet!E605,"-",DataSet!G605)</f>
        <v>Reyansh Trivedi-Mumbai</v>
      </c>
    </row>
    <row r="606" spans="1:11">
      <c r="A606" t="str">
        <v>ORD-2025-00605</v>
      </c>
      <c r="B606" s="2">
        <v>11700</v>
      </c>
      <c r="C606" s="2">
        <v>2875.5</v>
      </c>
      <c r="D606" s="28">
        <v>0.1</v>
      </c>
      <c r="E606" t="str">
        <f t="shared" si="27"/>
        <v>Profit</v>
      </c>
      <c r="F606" t="str">
        <f t="shared" si="28"/>
        <v>High</v>
      </c>
      <c r="G606" t="str">
        <f>VLOOKUP(A606,DataSet!$1:$1048576,5,FALSE)</f>
        <v>Aditya Desai</v>
      </c>
      <c r="H606" s="29">
        <f>INDEX(DataSet!B:B,MATCH('Advanced  Formulas'!A606,DataSet!A:A,0))</f>
        <v>46000</v>
      </c>
      <c r="I606" s="29">
        <f>INDEX(DataSet!C:C,MATCH('Advanced  Formulas'!A606,DataSet!A:A,0))</f>
        <v>46005</v>
      </c>
      <c r="J606" t="str">
        <f t="shared" si="29"/>
        <v>Good Order</v>
      </c>
      <c r="K606" s="10" t="str">
        <f>CONCATENATE(DataSet!E606,"-",DataSet!G606)</f>
        <v>Aditya Desai-Ahmedabad</v>
      </c>
    </row>
    <row r="607" spans="1:11">
      <c r="A607" t="str">
        <v>ORD-2024-00606</v>
      </c>
      <c r="B607" s="2">
        <v>360</v>
      </c>
      <c r="C607" s="2">
        <v>98.27</v>
      </c>
      <c r="D607" s="28">
        <v>0</v>
      </c>
      <c r="E607" t="str">
        <f t="shared" si="27"/>
        <v>Loss</v>
      </c>
      <c r="F607" t="str">
        <f t="shared" si="28"/>
        <v>Low</v>
      </c>
      <c r="G607" t="str">
        <f>VLOOKUP(A607,DataSet!$1:$1048576,5,FALSE)</f>
        <v>Fatima Rao</v>
      </c>
      <c r="H607" s="29">
        <f>INDEX(DataSet!B:B,MATCH('Advanced  Formulas'!A607,DataSet!A:A,0))</f>
        <v>45452</v>
      </c>
      <c r="I607" s="29">
        <f>INDEX(DataSet!C:C,MATCH('Advanced  Formulas'!A607,DataSet!A:A,0))</f>
        <v>45459</v>
      </c>
      <c r="J607" t="str">
        <f t="shared" si="29"/>
        <v>Review</v>
      </c>
      <c r="K607" s="10" t="str">
        <f>CONCATENATE(DataSet!E607,"-",DataSet!G607)</f>
        <v>Fatima Rao-Hyderabad</v>
      </c>
    </row>
    <row r="608" spans="1:11">
      <c r="A608" t="str">
        <v>ORD-2025-00607</v>
      </c>
      <c r="B608" s="2">
        <v>23520</v>
      </c>
      <c r="C608" s="2">
        <v>2895.89</v>
      </c>
      <c r="D608" s="28">
        <v>0.2</v>
      </c>
      <c r="E608" t="str">
        <f t="shared" si="27"/>
        <v>Profit</v>
      </c>
      <c r="F608" t="str">
        <f t="shared" si="28"/>
        <v>High</v>
      </c>
      <c r="G608" t="str">
        <f>VLOOKUP(A608,DataSet!$1:$1048576,5,FALSE)</f>
        <v>Aditya Panjwani</v>
      </c>
      <c r="H608" s="29">
        <f>INDEX(DataSet!B:B,MATCH('Advanced  Formulas'!A608,DataSet!A:A,0))</f>
        <v>45776</v>
      </c>
      <c r="I608" s="29">
        <f>INDEX(DataSet!C:C,MATCH('Advanced  Formulas'!A608,DataSet!A:A,0))</f>
        <v>45783</v>
      </c>
      <c r="J608" t="str">
        <f t="shared" si="29"/>
        <v>Good Order</v>
      </c>
      <c r="K608" s="10" t="str">
        <f>CONCATENATE(DataSet!E608,"-",DataSet!G608)</f>
        <v>Aditya Panjwani-Jaipur</v>
      </c>
    </row>
    <row r="609" spans="1:11">
      <c r="A609" t="str">
        <v>ORD-2026-00608</v>
      </c>
      <c r="B609" s="2">
        <v>550</v>
      </c>
      <c r="C609" s="2">
        <v>67.25</v>
      </c>
      <c r="D609" s="28">
        <v>0</v>
      </c>
      <c r="E609" t="str">
        <f t="shared" si="27"/>
        <v>Loss</v>
      </c>
      <c r="F609" t="str">
        <f t="shared" si="28"/>
        <v>Low</v>
      </c>
      <c r="G609" t="str">
        <f>VLOOKUP(A609,DataSet!$1:$1048576,5,FALSE)</f>
        <v>Dev Patel</v>
      </c>
      <c r="H609" s="29">
        <f>INDEX(DataSet!B:B,MATCH('Advanced  Formulas'!A609,DataSet!A:A,0))</f>
        <v>46205</v>
      </c>
      <c r="I609" s="29">
        <f>INDEX(DataSet!C:C,MATCH('Advanced  Formulas'!A609,DataSet!A:A,0))</f>
        <v>46210</v>
      </c>
      <c r="J609" t="str">
        <f t="shared" si="29"/>
        <v>Review</v>
      </c>
      <c r="K609" s="10" t="str">
        <f>CONCATENATE(DataSet!E609,"-",DataSet!G609)</f>
        <v>Dev Patel-Surat</v>
      </c>
    </row>
    <row r="610" spans="1:11">
      <c r="A610" t="str">
        <v>ORD-2025-00609</v>
      </c>
      <c r="B610" s="2">
        <v>4400</v>
      </c>
      <c r="C610" s="2">
        <v>1576.94</v>
      </c>
      <c r="D610" s="28">
        <v>0</v>
      </c>
      <c r="E610" t="str">
        <f t="shared" si="27"/>
        <v>Profit</v>
      </c>
      <c r="F610" t="str">
        <f t="shared" si="28"/>
        <v>Medium</v>
      </c>
      <c r="G610" t="str">
        <f>VLOOKUP(A610,DataSet!$1:$1048576,5,FALSE)</f>
        <v>Aarav Verma</v>
      </c>
      <c r="H610" s="29">
        <f>INDEX(DataSet!B:B,MATCH('Advanced  Formulas'!A610,DataSet!A:A,0))</f>
        <v>45695</v>
      </c>
      <c r="I610" s="29">
        <f>INDEX(DataSet!C:C,MATCH('Advanced  Formulas'!A610,DataSet!A:A,0))</f>
        <v>45699</v>
      </c>
      <c r="J610" t="str">
        <f t="shared" si="29"/>
        <v>Good Order</v>
      </c>
      <c r="K610" s="10" t="str">
        <f>CONCATENATE(DataSet!E610,"-",DataSet!G610)</f>
        <v>Aarav Verma-Hyderabad</v>
      </c>
    </row>
    <row r="611" spans="1:11">
      <c r="A611" t="str">
        <v>ORD-2026-00610</v>
      </c>
      <c r="B611" s="2">
        <v>8960</v>
      </c>
      <c r="C611" s="2">
        <v>808.84</v>
      </c>
      <c r="D611" s="28">
        <v>0.2</v>
      </c>
      <c r="E611" t="str">
        <f t="shared" si="27"/>
        <v>Profit</v>
      </c>
      <c r="F611" t="str">
        <f t="shared" si="28"/>
        <v>High</v>
      </c>
      <c r="G611" t="str">
        <f>VLOOKUP(A611,DataSet!$1:$1048576,5,FALSE)</f>
        <v>Fatima Kapoor</v>
      </c>
      <c r="H611" s="29">
        <f>INDEX(DataSet!B:B,MATCH('Advanced  Formulas'!A611,DataSet!A:A,0))</f>
        <v>46264</v>
      </c>
      <c r="I611" s="29">
        <f>INDEX(DataSet!C:C,MATCH('Advanced  Formulas'!A611,DataSet!A:A,0))</f>
        <v>46266</v>
      </c>
      <c r="J611" t="str">
        <f t="shared" si="29"/>
        <v>Good Order</v>
      </c>
      <c r="K611" s="10" t="str">
        <f>CONCATENATE(DataSet!E611,"-",DataSet!G611)</f>
        <v>Fatima Kapoor-Surat</v>
      </c>
    </row>
    <row r="612" spans="1:11">
      <c r="A612" t="str">
        <v>ORD-2025-00611</v>
      </c>
      <c r="B612" s="2">
        <v>4400</v>
      </c>
      <c r="C612" s="2">
        <v>671.92</v>
      </c>
      <c r="D612" s="28">
        <v>0</v>
      </c>
      <c r="E612" t="str">
        <f t="shared" si="27"/>
        <v>Profit</v>
      </c>
      <c r="F612" t="str">
        <f t="shared" si="28"/>
        <v>Medium</v>
      </c>
      <c r="G612" t="str">
        <f>VLOOKUP(A612,DataSet!$1:$1048576,5,FALSE)</f>
        <v>Isha Iyer</v>
      </c>
      <c r="H612" s="29">
        <f>INDEX(DataSet!B:B,MATCH('Advanced  Formulas'!A612,DataSet!A:A,0))</f>
        <v>46012</v>
      </c>
      <c r="I612" s="29">
        <f>INDEX(DataSet!C:C,MATCH('Advanced  Formulas'!A612,DataSet!A:A,0))</f>
        <v>46016</v>
      </c>
      <c r="J612" t="str">
        <f t="shared" si="29"/>
        <v>Good Order</v>
      </c>
      <c r="K612" s="10" t="str">
        <f>CONCATENATE(DataSet!E612,"-",DataSet!G612)</f>
        <v>Isha Iyer-Kolkata</v>
      </c>
    </row>
    <row r="613" spans="1:11">
      <c r="A613" t="str">
        <v>ORD-2025-00612</v>
      </c>
      <c r="B613" s="2">
        <v>2805</v>
      </c>
      <c r="C613" s="2">
        <v>978.93</v>
      </c>
      <c r="D613" s="28">
        <v>0.15</v>
      </c>
      <c r="E613" t="str">
        <f t="shared" si="27"/>
        <v>Profit</v>
      </c>
      <c r="F613" t="str">
        <f t="shared" si="28"/>
        <v>Low</v>
      </c>
      <c r="G613" t="str">
        <f>VLOOKUP(A613,DataSet!$1:$1048576,5,FALSE)</f>
        <v>Arjun Verma</v>
      </c>
      <c r="H613" s="29">
        <f>INDEX(DataSet!B:B,MATCH('Advanced  Formulas'!A613,DataSet!A:A,0))</f>
        <v>46012</v>
      </c>
      <c r="I613" s="29">
        <f>INDEX(DataSet!C:C,MATCH('Advanced  Formulas'!A613,DataSet!A:A,0))</f>
        <v>46018</v>
      </c>
      <c r="J613" t="str">
        <f t="shared" si="29"/>
        <v>Review</v>
      </c>
      <c r="K613" s="10" t="str">
        <f>CONCATENATE(DataSet!E613,"-",DataSet!G613)</f>
        <v>Arjun Verma-Ahmedabad</v>
      </c>
    </row>
    <row r="614" spans="1:11">
      <c r="A614" t="str">
        <v>ORD-2025-00613</v>
      </c>
      <c r="B614" s="2">
        <v>40800</v>
      </c>
      <c r="C614" s="2">
        <v>4390.76</v>
      </c>
      <c r="D614" s="28">
        <v>0.2</v>
      </c>
      <c r="E614" t="str">
        <f t="shared" si="27"/>
        <v>Profit</v>
      </c>
      <c r="F614" t="str">
        <f t="shared" si="28"/>
        <v>High</v>
      </c>
      <c r="G614" t="str">
        <f>VLOOKUP(A614,DataSet!$1:$1048576,5,FALSE)</f>
        <v>Zoya Sheikh</v>
      </c>
      <c r="H614" s="29">
        <f>INDEX(DataSet!B:B,MATCH('Advanced  Formulas'!A614,DataSet!A:A,0))</f>
        <v>45881</v>
      </c>
      <c r="I614" s="29">
        <f>INDEX(DataSet!C:C,MATCH('Advanced  Formulas'!A614,DataSet!A:A,0))</f>
        <v>45888</v>
      </c>
      <c r="J614" t="str">
        <f t="shared" si="29"/>
        <v>Good Order</v>
      </c>
      <c r="K614" s="10" t="str">
        <f>CONCATENATE(DataSet!E614,"-",DataSet!G614)</f>
        <v>Zoya Sheikh-Vadodara</v>
      </c>
    </row>
    <row r="615" spans="1:11">
      <c r="A615" t="str">
        <v>ORD-2025-00614</v>
      </c>
      <c r="B615" s="2">
        <v>8700</v>
      </c>
      <c r="C615" s="2">
        <v>1839.83</v>
      </c>
      <c r="D615" s="28">
        <v>0</v>
      </c>
      <c r="E615" t="str">
        <f t="shared" si="27"/>
        <v>Profit</v>
      </c>
      <c r="F615" t="str">
        <f t="shared" si="28"/>
        <v>High</v>
      </c>
      <c r="G615" t="str">
        <f>VLOOKUP(A615,DataSet!$1:$1048576,5,FALSE)</f>
        <v>Kabir Soni</v>
      </c>
      <c r="H615" s="29">
        <f>INDEX(DataSet!B:B,MATCH('Advanced  Formulas'!A615,DataSet!A:A,0))</f>
        <v>45684</v>
      </c>
      <c r="I615" s="29">
        <f>INDEX(DataSet!C:C,MATCH('Advanced  Formulas'!A615,DataSet!A:A,0))</f>
        <v>45687</v>
      </c>
      <c r="J615" t="str">
        <f t="shared" si="29"/>
        <v>Good Order</v>
      </c>
      <c r="K615" s="10" t="str">
        <f>CONCATENATE(DataSet!E615,"-",DataSet!G615)</f>
        <v>Kabir Soni-Jaipur</v>
      </c>
    </row>
    <row r="616" spans="1:11">
      <c r="A616" t="str">
        <v>ORD-2024-00615</v>
      </c>
      <c r="B616" s="2">
        <v>1760</v>
      </c>
      <c r="C616" s="2">
        <v>267.82</v>
      </c>
      <c r="D616" s="28">
        <v>0.2</v>
      </c>
      <c r="E616" t="str">
        <f t="shared" si="27"/>
        <v>Profit</v>
      </c>
      <c r="F616" t="str">
        <f t="shared" si="28"/>
        <v>Low</v>
      </c>
      <c r="G616" t="str">
        <f>VLOOKUP(A616,DataSet!$1:$1048576,5,FALSE)</f>
        <v>Zoya Sheikh</v>
      </c>
      <c r="H616" s="29">
        <f>INDEX(DataSet!B:B,MATCH('Advanced  Formulas'!A616,DataSet!A:A,0))</f>
        <v>45433</v>
      </c>
      <c r="I616" s="29">
        <f>INDEX(DataSet!C:C,MATCH('Advanced  Formulas'!A616,DataSet!A:A,0))</f>
        <v>45436</v>
      </c>
      <c r="J616" t="str">
        <f t="shared" si="29"/>
        <v>Review</v>
      </c>
      <c r="K616" s="10" t="str">
        <f>CONCATENATE(DataSet!E616,"-",DataSet!G616)</f>
        <v>Zoya Sheikh-Vadodara</v>
      </c>
    </row>
    <row r="617" spans="1:11">
      <c r="A617" t="str">
        <v>ORD-2025-00616</v>
      </c>
      <c r="B617" s="2">
        <v>3705</v>
      </c>
      <c r="C617" s="2">
        <v>944.31</v>
      </c>
      <c r="D617" s="28">
        <v>0.05</v>
      </c>
      <c r="E617" t="str">
        <f t="shared" si="27"/>
        <v>Profit</v>
      </c>
      <c r="F617" t="str">
        <f t="shared" si="28"/>
        <v>Medium</v>
      </c>
      <c r="G617" t="str">
        <f>VLOOKUP(A617,DataSet!$1:$1048576,5,FALSE)</f>
        <v>Dev Rao</v>
      </c>
      <c r="H617" s="29">
        <f>INDEX(DataSet!B:B,MATCH('Advanced  Formulas'!A617,DataSet!A:A,0))</f>
        <v>45988</v>
      </c>
      <c r="I617" s="29">
        <f>INDEX(DataSet!C:C,MATCH('Advanced  Formulas'!A617,DataSet!A:A,0))</f>
        <v>45992</v>
      </c>
      <c r="J617" t="str">
        <f t="shared" si="29"/>
        <v>Good Order</v>
      </c>
      <c r="K617" s="10" t="str">
        <f>CONCATENATE(DataSet!E617,"-",DataSet!G617)</f>
        <v>Dev Rao-Rajkot</v>
      </c>
    </row>
    <row r="618" spans="1:11">
      <c r="A618" t="str">
        <v>ORD-2025-00617</v>
      </c>
      <c r="B618" s="2">
        <v>3600</v>
      </c>
      <c r="C618" s="2">
        <v>375.14</v>
      </c>
      <c r="D618" s="28">
        <v>0.2</v>
      </c>
      <c r="E618" t="str">
        <f t="shared" si="27"/>
        <v>Profit</v>
      </c>
      <c r="F618" t="str">
        <f t="shared" si="28"/>
        <v>Medium</v>
      </c>
      <c r="G618" t="str">
        <f>VLOOKUP(A618,DataSet!$1:$1048576,5,FALSE)</f>
        <v>Kabir Desai</v>
      </c>
      <c r="H618" s="29">
        <f>INDEX(DataSet!B:B,MATCH('Advanced  Formulas'!A618,DataSet!A:A,0))</f>
        <v>46018</v>
      </c>
      <c r="I618" s="29">
        <f>INDEX(DataSet!C:C,MATCH('Advanced  Formulas'!A618,DataSet!A:A,0))</f>
        <v>46023</v>
      </c>
      <c r="J618" t="str">
        <f t="shared" si="29"/>
        <v>Good Order</v>
      </c>
      <c r="K618" s="10" t="str">
        <f>CONCATENATE(DataSet!E618,"-",DataSet!G618)</f>
        <v>Kabir Desai-Bengaluru</v>
      </c>
    </row>
    <row r="619" spans="1:11">
      <c r="A619" t="str">
        <v>ORD-2024-00618</v>
      </c>
      <c r="B619" s="2">
        <v>640</v>
      </c>
      <c r="C619" s="2">
        <v>215.78</v>
      </c>
      <c r="D619" s="28">
        <v>0</v>
      </c>
      <c r="E619" t="str">
        <f t="shared" si="27"/>
        <v>Profit</v>
      </c>
      <c r="F619" t="str">
        <f t="shared" si="28"/>
        <v>Low</v>
      </c>
      <c r="G619" t="str">
        <f>VLOOKUP(A619,DataSet!$1:$1048576,5,FALSE)</f>
        <v>Vivaan Khan</v>
      </c>
      <c r="H619" s="29">
        <f>INDEX(DataSet!B:B,MATCH('Advanced  Formulas'!A619,DataSet!A:A,0))</f>
        <v>45374</v>
      </c>
      <c r="I619" s="29">
        <f>INDEX(DataSet!C:C,MATCH('Advanced  Formulas'!A619,DataSet!A:A,0))</f>
        <v>45378</v>
      </c>
      <c r="J619" t="str">
        <f t="shared" si="29"/>
        <v>Review</v>
      </c>
      <c r="K619" s="10" t="str">
        <f>CONCATENATE(DataSet!E619,"-",DataSet!G619)</f>
        <v>Vivaan Khan-Indore</v>
      </c>
    </row>
    <row r="620" spans="1:11">
      <c r="A620" t="str">
        <v>ORD-2025-00619</v>
      </c>
      <c r="B620" s="2">
        <v>2025</v>
      </c>
      <c r="C620" s="2">
        <v>556.59</v>
      </c>
      <c r="D620" s="28">
        <v>0.1</v>
      </c>
      <c r="E620" t="str">
        <f t="shared" si="27"/>
        <v>Profit</v>
      </c>
      <c r="F620" t="str">
        <f t="shared" si="28"/>
        <v>Low</v>
      </c>
      <c r="G620" t="str">
        <f>VLOOKUP(A620,DataSet!$1:$1048576,5,FALSE)</f>
        <v>Aarav Joshi</v>
      </c>
      <c r="H620" s="29">
        <f>INDEX(DataSet!B:B,MATCH('Advanced  Formulas'!A620,DataSet!A:A,0))</f>
        <v>45825</v>
      </c>
      <c r="I620" s="29">
        <f>INDEX(DataSet!C:C,MATCH('Advanced  Formulas'!A620,DataSet!A:A,0))</f>
        <v>45831</v>
      </c>
      <c r="J620" t="str">
        <f t="shared" si="29"/>
        <v>Review</v>
      </c>
      <c r="K620" s="10" t="str">
        <f>CONCATENATE(DataSet!E620,"-",DataSet!G620)</f>
        <v>Aarav Joshi-Ahmedabad</v>
      </c>
    </row>
    <row r="621" spans="1:11">
      <c r="A621" t="str">
        <v>ORD-2024-00620</v>
      </c>
      <c r="B621" s="2">
        <v>486</v>
      </c>
      <c r="C621" s="2">
        <v>104.26</v>
      </c>
      <c r="D621" s="28">
        <v>0.1</v>
      </c>
      <c r="E621" t="str">
        <f t="shared" si="27"/>
        <v>Loss</v>
      </c>
      <c r="F621" t="str">
        <f t="shared" si="28"/>
        <v>Low</v>
      </c>
      <c r="G621" t="str">
        <f>VLOOKUP(A621,DataSet!$1:$1048576,5,FALSE)</f>
        <v>Aditya Khan</v>
      </c>
      <c r="H621" s="29">
        <f>INDEX(DataSet!B:B,MATCH('Advanced  Formulas'!A621,DataSet!A:A,0))</f>
        <v>45314</v>
      </c>
      <c r="I621" s="29">
        <f>INDEX(DataSet!C:C,MATCH('Advanced  Formulas'!A621,DataSet!A:A,0))</f>
        <v>45321</v>
      </c>
      <c r="J621" t="str">
        <f t="shared" si="29"/>
        <v>Review</v>
      </c>
      <c r="K621" s="10" t="str">
        <f>CONCATENATE(DataSet!E621,"-",DataSet!G621)</f>
        <v>Aditya Khan-Hyderabad</v>
      </c>
    </row>
    <row r="622" spans="1:11">
      <c r="A622" t="str">
        <v>ORD-2026-00621</v>
      </c>
      <c r="B622" s="2">
        <v>5415</v>
      </c>
      <c r="C622" s="2">
        <v>1775.3</v>
      </c>
      <c r="D622" s="28">
        <v>0.05</v>
      </c>
      <c r="E622" t="str">
        <f t="shared" si="27"/>
        <v>Profit</v>
      </c>
      <c r="F622" t="str">
        <f t="shared" si="28"/>
        <v>Medium</v>
      </c>
      <c r="G622" t="str">
        <f>VLOOKUP(A622,DataSet!$1:$1048576,5,FALSE)</f>
        <v>Myra Khan</v>
      </c>
      <c r="H622" s="29">
        <f>INDEX(DataSet!B:B,MATCH('Advanced  Formulas'!A622,DataSet!A:A,0))</f>
        <v>46154</v>
      </c>
      <c r="I622" s="29">
        <f>INDEX(DataSet!C:C,MATCH('Advanced  Formulas'!A622,DataSet!A:A,0))</f>
        <v>46159</v>
      </c>
      <c r="J622" t="str">
        <f t="shared" si="29"/>
        <v>Good Order</v>
      </c>
      <c r="K622" s="10" t="str">
        <f>CONCATENATE(DataSet!E622,"-",DataSet!G622)</f>
        <v>Myra Khan-Jaipur</v>
      </c>
    </row>
    <row r="623" spans="1:11">
      <c r="A623" t="str">
        <v>ORD-2026-00622</v>
      </c>
      <c r="B623" s="2">
        <v>1440</v>
      </c>
      <c r="C623" s="2">
        <v>167.59</v>
      </c>
      <c r="D623" s="28">
        <v>0.1</v>
      </c>
      <c r="E623" t="str">
        <f t="shared" si="27"/>
        <v>Loss</v>
      </c>
      <c r="F623" t="str">
        <f t="shared" si="28"/>
        <v>Low</v>
      </c>
      <c r="G623" t="str">
        <f>VLOOKUP(A623,DataSet!$1:$1048576,5,FALSE)</f>
        <v>Isha Verma</v>
      </c>
      <c r="H623" s="29">
        <f>INDEX(DataSet!B:B,MATCH('Advanced  Formulas'!A623,DataSet!A:A,0))</f>
        <v>46080</v>
      </c>
      <c r="I623" s="29">
        <f>INDEX(DataSet!C:C,MATCH('Advanced  Formulas'!A623,DataSet!A:A,0))</f>
        <v>46087</v>
      </c>
      <c r="J623" t="str">
        <f t="shared" si="29"/>
        <v>Review</v>
      </c>
      <c r="K623" s="10" t="str">
        <f>CONCATENATE(DataSet!E623,"-",DataSet!G623)</f>
        <v>Isha Verma-Ahmedabad</v>
      </c>
    </row>
    <row r="624" spans="1:11">
      <c r="A624" t="str">
        <v>ORD-2024-00623</v>
      </c>
      <c r="B624" s="2">
        <v>480</v>
      </c>
      <c r="C624" s="2">
        <v>177.26</v>
      </c>
      <c r="D624" s="28">
        <v>0</v>
      </c>
      <c r="E624" t="str">
        <f t="shared" si="27"/>
        <v>Loss</v>
      </c>
      <c r="F624" t="str">
        <f t="shared" si="28"/>
        <v>Low</v>
      </c>
      <c r="G624" t="str">
        <f>VLOOKUP(A624,DataSet!$1:$1048576,5,FALSE)</f>
        <v>Yusuf Mehta</v>
      </c>
      <c r="H624" s="29">
        <f>INDEX(DataSet!B:B,MATCH('Advanced  Formulas'!A624,DataSet!A:A,0))</f>
        <v>45478</v>
      </c>
      <c r="I624" s="29">
        <f>INDEX(DataSet!C:C,MATCH('Advanced  Formulas'!A624,DataSet!A:A,0))</f>
        <v>45480</v>
      </c>
      <c r="J624" t="str">
        <f t="shared" si="29"/>
        <v>Review</v>
      </c>
      <c r="K624" s="10" t="str">
        <f>CONCATENATE(DataSet!E624,"-",DataSet!G624)</f>
        <v>Yusuf Mehta-Kolkata</v>
      </c>
    </row>
    <row r="625" spans="1:11">
      <c r="A625" t="str">
        <v>ORD-2025-00624</v>
      </c>
      <c r="B625" s="2">
        <v>8700</v>
      </c>
      <c r="C625" s="2">
        <v>2462.4699999999998</v>
      </c>
      <c r="D625" s="28">
        <v>0</v>
      </c>
      <c r="E625" t="str">
        <f t="shared" si="27"/>
        <v>Profit</v>
      </c>
      <c r="F625" t="str">
        <f t="shared" si="28"/>
        <v>High</v>
      </c>
      <c r="G625" t="str">
        <f>VLOOKUP(A625,DataSet!$1:$1048576,5,FALSE)</f>
        <v>Isha Soni</v>
      </c>
      <c r="H625" s="29">
        <f>INDEX(DataSet!B:B,MATCH('Advanced  Formulas'!A625,DataSet!A:A,0))</f>
        <v>45670</v>
      </c>
      <c r="I625" s="29">
        <f>INDEX(DataSet!C:C,MATCH('Advanced  Formulas'!A625,DataSet!A:A,0))</f>
        <v>45672</v>
      </c>
      <c r="J625" t="str">
        <f t="shared" si="29"/>
        <v>Good Order</v>
      </c>
      <c r="K625" s="10" t="str">
        <f>CONCATENATE(DataSet!E625,"-",DataSet!G625)</f>
        <v>Isha Soni-Vadodara</v>
      </c>
    </row>
    <row r="626" spans="1:11">
      <c r="A626" t="str">
        <v>ORD-2026-00625</v>
      </c>
      <c r="B626" s="2">
        <v>2660</v>
      </c>
      <c r="C626" s="2">
        <v>882.92</v>
      </c>
      <c r="D626" s="28">
        <v>0.05</v>
      </c>
      <c r="E626" t="str">
        <f t="shared" si="27"/>
        <v>Profit</v>
      </c>
      <c r="F626" t="str">
        <f t="shared" si="28"/>
        <v>Low</v>
      </c>
      <c r="G626" t="str">
        <f>VLOOKUP(A626,DataSet!$1:$1048576,5,FALSE)</f>
        <v>Kiara Soni</v>
      </c>
      <c r="H626" s="29">
        <f>INDEX(DataSet!B:B,MATCH('Advanced  Formulas'!A626,DataSet!A:A,0))</f>
        <v>46234</v>
      </c>
      <c r="I626" s="29">
        <f>INDEX(DataSet!C:C,MATCH('Advanced  Formulas'!A626,DataSet!A:A,0))</f>
        <v>46235</v>
      </c>
      <c r="J626" t="str">
        <f t="shared" si="29"/>
        <v>Review</v>
      </c>
      <c r="K626" s="10" t="str">
        <f>CONCATENATE(DataSet!E626,"-",DataSet!G626)</f>
        <v>Kiara Soni-Pune</v>
      </c>
    </row>
    <row r="627" spans="1:11">
      <c r="A627" t="str">
        <v>ORD-2025-00626</v>
      </c>
      <c r="B627" s="2">
        <v>684</v>
      </c>
      <c r="C627" s="2">
        <v>132.22999999999999</v>
      </c>
      <c r="D627" s="28">
        <v>0.05</v>
      </c>
      <c r="E627" t="str">
        <f t="shared" si="27"/>
        <v>Loss</v>
      </c>
      <c r="F627" t="str">
        <f t="shared" si="28"/>
        <v>Low</v>
      </c>
      <c r="G627" t="str">
        <f>VLOOKUP(A627,DataSet!$1:$1048576,5,FALSE)</f>
        <v>Fatima Sheikh</v>
      </c>
      <c r="H627" s="29">
        <f>INDEX(DataSet!B:B,MATCH('Advanced  Formulas'!A627,DataSet!A:A,0))</f>
        <v>45777</v>
      </c>
      <c r="I627" s="29">
        <f>INDEX(DataSet!C:C,MATCH('Advanced  Formulas'!A627,DataSet!A:A,0))</f>
        <v>45780</v>
      </c>
      <c r="J627" t="str">
        <f t="shared" si="29"/>
        <v>Review</v>
      </c>
      <c r="K627" s="10" t="str">
        <f>CONCATENATE(DataSet!E627,"-",DataSet!G627)</f>
        <v>Fatima Sheikh-Hyderabad</v>
      </c>
    </row>
    <row r="628" spans="1:11">
      <c r="A628" t="str">
        <v>ORD-2025-00627</v>
      </c>
      <c r="B628" s="2">
        <v>24990</v>
      </c>
      <c r="C628" s="2">
        <v>3470.41</v>
      </c>
      <c r="D628" s="28">
        <v>0.15</v>
      </c>
      <c r="E628" t="str">
        <f t="shared" si="27"/>
        <v>Profit</v>
      </c>
      <c r="F628" t="str">
        <f t="shared" si="28"/>
        <v>High</v>
      </c>
      <c r="G628" t="str">
        <f>VLOOKUP(A628,DataSet!$1:$1048576,5,FALSE)</f>
        <v>Zoya Shah</v>
      </c>
      <c r="H628" s="29">
        <f>INDEX(DataSet!B:B,MATCH('Advanced  Formulas'!A628,DataSet!A:A,0))</f>
        <v>45986</v>
      </c>
      <c r="I628" s="29">
        <f>INDEX(DataSet!C:C,MATCH('Advanced  Formulas'!A628,DataSet!A:A,0))</f>
        <v>45991</v>
      </c>
      <c r="J628" t="str">
        <f t="shared" si="29"/>
        <v>Good Order</v>
      </c>
      <c r="K628" s="10" t="str">
        <f>CONCATENATE(DataSet!E628,"-",DataSet!G628)</f>
        <v>Zoya Shah-Bhavnagar</v>
      </c>
    </row>
    <row r="629" spans="1:11">
      <c r="A629" t="str">
        <v>ORD-2025-00628</v>
      </c>
      <c r="B629" s="2">
        <v>1280</v>
      </c>
      <c r="C629" s="2">
        <v>458.58</v>
      </c>
      <c r="D629" s="28">
        <v>0</v>
      </c>
      <c r="E629" t="str">
        <f t="shared" si="27"/>
        <v>Profit</v>
      </c>
      <c r="F629" t="str">
        <f t="shared" si="28"/>
        <v>Low</v>
      </c>
      <c r="G629" t="str">
        <f>VLOOKUP(A629,DataSet!$1:$1048576,5,FALSE)</f>
        <v>Rohan Kapoor</v>
      </c>
      <c r="H629" s="29">
        <f>INDEX(DataSet!B:B,MATCH('Advanced  Formulas'!A629,DataSet!A:A,0))</f>
        <v>45914</v>
      </c>
      <c r="I629" s="29">
        <f>INDEX(DataSet!C:C,MATCH('Advanced  Formulas'!A629,DataSet!A:A,0))</f>
        <v>45920</v>
      </c>
      <c r="J629" t="str">
        <f t="shared" si="29"/>
        <v>Review</v>
      </c>
      <c r="K629" s="10" t="str">
        <f>CONCATENATE(DataSet!E629,"-",DataSet!G629)</f>
        <v>Rohan Kapoor-Vadodara</v>
      </c>
    </row>
    <row r="630" spans="1:11">
      <c r="A630" t="str">
        <v>ORD-2026-00629</v>
      </c>
      <c r="B630" s="2">
        <v>765</v>
      </c>
      <c r="C630" s="2">
        <v>153.13999999999999</v>
      </c>
      <c r="D630" s="28">
        <v>0.15</v>
      </c>
      <c r="E630" t="str">
        <f t="shared" si="27"/>
        <v>Loss</v>
      </c>
      <c r="F630" t="str">
        <f t="shared" si="28"/>
        <v>Low</v>
      </c>
      <c r="G630" t="str">
        <f>VLOOKUP(A630,DataSet!$1:$1048576,5,FALSE)</f>
        <v>Diya Sheikh</v>
      </c>
      <c r="H630" s="29">
        <f>INDEX(DataSet!B:B,MATCH('Advanced  Formulas'!A630,DataSet!A:A,0))</f>
        <v>46291</v>
      </c>
      <c r="I630" s="29">
        <f>INDEX(DataSet!C:C,MATCH('Advanced  Formulas'!A630,DataSet!A:A,0))</f>
        <v>46296</v>
      </c>
      <c r="J630" t="str">
        <f t="shared" si="29"/>
        <v>Review</v>
      </c>
      <c r="K630" s="10" t="str">
        <f>CONCATENATE(DataSet!E630,"-",DataSet!G630)</f>
        <v>Diya Sheikh-Pune</v>
      </c>
    </row>
    <row r="631" spans="1:11">
      <c r="A631" t="str">
        <v>ORD-2025-00630</v>
      </c>
      <c r="B631" s="2">
        <v>12635</v>
      </c>
      <c r="C631" s="2">
        <v>4666.49</v>
      </c>
      <c r="D631" s="28">
        <v>0.05</v>
      </c>
      <c r="E631" t="str">
        <f t="shared" si="27"/>
        <v>Profit</v>
      </c>
      <c r="F631" t="str">
        <f t="shared" si="28"/>
        <v>High</v>
      </c>
      <c r="G631" t="str">
        <f>VLOOKUP(A631,DataSet!$1:$1048576,5,FALSE)</f>
        <v>Zoya Joshi</v>
      </c>
      <c r="H631" s="29">
        <f>INDEX(DataSet!B:B,MATCH('Advanced  Formulas'!A631,DataSet!A:A,0))</f>
        <v>45699</v>
      </c>
      <c r="I631" s="29">
        <f>INDEX(DataSet!C:C,MATCH('Advanced  Formulas'!A631,DataSet!A:A,0))</f>
        <v>45701</v>
      </c>
      <c r="J631" t="str">
        <f t="shared" si="29"/>
        <v>Good Order</v>
      </c>
      <c r="K631" s="10" t="str">
        <f>CONCATENATE(DataSet!E631,"-",DataSet!G631)</f>
        <v>Zoya Joshi-Chennai</v>
      </c>
    </row>
    <row r="632" spans="1:11">
      <c r="A632" t="str">
        <v>ORD-2024-00631</v>
      </c>
      <c r="B632" s="2">
        <v>12160</v>
      </c>
      <c r="C632" s="2">
        <v>4011.76</v>
      </c>
      <c r="D632" s="28">
        <v>0.05</v>
      </c>
      <c r="E632" t="str">
        <f t="shared" si="27"/>
        <v>Profit</v>
      </c>
      <c r="F632" t="str">
        <f t="shared" si="28"/>
        <v>High</v>
      </c>
      <c r="G632" t="str">
        <f>VLOOKUP(A632,DataSet!$1:$1048576,5,FALSE)</f>
        <v>Aanya Verma</v>
      </c>
      <c r="H632" s="29">
        <f>INDEX(DataSet!B:B,MATCH('Advanced  Formulas'!A632,DataSet!A:A,0))</f>
        <v>45381</v>
      </c>
      <c r="I632" s="29">
        <f>INDEX(DataSet!C:C,MATCH('Advanced  Formulas'!A632,DataSet!A:A,0))</f>
        <v>45383</v>
      </c>
      <c r="J632" t="str">
        <f t="shared" si="29"/>
        <v>Good Order</v>
      </c>
      <c r="K632" s="10" t="str">
        <f>CONCATENATE(DataSet!E632,"-",DataSet!G632)</f>
        <v>Aanya Verma-Chennai</v>
      </c>
    </row>
    <row r="633" spans="1:11">
      <c r="A633" t="str">
        <v>ORD-2026-00632</v>
      </c>
      <c r="B633" s="2">
        <v>3610</v>
      </c>
      <c r="C633" s="2">
        <v>899.25</v>
      </c>
      <c r="D633" s="28">
        <v>0.05</v>
      </c>
      <c r="E633" t="str">
        <f t="shared" si="27"/>
        <v>Profit</v>
      </c>
      <c r="F633" t="str">
        <f t="shared" si="28"/>
        <v>Medium</v>
      </c>
      <c r="G633" t="str">
        <f>VLOOKUP(A633,DataSet!$1:$1048576,5,FALSE)</f>
        <v>Dev Trivedi</v>
      </c>
      <c r="H633" s="29">
        <f>INDEX(DataSet!B:B,MATCH('Advanced  Formulas'!A633,DataSet!A:A,0))</f>
        <v>46147</v>
      </c>
      <c r="I633" s="29">
        <f>INDEX(DataSet!C:C,MATCH('Advanced  Formulas'!A633,DataSet!A:A,0))</f>
        <v>46152</v>
      </c>
      <c r="J633" t="str">
        <f t="shared" si="29"/>
        <v>Good Order</v>
      </c>
      <c r="K633" s="10" t="str">
        <f>CONCATENATE(DataSet!E633,"-",DataSet!G633)</f>
        <v>Dev Trivedi-Lucknow</v>
      </c>
    </row>
    <row r="634" spans="1:11">
      <c r="A634" t="str">
        <v>ORD-2026-00633</v>
      </c>
      <c r="B634" s="2">
        <v>2475</v>
      </c>
      <c r="C634" s="2">
        <v>790.83</v>
      </c>
      <c r="D634" s="28">
        <v>0.1</v>
      </c>
      <c r="E634" t="str">
        <f t="shared" si="27"/>
        <v>Profit</v>
      </c>
      <c r="F634" t="str">
        <f t="shared" si="28"/>
        <v>Low</v>
      </c>
      <c r="G634" t="str">
        <f>VLOOKUP(A634,DataSet!$1:$1048576,5,FALSE)</f>
        <v>Yusuf Iyer</v>
      </c>
      <c r="H634" s="29">
        <f>INDEX(DataSet!B:B,MATCH('Advanced  Formulas'!A634,DataSet!A:A,0))</f>
        <v>46066</v>
      </c>
      <c r="I634" s="29">
        <f>INDEX(DataSet!C:C,MATCH('Advanced  Formulas'!A634,DataSet!A:A,0))</f>
        <v>46070</v>
      </c>
      <c r="J634" t="str">
        <f t="shared" si="29"/>
        <v>Review</v>
      </c>
      <c r="K634" s="10" t="str">
        <f>CONCATENATE(DataSet!E634,"-",DataSet!G634)</f>
        <v>Yusuf Iyer-Bhavnagar</v>
      </c>
    </row>
    <row r="635" spans="1:11">
      <c r="A635" t="str">
        <v>ORD-2024-00634</v>
      </c>
      <c r="B635" s="2">
        <v>24800</v>
      </c>
      <c r="C635" s="2">
        <v>4118.59</v>
      </c>
      <c r="D635" s="28">
        <v>0</v>
      </c>
      <c r="E635" t="str">
        <f t="shared" si="27"/>
        <v>Profit</v>
      </c>
      <c r="F635" t="str">
        <f t="shared" si="28"/>
        <v>High</v>
      </c>
      <c r="G635" t="str">
        <f>VLOOKUP(A635,DataSet!$1:$1048576,5,FALSE)</f>
        <v>Yusuf Joshi</v>
      </c>
      <c r="H635" s="29">
        <f>INDEX(DataSet!B:B,MATCH('Advanced  Formulas'!A635,DataSet!A:A,0))</f>
        <v>45482</v>
      </c>
      <c r="I635" s="29">
        <f>INDEX(DataSet!C:C,MATCH('Advanced  Formulas'!A635,DataSet!A:A,0))</f>
        <v>45489</v>
      </c>
      <c r="J635" t="str">
        <f t="shared" si="29"/>
        <v>Good Order</v>
      </c>
      <c r="K635" s="10" t="str">
        <f>CONCATENATE(DataSet!E635,"-",DataSet!G635)</f>
        <v>Yusuf Joshi-Pune</v>
      </c>
    </row>
    <row r="636" spans="1:11">
      <c r="A636" t="str">
        <v>ORD-2026-00635</v>
      </c>
      <c r="B636" s="2">
        <v>1852.5</v>
      </c>
      <c r="C636" s="2">
        <v>545.48</v>
      </c>
      <c r="D636" s="28">
        <v>0.05</v>
      </c>
      <c r="E636" t="str">
        <f t="shared" si="27"/>
        <v>Profit</v>
      </c>
      <c r="F636" t="str">
        <f t="shared" si="28"/>
        <v>Low</v>
      </c>
      <c r="G636" t="str">
        <f>VLOOKUP(A636,DataSet!$1:$1048576,5,FALSE)</f>
        <v>Fatima Shah</v>
      </c>
      <c r="H636" s="29">
        <f>INDEX(DataSet!B:B,MATCH('Advanced  Formulas'!A636,DataSet!A:A,0))</f>
        <v>46049</v>
      </c>
      <c r="I636" s="29">
        <f>INDEX(DataSet!C:C,MATCH('Advanced  Formulas'!A636,DataSet!A:A,0))</f>
        <v>46053</v>
      </c>
      <c r="J636" t="str">
        <f t="shared" si="29"/>
        <v>Review</v>
      </c>
      <c r="K636" s="10" t="str">
        <f>CONCATENATE(DataSet!E636,"-",DataSet!G636)</f>
        <v>Fatima Shah-Vadodara</v>
      </c>
    </row>
    <row r="637" spans="1:11">
      <c r="A637" t="str">
        <v>ORD-2025-00636</v>
      </c>
      <c r="B637" s="2">
        <v>342</v>
      </c>
      <c r="C637" s="2">
        <v>83.55</v>
      </c>
      <c r="D637" s="28">
        <v>0.05</v>
      </c>
      <c r="E637" t="str">
        <f t="shared" si="27"/>
        <v>Loss</v>
      </c>
      <c r="F637" t="str">
        <f t="shared" si="28"/>
        <v>Low</v>
      </c>
      <c r="G637" t="str">
        <f>VLOOKUP(A637,DataSet!$1:$1048576,5,FALSE)</f>
        <v>Kabir Dave</v>
      </c>
      <c r="H637" s="29">
        <f>INDEX(DataSet!B:B,MATCH('Advanced  Formulas'!A637,DataSet!A:A,0))</f>
        <v>45719</v>
      </c>
      <c r="I637" s="29">
        <f>INDEX(DataSet!C:C,MATCH('Advanced  Formulas'!A637,DataSet!A:A,0))</f>
        <v>45721</v>
      </c>
      <c r="J637" t="str">
        <f t="shared" si="29"/>
        <v>Review</v>
      </c>
      <c r="K637" s="10" t="str">
        <f>CONCATENATE(DataSet!E637,"-",DataSet!G637)</f>
        <v>Kabir Dave-Jaipur</v>
      </c>
    </row>
    <row r="638" spans="1:11">
      <c r="A638" t="str">
        <v>ORD-2025-00637</v>
      </c>
      <c r="B638" s="2">
        <v>12160</v>
      </c>
      <c r="C638" s="2">
        <v>1668.92</v>
      </c>
      <c r="D638" s="28">
        <v>0.2</v>
      </c>
      <c r="E638" t="str">
        <f t="shared" si="27"/>
        <v>Profit</v>
      </c>
      <c r="F638" t="str">
        <f t="shared" si="28"/>
        <v>High</v>
      </c>
      <c r="G638" t="str">
        <f>VLOOKUP(A638,DataSet!$1:$1048576,5,FALSE)</f>
        <v>Dev Verma</v>
      </c>
      <c r="H638" s="29">
        <f>INDEX(DataSet!B:B,MATCH('Advanced  Formulas'!A638,DataSet!A:A,0))</f>
        <v>45887</v>
      </c>
      <c r="I638" s="29">
        <f>INDEX(DataSet!C:C,MATCH('Advanced  Formulas'!A638,DataSet!A:A,0))</f>
        <v>45891</v>
      </c>
      <c r="J638" t="str">
        <f t="shared" si="29"/>
        <v>Good Order</v>
      </c>
      <c r="K638" s="10" t="str">
        <f>CONCATENATE(DataSet!E638,"-",DataSet!G638)</f>
        <v>Dev Verma-Lucknow</v>
      </c>
    </row>
    <row r="639" spans="1:11">
      <c r="A639" t="str">
        <v>ORD-2026-00638</v>
      </c>
      <c r="B639" s="2">
        <v>5130</v>
      </c>
      <c r="C639" s="2">
        <v>700.95</v>
      </c>
      <c r="D639" s="28">
        <v>0.1</v>
      </c>
      <c r="E639" t="str">
        <f t="shared" si="27"/>
        <v>Profit</v>
      </c>
      <c r="F639" t="str">
        <f t="shared" si="28"/>
        <v>Medium</v>
      </c>
      <c r="G639" t="str">
        <f>VLOOKUP(A639,DataSet!$1:$1048576,5,FALSE)</f>
        <v>Zoya Mehta</v>
      </c>
      <c r="H639" s="29">
        <f>INDEX(DataSet!B:B,MATCH('Advanced  Formulas'!A639,DataSet!A:A,0))</f>
        <v>46157</v>
      </c>
      <c r="I639" s="29">
        <f>INDEX(DataSet!C:C,MATCH('Advanced  Formulas'!A639,DataSet!A:A,0))</f>
        <v>46160</v>
      </c>
      <c r="J639" t="str">
        <f t="shared" si="29"/>
        <v>Good Order</v>
      </c>
      <c r="K639" s="10" t="str">
        <f>CONCATENATE(DataSet!E639,"-",DataSet!G639)</f>
        <v>Zoya Mehta-Surat</v>
      </c>
    </row>
    <row r="640" spans="1:11">
      <c r="A640" t="str">
        <v>ORD-2025-00639</v>
      </c>
      <c r="B640" s="2">
        <v>19950</v>
      </c>
      <c r="C640" s="2">
        <v>4684.28</v>
      </c>
      <c r="D640" s="28">
        <v>0.05</v>
      </c>
      <c r="E640" t="str">
        <f t="shared" si="27"/>
        <v>Profit</v>
      </c>
      <c r="F640" t="str">
        <f t="shared" si="28"/>
        <v>High</v>
      </c>
      <c r="G640" t="str">
        <f>VLOOKUP(A640,DataSet!$1:$1048576,5,FALSE)</f>
        <v>Kabir Soni</v>
      </c>
      <c r="H640" s="29">
        <f>INDEX(DataSet!B:B,MATCH('Advanced  Formulas'!A640,DataSet!A:A,0))</f>
        <v>45661</v>
      </c>
      <c r="I640" s="29">
        <f>INDEX(DataSet!C:C,MATCH('Advanced  Formulas'!A640,DataSet!A:A,0))</f>
        <v>45665</v>
      </c>
      <c r="J640" t="str">
        <f t="shared" si="29"/>
        <v>Good Order</v>
      </c>
      <c r="K640" s="10" t="str">
        <f>CONCATENATE(DataSet!E640,"-",DataSet!G640)</f>
        <v>Kabir Soni-Bengaluru</v>
      </c>
    </row>
    <row r="641" spans="1:11">
      <c r="A641" t="str">
        <v>ORD-2026-00640</v>
      </c>
      <c r="B641" s="2">
        <v>513</v>
      </c>
      <c r="C641" s="2">
        <v>80.81</v>
      </c>
      <c r="D641" s="28">
        <v>0.05</v>
      </c>
      <c r="E641" t="str">
        <f t="shared" si="27"/>
        <v>Loss</v>
      </c>
      <c r="F641" t="str">
        <f t="shared" si="28"/>
        <v>Low</v>
      </c>
      <c r="G641" t="str">
        <f>VLOOKUP(A641,DataSet!$1:$1048576,5,FALSE)</f>
        <v>Sara Joshi</v>
      </c>
      <c r="H641" s="29">
        <f>INDEX(DataSet!B:B,MATCH('Advanced  Formulas'!A641,DataSet!A:A,0))</f>
        <v>46075</v>
      </c>
      <c r="I641" s="29">
        <f>INDEX(DataSet!C:C,MATCH('Advanced  Formulas'!A641,DataSet!A:A,0))</f>
        <v>46076</v>
      </c>
      <c r="J641" t="str">
        <f t="shared" si="29"/>
        <v>Review</v>
      </c>
      <c r="K641" s="10" t="str">
        <f>CONCATENATE(DataSet!E641,"-",DataSet!G641)</f>
        <v>Sara Joshi-Lucknow</v>
      </c>
    </row>
    <row r="642" spans="1:11">
      <c r="A642" t="str">
        <v>ORD-2024-00641</v>
      </c>
      <c r="B642" s="2">
        <v>6500</v>
      </c>
      <c r="C642" s="2">
        <v>1594.29</v>
      </c>
      <c r="D642" s="28">
        <v>0</v>
      </c>
      <c r="E642" t="str">
        <f t="shared" si="27"/>
        <v>Profit</v>
      </c>
      <c r="F642" t="str">
        <f t="shared" si="28"/>
        <v>High</v>
      </c>
      <c r="G642" t="str">
        <f>VLOOKUP(A642,DataSet!$1:$1048576,5,FALSE)</f>
        <v>Fatima Panjwani</v>
      </c>
      <c r="H642" s="29">
        <f>INDEX(DataSet!B:B,MATCH('Advanced  Formulas'!A642,DataSet!A:A,0))</f>
        <v>45390</v>
      </c>
      <c r="I642" s="29">
        <f>INDEX(DataSet!C:C,MATCH('Advanced  Formulas'!A642,DataSet!A:A,0))</f>
        <v>45395</v>
      </c>
      <c r="J642" t="str">
        <f t="shared" si="29"/>
        <v>Good Order</v>
      </c>
      <c r="K642" s="10" t="str">
        <f>CONCATENATE(DataSet!E642,"-",DataSet!G642)</f>
        <v>Fatima Panjwani-Lucknow</v>
      </c>
    </row>
    <row r="643" spans="1:11">
      <c r="A643" t="str">
        <v>ORD-2024-00642</v>
      </c>
      <c r="B643" s="2">
        <v>216</v>
      </c>
      <c r="C643" s="2">
        <v>52.98</v>
      </c>
      <c r="D643" s="28">
        <v>0.1</v>
      </c>
      <c r="E643" t="str">
        <f t="shared" ref="E643:E706" si="30">IF(C643&gt;200,"Profit","Loss")</f>
        <v>Loss</v>
      </c>
      <c r="F643" t="str">
        <f t="shared" ref="F643:F706" si="31">IF(B643&gt;6000,"High",IF(B643&gt;=3000,"Medium",IF(B643&lt;3000,"Low")))</f>
        <v>Low</v>
      </c>
      <c r="G643" t="str">
        <f>VLOOKUP(A643,DataSet!$1:$1048576,5,FALSE)</f>
        <v>Anaya Rao</v>
      </c>
      <c r="H643" s="29">
        <f>INDEX(DataSet!B:B,MATCH('Advanced  Formulas'!A643,DataSet!A:A,0))</f>
        <v>45396</v>
      </c>
      <c r="I643" s="29">
        <f>INDEX(DataSet!C:C,MATCH('Advanced  Formulas'!A643,DataSet!A:A,0))</f>
        <v>45398</v>
      </c>
      <c r="J643" t="str">
        <f t="shared" ref="J643:J706" si="32">IF(AND(B643&gt;3000,C643&gt;0),"Good Order","Review")</f>
        <v>Review</v>
      </c>
      <c r="K643" s="10" t="str">
        <f>CONCATENATE(DataSet!E643,"-",DataSet!G643)</f>
        <v>Anaya Rao-Surat</v>
      </c>
    </row>
    <row r="644" spans="1:11">
      <c r="A644" t="str">
        <v>ORD-2025-00643</v>
      </c>
      <c r="B644" s="2">
        <v>44200</v>
      </c>
      <c r="C644" s="2">
        <v>9789.7900000000009</v>
      </c>
      <c r="D644" s="28">
        <v>0.15</v>
      </c>
      <c r="E644" t="str">
        <f t="shared" si="30"/>
        <v>Profit</v>
      </c>
      <c r="F644" t="str">
        <f t="shared" si="31"/>
        <v>High</v>
      </c>
      <c r="G644" t="str">
        <f>VLOOKUP(A644,DataSet!$1:$1048576,5,FALSE)</f>
        <v>Aditya Mehta</v>
      </c>
      <c r="H644" s="29">
        <f>INDEX(DataSet!B:B,MATCH('Advanced  Formulas'!A644,DataSet!A:A,0))</f>
        <v>45783</v>
      </c>
      <c r="I644" s="29">
        <f>INDEX(DataSet!C:C,MATCH('Advanced  Formulas'!A644,DataSet!A:A,0))</f>
        <v>45786</v>
      </c>
      <c r="J644" t="str">
        <f t="shared" si="32"/>
        <v>Good Order</v>
      </c>
      <c r="K644" s="10" t="str">
        <f>CONCATENATE(DataSet!E644,"-",DataSet!G644)</f>
        <v>Aditya Mehta-Rajkot</v>
      </c>
    </row>
    <row r="645" spans="1:11">
      <c r="A645" t="str">
        <v>ORD-2024-00644</v>
      </c>
      <c r="B645" s="2">
        <v>2280</v>
      </c>
      <c r="C645" s="2">
        <v>713.61</v>
      </c>
      <c r="D645" s="28">
        <v>0.2</v>
      </c>
      <c r="E645" t="str">
        <f t="shared" si="30"/>
        <v>Profit</v>
      </c>
      <c r="F645" t="str">
        <f t="shared" si="31"/>
        <v>Low</v>
      </c>
      <c r="G645" t="str">
        <f>VLOOKUP(A645,DataSet!$1:$1048576,5,FALSE)</f>
        <v>Sara Mehta</v>
      </c>
      <c r="H645" s="29">
        <f>INDEX(DataSet!B:B,MATCH('Advanced  Formulas'!A645,DataSet!A:A,0))</f>
        <v>45321</v>
      </c>
      <c r="I645" s="29">
        <f>INDEX(DataSet!C:C,MATCH('Advanced  Formulas'!A645,DataSet!A:A,0))</f>
        <v>45327</v>
      </c>
      <c r="J645" t="str">
        <f t="shared" si="32"/>
        <v>Review</v>
      </c>
      <c r="K645" s="10" t="str">
        <f>CONCATENATE(DataSet!E645,"-",DataSet!G645)</f>
        <v>Sara Mehta-Kolkata</v>
      </c>
    </row>
    <row r="646" spans="1:11">
      <c r="A646" t="str">
        <v>ORD-2024-00645</v>
      </c>
      <c r="B646" s="2">
        <v>585</v>
      </c>
      <c r="C646" s="2">
        <v>98.33</v>
      </c>
      <c r="D646" s="28">
        <v>0.1</v>
      </c>
      <c r="E646" t="str">
        <f t="shared" si="30"/>
        <v>Loss</v>
      </c>
      <c r="F646" t="str">
        <f t="shared" si="31"/>
        <v>Low</v>
      </c>
      <c r="G646" t="str">
        <f>VLOOKUP(A646,DataSet!$1:$1048576,5,FALSE)</f>
        <v>Reyansh Shah</v>
      </c>
      <c r="H646" s="29">
        <f>INDEX(DataSet!B:B,MATCH('Advanced  Formulas'!A646,DataSet!A:A,0))</f>
        <v>45372</v>
      </c>
      <c r="I646" s="29">
        <f>INDEX(DataSet!C:C,MATCH('Advanced  Formulas'!A646,DataSet!A:A,0))</f>
        <v>45376</v>
      </c>
      <c r="J646" t="str">
        <f t="shared" si="32"/>
        <v>Review</v>
      </c>
      <c r="K646" s="10" t="str">
        <f>CONCATENATE(DataSet!E646,"-",DataSet!G646)</f>
        <v>Reyansh Shah-Chennai</v>
      </c>
    </row>
    <row r="647" spans="1:11">
      <c r="A647" t="str">
        <v>ORD-2025-00646</v>
      </c>
      <c r="B647" s="2">
        <v>1450</v>
      </c>
      <c r="C647" s="2">
        <v>437.28</v>
      </c>
      <c r="D647" s="28">
        <v>0</v>
      </c>
      <c r="E647" t="str">
        <f t="shared" si="30"/>
        <v>Profit</v>
      </c>
      <c r="F647" t="str">
        <f t="shared" si="31"/>
        <v>Low</v>
      </c>
      <c r="G647" t="str">
        <f>VLOOKUP(A647,DataSet!$1:$1048576,5,FALSE)</f>
        <v>Anaya Iyer</v>
      </c>
      <c r="H647" s="29">
        <f>INDEX(DataSet!B:B,MATCH('Advanced  Formulas'!A647,DataSet!A:A,0))</f>
        <v>45899</v>
      </c>
      <c r="I647" s="29">
        <f>INDEX(DataSet!C:C,MATCH('Advanced  Formulas'!A647,DataSet!A:A,0))</f>
        <v>45900</v>
      </c>
      <c r="J647" t="str">
        <f t="shared" si="32"/>
        <v>Review</v>
      </c>
      <c r="K647" s="10" t="str">
        <f>CONCATENATE(DataSet!E647,"-",DataSet!G647)</f>
        <v>Anaya Iyer-Jaipur</v>
      </c>
    </row>
    <row r="648" spans="1:11">
      <c r="A648" t="str">
        <v>ORD-2024-00647</v>
      </c>
      <c r="B648" s="2">
        <v>720</v>
      </c>
      <c r="C648" s="2">
        <v>256.61</v>
      </c>
      <c r="D648" s="28">
        <v>0</v>
      </c>
      <c r="E648" t="str">
        <f t="shared" si="30"/>
        <v>Profit</v>
      </c>
      <c r="F648" t="str">
        <f t="shared" si="31"/>
        <v>Low</v>
      </c>
      <c r="G648" t="str">
        <f>VLOOKUP(A648,DataSet!$1:$1048576,5,FALSE)</f>
        <v>Arjun Dave</v>
      </c>
      <c r="H648" s="29">
        <f>INDEX(DataSet!B:B,MATCH('Advanced  Formulas'!A648,DataSet!A:A,0))</f>
        <v>45502</v>
      </c>
      <c r="I648" s="29">
        <f>INDEX(DataSet!C:C,MATCH('Advanced  Formulas'!A648,DataSet!A:A,0))</f>
        <v>45507</v>
      </c>
      <c r="J648" t="str">
        <f t="shared" si="32"/>
        <v>Review</v>
      </c>
      <c r="K648" s="10" t="str">
        <f>CONCATENATE(DataSet!E648,"-",DataSet!G648)</f>
        <v>Arjun Dave-Indore</v>
      </c>
    </row>
    <row r="649" spans="1:11">
      <c r="A649" t="str">
        <v>ORD-2024-00648</v>
      </c>
      <c r="B649" s="2">
        <v>180</v>
      </c>
      <c r="C649" s="2">
        <v>30.04</v>
      </c>
      <c r="D649" s="28">
        <v>0</v>
      </c>
      <c r="E649" t="str">
        <f t="shared" si="30"/>
        <v>Loss</v>
      </c>
      <c r="F649" t="str">
        <f t="shared" si="31"/>
        <v>Low</v>
      </c>
      <c r="G649" t="str">
        <f>VLOOKUP(A649,DataSet!$1:$1048576,5,FALSE)</f>
        <v>Aarav Soni</v>
      </c>
      <c r="H649" s="29">
        <f>INDEX(DataSet!B:B,MATCH('Advanced  Formulas'!A649,DataSet!A:A,0))</f>
        <v>45456</v>
      </c>
      <c r="I649" s="29">
        <f>INDEX(DataSet!C:C,MATCH('Advanced  Formulas'!A649,DataSet!A:A,0))</f>
        <v>45463</v>
      </c>
      <c r="J649" t="str">
        <f t="shared" si="32"/>
        <v>Review</v>
      </c>
      <c r="K649" s="10" t="str">
        <f>CONCATENATE(DataSet!E649,"-",DataSet!G649)</f>
        <v>Aarav Soni-Delhi</v>
      </c>
    </row>
    <row r="650" spans="1:11">
      <c r="A650" t="str">
        <v>ORD-2026-00649</v>
      </c>
      <c r="B650" s="2">
        <v>2210</v>
      </c>
      <c r="C650" s="2">
        <v>300.92</v>
      </c>
      <c r="D650" s="28">
        <v>0.15</v>
      </c>
      <c r="E650" t="str">
        <f t="shared" si="30"/>
        <v>Profit</v>
      </c>
      <c r="F650" t="str">
        <f t="shared" si="31"/>
        <v>Low</v>
      </c>
      <c r="G650" t="str">
        <f>VLOOKUP(A650,DataSet!$1:$1048576,5,FALSE)</f>
        <v>Zoya Verma</v>
      </c>
      <c r="H650" s="29">
        <f>INDEX(DataSet!B:B,MATCH('Advanced  Formulas'!A650,DataSet!A:A,0))</f>
        <v>46279</v>
      </c>
      <c r="I650" s="29">
        <f>INDEX(DataSet!C:C,MATCH('Advanced  Formulas'!A650,DataSet!A:A,0))</f>
        <v>46282</v>
      </c>
      <c r="J650" t="str">
        <f t="shared" si="32"/>
        <v>Review</v>
      </c>
      <c r="K650" s="10" t="str">
        <f>CONCATENATE(DataSet!E650,"-",DataSet!G650)</f>
        <v>Zoya Verma-Surat</v>
      </c>
    </row>
    <row r="651" spans="1:11">
      <c r="A651" t="str">
        <v>ORD-2025-00650</v>
      </c>
      <c r="B651" s="2">
        <v>2016</v>
      </c>
      <c r="C651" s="2">
        <v>623.53</v>
      </c>
      <c r="D651" s="28">
        <v>0.1</v>
      </c>
      <c r="E651" t="str">
        <f t="shared" si="30"/>
        <v>Profit</v>
      </c>
      <c r="F651" t="str">
        <f t="shared" si="31"/>
        <v>Low</v>
      </c>
      <c r="G651" t="str">
        <f>VLOOKUP(A651,DataSet!$1:$1048576,5,FALSE)</f>
        <v>Aanya Shah</v>
      </c>
      <c r="H651" s="29">
        <f>INDEX(DataSet!B:B,MATCH('Advanced  Formulas'!A651,DataSet!A:A,0))</f>
        <v>45742</v>
      </c>
      <c r="I651" s="29">
        <f>INDEX(DataSet!C:C,MATCH('Advanced  Formulas'!A651,DataSet!A:A,0))</f>
        <v>45748</v>
      </c>
      <c r="J651" t="str">
        <f t="shared" si="32"/>
        <v>Review</v>
      </c>
      <c r="K651" s="10" t="str">
        <f>CONCATENATE(DataSet!E651,"-",DataSet!G651)</f>
        <v>Aanya Shah-Bhavnagar</v>
      </c>
    </row>
    <row r="652" spans="1:11">
      <c r="A652" t="str">
        <v>ORD-2025-00651</v>
      </c>
      <c r="B652" s="2">
        <v>720</v>
      </c>
      <c r="C652" s="2">
        <v>198.04</v>
      </c>
      <c r="D652" s="28">
        <v>0.2</v>
      </c>
      <c r="E652" t="str">
        <f t="shared" si="30"/>
        <v>Loss</v>
      </c>
      <c r="F652" t="str">
        <f t="shared" si="31"/>
        <v>Low</v>
      </c>
      <c r="G652" t="str">
        <f>VLOOKUP(A652,DataSet!$1:$1048576,5,FALSE)</f>
        <v>Diya Shah</v>
      </c>
      <c r="H652" s="29">
        <f>INDEX(DataSet!B:B,MATCH('Advanced  Formulas'!A652,DataSet!A:A,0))</f>
        <v>45769</v>
      </c>
      <c r="I652" s="29">
        <f>INDEX(DataSet!C:C,MATCH('Advanced  Formulas'!A652,DataSet!A:A,0))</f>
        <v>45770</v>
      </c>
      <c r="J652" t="str">
        <f t="shared" si="32"/>
        <v>Review</v>
      </c>
      <c r="K652" s="10" t="str">
        <f>CONCATENATE(DataSet!E652,"-",DataSet!G652)</f>
        <v>Diya Shah-Delhi</v>
      </c>
    </row>
    <row r="653" spans="1:11">
      <c r="A653" t="str">
        <v>ORD-2024-00652</v>
      </c>
      <c r="B653" s="2">
        <v>880</v>
      </c>
      <c r="C653" s="2">
        <v>84.65</v>
      </c>
      <c r="D653" s="28">
        <v>0.2</v>
      </c>
      <c r="E653" t="str">
        <f t="shared" si="30"/>
        <v>Loss</v>
      </c>
      <c r="F653" t="str">
        <f t="shared" si="31"/>
        <v>Low</v>
      </c>
      <c r="G653" t="str">
        <f>VLOOKUP(A653,DataSet!$1:$1048576,5,FALSE)</f>
        <v>Myra Soni</v>
      </c>
      <c r="H653" s="29">
        <f>INDEX(DataSet!B:B,MATCH('Advanced  Formulas'!A653,DataSet!A:A,0))</f>
        <v>45410</v>
      </c>
      <c r="I653" s="29">
        <f>INDEX(DataSet!C:C,MATCH('Advanced  Formulas'!A653,DataSet!A:A,0))</f>
        <v>45414</v>
      </c>
      <c r="J653" t="str">
        <f t="shared" si="32"/>
        <v>Review</v>
      </c>
      <c r="K653" s="10" t="str">
        <f>CONCATENATE(DataSet!E653,"-",DataSet!G653)</f>
        <v>Myra Soni-Rajkot</v>
      </c>
    </row>
    <row r="654" spans="1:11">
      <c r="A654" t="str">
        <v>ORD-2026-00653</v>
      </c>
      <c r="B654" s="2">
        <v>3300</v>
      </c>
      <c r="C654" s="2">
        <v>1243.03</v>
      </c>
      <c r="D654" s="28">
        <v>0</v>
      </c>
      <c r="E654" t="str">
        <f t="shared" si="30"/>
        <v>Profit</v>
      </c>
      <c r="F654" t="str">
        <f t="shared" si="31"/>
        <v>Medium</v>
      </c>
      <c r="G654" t="str">
        <f>VLOOKUP(A654,DataSet!$1:$1048576,5,FALSE)</f>
        <v>Fatima Kapoor</v>
      </c>
      <c r="H654" s="29">
        <f>INDEX(DataSet!B:B,MATCH('Advanced  Formulas'!A654,DataSet!A:A,0))</f>
        <v>46167</v>
      </c>
      <c r="I654" s="29">
        <f>INDEX(DataSet!C:C,MATCH('Advanced  Formulas'!A654,DataSet!A:A,0))</f>
        <v>46171</v>
      </c>
      <c r="J654" t="str">
        <f t="shared" si="32"/>
        <v>Good Order</v>
      </c>
      <c r="K654" s="10" t="str">
        <f>CONCATENATE(DataSet!E654,"-",DataSet!G654)</f>
        <v>Fatima Kapoor-Vadodara</v>
      </c>
    </row>
    <row r="655" spans="1:11">
      <c r="A655" t="str">
        <v>ORD-2025-00654</v>
      </c>
      <c r="B655" s="2">
        <v>1755</v>
      </c>
      <c r="C655" s="2">
        <v>457.77</v>
      </c>
      <c r="D655" s="28">
        <v>0.1</v>
      </c>
      <c r="E655" t="str">
        <f t="shared" si="30"/>
        <v>Profit</v>
      </c>
      <c r="F655" t="str">
        <f t="shared" si="31"/>
        <v>Low</v>
      </c>
      <c r="G655" t="str">
        <f>VLOOKUP(A655,DataSet!$1:$1048576,5,FALSE)</f>
        <v>Anaya Verma</v>
      </c>
      <c r="H655" s="29">
        <f>INDEX(DataSet!B:B,MATCH('Advanced  Formulas'!A655,DataSet!A:A,0))</f>
        <v>45740</v>
      </c>
      <c r="I655" s="29">
        <f>INDEX(DataSet!C:C,MATCH('Advanced  Formulas'!A655,DataSet!A:A,0))</f>
        <v>45745</v>
      </c>
      <c r="J655" t="str">
        <f t="shared" si="32"/>
        <v>Review</v>
      </c>
      <c r="K655" s="10" t="str">
        <f>CONCATENATE(DataSet!E655,"-",DataSet!G655)</f>
        <v>Anaya Verma-Bengaluru</v>
      </c>
    </row>
    <row r="656" spans="1:11">
      <c r="A656" t="str">
        <v>ORD-2025-00655</v>
      </c>
      <c r="B656" s="2">
        <v>630</v>
      </c>
      <c r="C656" s="2">
        <v>201.26</v>
      </c>
      <c r="D656" s="28">
        <v>0</v>
      </c>
      <c r="E656" t="str">
        <f t="shared" si="30"/>
        <v>Profit</v>
      </c>
      <c r="F656" t="str">
        <f t="shared" si="31"/>
        <v>Low</v>
      </c>
      <c r="G656" t="str">
        <f>VLOOKUP(A656,DataSet!$1:$1048576,5,FALSE)</f>
        <v>Fatima Joshi</v>
      </c>
      <c r="H656" s="29">
        <f>INDEX(DataSet!B:B,MATCH('Advanced  Formulas'!A656,DataSet!A:A,0))</f>
        <v>45664</v>
      </c>
      <c r="I656" s="29">
        <f>INDEX(DataSet!C:C,MATCH('Advanced  Formulas'!A656,DataSet!A:A,0))</f>
        <v>45666</v>
      </c>
      <c r="J656" t="str">
        <f t="shared" si="32"/>
        <v>Review</v>
      </c>
      <c r="K656" s="10" t="str">
        <f>CONCATENATE(DataSet!E656,"-",DataSet!G656)</f>
        <v>Fatima Joshi-Mumbai</v>
      </c>
    </row>
    <row r="657" spans="1:11">
      <c r="A657" t="str">
        <v>ORD-2025-00656</v>
      </c>
      <c r="B657" s="2">
        <v>12160</v>
      </c>
      <c r="C657" s="2">
        <v>2349.0300000000002</v>
      </c>
      <c r="D657" s="28">
        <v>0.2</v>
      </c>
      <c r="E657" t="str">
        <f t="shared" si="30"/>
        <v>Profit</v>
      </c>
      <c r="F657" t="str">
        <f t="shared" si="31"/>
        <v>High</v>
      </c>
      <c r="G657" t="str">
        <f>VLOOKUP(A657,DataSet!$1:$1048576,5,FALSE)</f>
        <v>Fatima Soni</v>
      </c>
      <c r="H657" s="29">
        <f>INDEX(DataSet!B:B,MATCH('Advanced  Formulas'!A657,DataSet!A:A,0))</f>
        <v>45899</v>
      </c>
      <c r="I657" s="29">
        <f>INDEX(DataSet!C:C,MATCH('Advanced  Formulas'!A657,DataSet!A:A,0))</f>
        <v>45902</v>
      </c>
      <c r="J657" t="str">
        <f t="shared" si="32"/>
        <v>Good Order</v>
      </c>
      <c r="K657" s="10" t="str">
        <f>CONCATENATE(DataSet!E657,"-",DataSet!G657)</f>
        <v>Fatima Soni-Hyderabad</v>
      </c>
    </row>
    <row r="658" spans="1:11">
      <c r="A658" t="str">
        <v>ORD-2026-00657</v>
      </c>
      <c r="B658" s="2">
        <v>10440</v>
      </c>
      <c r="C658" s="2">
        <v>3184.06</v>
      </c>
      <c r="D658" s="28">
        <v>0.1</v>
      </c>
      <c r="E658" t="str">
        <f t="shared" si="30"/>
        <v>Profit</v>
      </c>
      <c r="F658" t="str">
        <f t="shared" si="31"/>
        <v>High</v>
      </c>
      <c r="G658" t="str">
        <f>VLOOKUP(A658,DataSet!$1:$1048576,5,FALSE)</f>
        <v>Vivaan Patel</v>
      </c>
      <c r="H658" s="29">
        <f>INDEX(DataSet!B:B,MATCH('Advanced  Formulas'!A658,DataSet!A:A,0))</f>
        <v>46078</v>
      </c>
      <c r="I658" s="29">
        <f>INDEX(DataSet!C:C,MATCH('Advanced  Formulas'!A658,DataSet!A:A,0))</f>
        <v>46082</v>
      </c>
      <c r="J658" t="str">
        <f t="shared" si="32"/>
        <v>Good Order</v>
      </c>
      <c r="K658" s="10" t="str">
        <f>CONCATENATE(DataSet!E658,"-",DataSet!G658)</f>
        <v>Vivaan Patel-Bhavnagar</v>
      </c>
    </row>
    <row r="659" spans="1:11">
      <c r="A659" t="str">
        <v>ORD-2026-00658</v>
      </c>
      <c r="B659" s="2">
        <v>5652.5</v>
      </c>
      <c r="C659" s="2">
        <v>1022.58</v>
      </c>
      <c r="D659" s="28">
        <v>0.15</v>
      </c>
      <c r="E659" t="str">
        <f t="shared" si="30"/>
        <v>Profit</v>
      </c>
      <c r="F659" t="str">
        <f t="shared" si="31"/>
        <v>Medium</v>
      </c>
      <c r="G659" t="str">
        <f>VLOOKUP(A659,DataSet!$1:$1048576,5,FALSE)</f>
        <v>Sara Dave</v>
      </c>
      <c r="H659" s="29">
        <f>INDEX(DataSet!B:B,MATCH('Advanced  Formulas'!A659,DataSet!A:A,0))</f>
        <v>46142</v>
      </c>
      <c r="I659" s="29">
        <f>INDEX(DataSet!C:C,MATCH('Advanced  Formulas'!A659,DataSet!A:A,0))</f>
        <v>46143</v>
      </c>
      <c r="J659" t="str">
        <f t="shared" si="32"/>
        <v>Good Order</v>
      </c>
      <c r="K659" s="10" t="str">
        <f>CONCATENATE(DataSet!E659,"-",DataSet!G659)</f>
        <v>Sara Dave-Jaipur</v>
      </c>
    </row>
    <row r="660" spans="1:11">
      <c r="A660" t="str">
        <v>ORD-2026-00659</v>
      </c>
      <c r="B660" s="2">
        <v>6080</v>
      </c>
      <c r="C660" s="2">
        <v>1218.1600000000001</v>
      </c>
      <c r="D660" s="28">
        <v>0.05</v>
      </c>
      <c r="E660" t="str">
        <f t="shared" si="30"/>
        <v>Profit</v>
      </c>
      <c r="F660" t="str">
        <f t="shared" si="31"/>
        <v>High</v>
      </c>
      <c r="G660" t="str">
        <f>VLOOKUP(A660,DataSet!$1:$1048576,5,FALSE)</f>
        <v>Dev Joshi</v>
      </c>
      <c r="H660" s="29">
        <f>INDEX(DataSet!B:B,MATCH('Advanced  Formulas'!A660,DataSet!A:A,0))</f>
        <v>46070</v>
      </c>
      <c r="I660" s="29">
        <f>INDEX(DataSet!C:C,MATCH('Advanced  Formulas'!A660,DataSet!A:A,0))</f>
        <v>46071</v>
      </c>
      <c r="J660" t="str">
        <f t="shared" si="32"/>
        <v>Good Order</v>
      </c>
      <c r="K660" s="10" t="str">
        <f>CONCATENATE(DataSet!E660,"-",DataSet!G660)</f>
        <v>Dev Joshi-Bengaluru</v>
      </c>
    </row>
    <row r="661" spans="1:11">
      <c r="A661" t="str">
        <v>ORD-2026-00660</v>
      </c>
      <c r="B661" s="2">
        <v>4550</v>
      </c>
      <c r="C661" s="2">
        <v>1275.17</v>
      </c>
      <c r="D661" s="28">
        <v>0</v>
      </c>
      <c r="E661" t="str">
        <f t="shared" si="30"/>
        <v>Profit</v>
      </c>
      <c r="F661" t="str">
        <f t="shared" si="31"/>
        <v>Medium</v>
      </c>
      <c r="G661" t="str">
        <f>VLOOKUP(A661,DataSet!$1:$1048576,5,FALSE)</f>
        <v>Krish Khan</v>
      </c>
      <c r="H661" s="29">
        <f>INDEX(DataSet!B:B,MATCH('Advanced  Formulas'!A661,DataSet!A:A,0))</f>
        <v>46120</v>
      </c>
      <c r="I661" s="29">
        <f>INDEX(DataSet!C:C,MATCH('Advanced  Formulas'!A661,DataSet!A:A,0))</f>
        <v>46127</v>
      </c>
      <c r="J661" t="str">
        <f t="shared" si="32"/>
        <v>Good Order</v>
      </c>
      <c r="K661" s="10" t="str">
        <f>CONCATENATE(DataSet!E661,"-",DataSet!G661)</f>
        <v>Krish Khan-Delhi</v>
      </c>
    </row>
    <row r="662" spans="1:11">
      <c r="A662" t="str">
        <v>ORD-2024-00661</v>
      </c>
      <c r="B662" s="2">
        <v>46800</v>
      </c>
      <c r="C662" s="2">
        <v>15445.55</v>
      </c>
      <c r="D662" s="28">
        <v>0.1</v>
      </c>
      <c r="E662" t="str">
        <f t="shared" si="30"/>
        <v>Profit</v>
      </c>
      <c r="F662" t="str">
        <f t="shared" si="31"/>
        <v>High</v>
      </c>
      <c r="G662" t="str">
        <f>VLOOKUP(A662,DataSet!$1:$1048576,5,FALSE)</f>
        <v>Krish Khan</v>
      </c>
      <c r="H662" s="29">
        <f>INDEX(DataSet!B:B,MATCH('Advanced  Formulas'!A662,DataSet!A:A,0))</f>
        <v>45325</v>
      </c>
      <c r="I662" s="29">
        <f>INDEX(DataSet!C:C,MATCH('Advanced  Formulas'!A662,DataSet!A:A,0))</f>
        <v>45327</v>
      </c>
      <c r="J662" t="str">
        <f t="shared" si="32"/>
        <v>Good Order</v>
      </c>
      <c r="K662" s="10" t="str">
        <f>CONCATENATE(DataSet!E662,"-",DataSet!G662)</f>
        <v>Krish Khan-Delhi</v>
      </c>
    </row>
    <row r="663" spans="1:11">
      <c r="A663" t="str">
        <v>ORD-2025-00662</v>
      </c>
      <c r="B663" s="2">
        <v>4080</v>
      </c>
      <c r="C663" s="2">
        <v>1399.47</v>
      </c>
      <c r="D663" s="28">
        <v>0.15</v>
      </c>
      <c r="E663" t="str">
        <f t="shared" si="30"/>
        <v>Profit</v>
      </c>
      <c r="F663" t="str">
        <f t="shared" si="31"/>
        <v>Medium</v>
      </c>
      <c r="G663" t="str">
        <f>VLOOKUP(A663,DataSet!$1:$1048576,5,FALSE)</f>
        <v>Fatima Dave</v>
      </c>
      <c r="H663" s="29">
        <f>INDEX(DataSet!B:B,MATCH('Advanced  Formulas'!A663,DataSet!A:A,0))</f>
        <v>45983</v>
      </c>
      <c r="I663" s="29">
        <f>INDEX(DataSet!C:C,MATCH('Advanced  Formulas'!A663,DataSet!A:A,0))</f>
        <v>45987</v>
      </c>
      <c r="J663" t="str">
        <f t="shared" si="32"/>
        <v>Good Order</v>
      </c>
      <c r="K663" s="10" t="str">
        <f>CONCATENATE(DataSet!E663,"-",DataSet!G663)</f>
        <v>Fatima Dave-Bengaluru</v>
      </c>
    </row>
    <row r="664" spans="1:11">
      <c r="A664" t="str">
        <v>ORD-2025-00663</v>
      </c>
      <c r="B664" s="2">
        <v>2800</v>
      </c>
      <c r="C664" s="2">
        <v>634.14</v>
      </c>
      <c r="D664" s="28">
        <v>0</v>
      </c>
      <c r="E664" t="str">
        <f t="shared" si="30"/>
        <v>Profit</v>
      </c>
      <c r="F664" t="str">
        <f t="shared" si="31"/>
        <v>Low</v>
      </c>
      <c r="G664" t="str">
        <f>VLOOKUP(A664,DataSet!$1:$1048576,5,FALSE)</f>
        <v>Zoya Trivedi</v>
      </c>
      <c r="H664" s="29">
        <f>INDEX(DataSet!B:B,MATCH('Advanced  Formulas'!A664,DataSet!A:A,0))</f>
        <v>45984</v>
      </c>
      <c r="I664" s="29">
        <f>INDEX(DataSet!C:C,MATCH('Advanced  Formulas'!A664,DataSet!A:A,0))</f>
        <v>45987</v>
      </c>
      <c r="J664" t="str">
        <f t="shared" si="32"/>
        <v>Review</v>
      </c>
      <c r="K664" s="10" t="str">
        <f>CONCATENATE(DataSet!E664,"-",DataSet!G664)</f>
        <v>Zoya Trivedi-Hyderabad</v>
      </c>
    </row>
    <row r="665" spans="1:11">
      <c r="A665" t="str">
        <v>ORD-2024-00664</v>
      </c>
      <c r="B665" s="2">
        <v>1350</v>
      </c>
      <c r="C665" s="2">
        <v>371.6</v>
      </c>
      <c r="D665" s="28">
        <v>0.1</v>
      </c>
      <c r="E665" t="str">
        <f t="shared" si="30"/>
        <v>Profit</v>
      </c>
      <c r="F665" t="str">
        <f t="shared" si="31"/>
        <v>Low</v>
      </c>
      <c r="G665" t="str">
        <f>VLOOKUP(A665,DataSet!$1:$1048576,5,FALSE)</f>
        <v>Aanya Trivedi</v>
      </c>
      <c r="H665" s="29">
        <f>INDEX(DataSet!B:B,MATCH('Advanced  Formulas'!A665,DataSet!A:A,0))</f>
        <v>45319</v>
      </c>
      <c r="I665" s="29">
        <f>INDEX(DataSet!C:C,MATCH('Advanced  Formulas'!A665,DataSet!A:A,0))</f>
        <v>45326</v>
      </c>
      <c r="J665" t="str">
        <f t="shared" si="32"/>
        <v>Review</v>
      </c>
      <c r="K665" s="10" t="str">
        <f>CONCATENATE(DataSet!E665,"-",DataSet!G665)</f>
        <v>Aanya Trivedi-Indore</v>
      </c>
    </row>
    <row r="666" spans="1:11">
      <c r="A666" t="str">
        <v>ORD-2024-00665</v>
      </c>
      <c r="B666" s="2">
        <v>4960</v>
      </c>
      <c r="C666" s="2">
        <v>1651.53</v>
      </c>
      <c r="D666" s="28">
        <v>0.2</v>
      </c>
      <c r="E666" t="str">
        <f t="shared" si="30"/>
        <v>Profit</v>
      </c>
      <c r="F666" t="str">
        <f t="shared" si="31"/>
        <v>Medium</v>
      </c>
      <c r="G666" t="str">
        <f>VLOOKUP(A666,DataSet!$1:$1048576,5,FALSE)</f>
        <v>Anaya Trivedi</v>
      </c>
      <c r="H666" s="29">
        <f>INDEX(DataSet!B:B,MATCH('Advanced  Formulas'!A666,DataSet!A:A,0))</f>
        <v>45545</v>
      </c>
      <c r="I666" s="29">
        <f>INDEX(DataSet!C:C,MATCH('Advanced  Formulas'!A666,DataSet!A:A,0))</f>
        <v>45547</v>
      </c>
      <c r="J666" t="str">
        <f t="shared" si="32"/>
        <v>Good Order</v>
      </c>
      <c r="K666" s="10" t="str">
        <f>CONCATENATE(DataSet!E666,"-",DataSet!G666)</f>
        <v>Anaya Trivedi-Bengaluru</v>
      </c>
    </row>
    <row r="667" spans="1:11">
      <c r="A667" t="str">
        <v>ORD-2025-00666</v>
      </c>
      <c r="B667" s="2">
        <v>10640</v>
      </c>
      <c r="C667" s="2">
        <v>3906.96</v>
      </c>
      <c r="D667" s="28">
        <v>0.05</v>
      </c>
      <c r="E667" t="str">
        <f t="shared" si="30"/>
        <v>Profit</v>
      </c>
      <c r="F667" t="str">
        <f t="shared" si="31"/>
        <v>High</v>
      </c>
      <c r="G667" t="str">
        <f>VLOOKUP(A667,DataSet!$1:$1048576,5,FALSE)</f>
        <v>Yusuf Patel</v>
      </c>
      <c r="H667" s="29">
        <f>INDEX(DataSet!B:B,MATCH('Advanced  Formulas'!A667,DataSet!A:A,0))</f>
        <v>45843</v>
      </c>
      <c r="I667" s="29">
        <f>INDEX(DataSet!C:C,MATCH('Advanced  Formulas'!A667,DataSet!A:A,0))</f>
        <v>45846</v>
      </c>
      <c r="J667" t="str">
        <f t="shared" si="32"/>
        <v>Good Order</v>
      </c>
      <c r="K667" s="10" t="str">
        <f>CONCATENATE(DataSet!E667,"-",DataSet!G667)</f>
        <v>Yusuf Patel-Ahmedabad</v>
      </c>
    </row>
    <row r="668" spans="1:11">
      <c r="A668" t="str">
        <v>ORD-2025-00667</v>
      </c>
      <c r="B668" s="2">
        <v>880</v>
      </c>
      <c r="C668" s="2">
        <v>153.53</v>
      </c>
      <c r="D668" s="28">
        <v>0.2</v>
      </c>
      <c r="E668" t="str">
        <f t="shared" si="30"/>
        <v>Loss</v>
      </c>
      <c r="F668" t="str">
        <f t="shared" si="31"/>
        <v>Low</v>
      </c>
      <c r="G668" t="str">
        <f>VLOOKUP(A668,DataSet!$1:$1048576,5,FALSE)</f>
        <v>Fatima Soni</v>
      </c>
      <c r="H668" s="29">
        <f>INDEX(DataSet!B:B,MATCH('Advanced  Formulas'!A668,DataSet!A:A,0))</f>
        <v>45876</v>
      </c>
      <c r="I668" s="29">
        <f>INDEX(DataSet!C:C,MATCH('Advanced  Formulas'!A668,DataSet!A:A,0))</f>
        <v>45880</v>
      </c>
      <c r="J668" t="str">
        <f t="shared" si="32"/>
        <v>Review</v>
      </c>
      <c r="K668" s="10" t="str">
        <f>CONCATENATE(DataSet!E668,"-",DataSet!G668)</f>
        <v>Fatima Soni-Mumbai</v>
      </c>
    </row>
    <row r="669" spans="1:11">
      <c r="A669" t="str">
        <v>ORD-2024-00668</v>
      </c>
      <c r="B669" s="2">
        <v>2700</v>
      </c>
      <c r="C669" s="2">
        <v>539.41999999999996</v>
      </c>
      <c r="D669" s="28">
        <v>0.1</v>
      </c>
      <c r="E669" t="str">
        <f t="shared" si="30"/>
        <v>Profit</v>
      </c>
      <c r="F669" t="str">
        <f t="shared" si="31"/>
        <v>Low</v>
      </c>
      <c r="G669" t="str">
        <f>VLOOKUP(A669,DataSet!$1:$1048576,5,FALSE)</f>
        <v>Kabir Rao</v>
      </c>
      <c r="H669" s="29">
        <f>INDEX(DataSet!B:B,MATCH('Advanced  Formulas'!A669,DataSet!A:A,0))</f>
        <v>45462</v>
      </c>
      <c r="I669" s="29">
        <f>INDEX(DataSet!C:C,MATCH('Advanced  Formulas'!A669,DataSet!A:A,0))</f>
        <v>45467</v>
      </c>
      <c r="J669" t="str">
        <f t="shared" si="32"/>
        <v>Review</v>
      </c>
      <c r="K669" s="10" t="str">
        <f>CONCATENATE(DataSet!E669,"-",DataSet!G669)</f>
        <v>Kabir Rao-Rajkot</v>
      </c>
    </row>
    <row r="670" spans="1:11">
      <c r="A670" t="str">
        <v>ORD-2024-00669</v>
      </c>
      <c r="B670" s="2">
        <v>21700</v>
      </c>
      <c r="C670" s="2">
        <v>4722.16</v>
      </c>
      <c r="D670" s="28">
        <v>0</v>
      </c>
      <c r="E670" t="str">
        <f t="shared" si="30"/>
        <v>Profit</v>
      </c>
      <c r="F670" t="str">
        <f t="shared" si="31"/>
        <v>High</v>
      </c>
      <c r="G670" t="str">
        <f>VLOOKUP(A670,DataSet!$1:$1048576,5,FALSE)</f>
        <v>Kabir Verma</v>
      </c>
      <c r="H670" s="29">
        <f>INDEX(DataSet!B:B,MATCH('Advanced  Formulas'!A670,DataSet!A:A,0))</f>
        <v>45586</v>
      </c>
      <c r="I670" s="29">
        <f>INDEX(DataSet!C:C,MATCH('Advanced  Formulas'!A670,DataSet!A:A,0))</f>
        <v>45589</v>
      </c>
      <c r="J670" t="str">
        <f t="shared" si="32"/>
        <v>Good Order</v>
      </c>
      <c r="K670" s="10" t="str">
        <f>CONCATENATE(DataSet!E670,"-",DataSet!G670)</f>
        <v>Kabir Verma-Ahmedabad</v>
      </c>
    </row>
    <row r="671" spans="1:11">
      <c r="A671" t="str">
        <v>ORD-2025-00670</v>
      </c>
      <c r="B671" s="2">
        <v>61200</v>
      </c>
      <c r="C671" s="2">
        <v>19000.63</v>
      </c>
      <c r="D671" s="28">
        <v>0.1</v>
      </c>
      <c r="E671" t="str">
        <f t="shared" si="30"/>
        <v>Profit</v>
      </c>
      <c r="F671" t="str">
        <f t="shared" si="31"/>
        <v>High</v>
      </c>
      <c r="G671" t="str">
        <f>VLOOKUP(A671,DataSet!$1:$1048576,5,FALSE)</f>
        <v>Kabir Kapoor</v>
      </c>
      <c r="H671" s="29">
        <f>INDEX(DataSet!B:B,MATCH('Advanced  Formulas'!A671,DataSet!A:A,0))</f>
        <v>45898</v>
      </c>
      <c r="I671" s="29">
        <f>INDEX(DataSet!C:C,MATCH('Advanced  Formulas'!A671,DataSet!A:A,0))</f>
        <v>45901</v>
      </c>
      <c r="J671" t="str">
        <f t="shared" si="32"/>
        <v>Good Order</v>
      </c>
      <c r="K671" s="10" t="str">
        <f>CONCATENATE(DataSet!E671,"-",DataSet!G671)</f>
        <v>Kabir Kapoor-Rajkot</v>
      </c>
    </row>
    <row r="672" spans="1:11">
      <c r="A672" t="str">
        <v>ORD-2026-00671</v>
      </c>
      <c r="B672" s="2">
        <v>40950</v>
      </c>
      <c r="C672" s="2">
        <v>12271.53</v>
      </c>
      <c r="D672" s="28">
        <v>0.1</v>
      </c>
      <c r="E672" t="str">
        <f t="shared" si="30"/>
        <v>Profit</v>
      </c>
      <c r="F672" t="str">
        <f t="shared" si="31"/>
        <v>High</v>
      </c>
      <c r="G672" t="str">
        <f>VLOOKUP(A672,DataSet!$1:$1048576,5,FALSE)</f>
        <v>Rohan Kapoor</v>
      </c>
      <c r="H672" s="29">
        <f>INDEX(DataSet!B:B,MATCH('Advanced  Formulas'!A672,DataSet!A:A,0))</f>
        <v>46115</v>
      </c>
      <c r="I672" s="29">
        <f>INDEX(DataSet!C:C,MATCH('Advanced  Formulas'!A672,DataSet!A:A,0))</f>
        <v>46118</v>
      </c>
      <c r="J672" t="str">
        <f t="shared" si="32"/>
        <v>Good Order</v>
      </c>
      <c r="K672" s="10" t="str">
        <f>CONCATENATE(DataSet!E672,"-",DataSet!G672)</f>
        <v>Rohan Kapoor-Pune</v>
      </c>
    </row>
    <row r="673" spans="1:11">
      <c r="A673" t="str">
        <v>ORD-2026-00672</v>
      </c>
      <c r="B673" s="2">
        <v>720</v>
      </c>
      <c r="C673" s="2">
        <v>149.9</v>
      </c>
      <c r="D673" s="28">
        <v>0</v>
      </c>
      <c r="E673" t="str">
        <f t="shared" si="30"/>
        <v>Loss</v>
      </c>
      <c r="F673" t="str">
        <f t="shared" si="31"/>
        <v>Low</v>
      </c>
      <c r="G673" t="str">
        <f>VLOOKUP(A673,DataSet!$1:$1048576,5,FALSE)</f>
        <v>Rohan Joshi</v>
      </c>
      <c r="H673" s="29">
        <f>INDEX(DataSet!B:B,MATCH('Advanced  Formulas'!A673,DataSet!A:A,0))</f>
        <v>46194</v>
      </c>
      <c r="I673" s="29">
        <f>INDEX(DataSet!C:C,MATCH('Advanced  Formulas'!A673,DataSet!A:A,0))</f>
        <v>46195</v>
      </c>
      <c r="J673" t="str">
        <f t="shared" si="32"/>
        <v>Review</v>
      </c>
      <c r="K673" s="10" t="str">
        <f>CONCATENATE(DataSet!E673,"-",DataSet!G673)</f>
        <v>Rohan Joshi-Bengaluru</v>
      </c>
    </row>
    <row r="674" spans="1:11">
      <c r="A674" t="str">
        <v>ORD-2026-00673</v>
      </c>
      <c r="B674" s="2">
        <v>187</v>
      </c>
      <c r="C674" s="2">
        <v>57.1</v>
      </c>
      <c r="D674" s="28">
        <v>0.15</v>
      </c>
      <c r="E674" t="str">
        <f t="shared" si="30"/>
        <v>Loss</v>
      </c>
      <c r="F674" t="str">
        <f t="shared" si="31"/>
        <v>Low</v>
      </c>
      <c r="G674" t="str">
        <f>VLOOKUP(A674,DataSet!$1:$1048576,5,FALSE)</f>
        <v>Vivaan Desai</v>
      </c>
      <c r="H674" s="29">
        <f>INDEX(DataSet!B:B,MATCH('Advanced  Formulas'!A674,DataSet!A:A,0))</f>
        <v>46120</v>
      </c>
      <c r="I674" s="29">
        <f>INDEX(DataSet!C:C,MATCH('Advanced  Formulas'!A674,DataSet!A:A,0))</f>
        <v>46125</v>
      </c>
      <c r="J674" t="str">
        <f t="shared" si="32"/>
        <v>Review</v>
      </c>
      <c r="K674" s="10" t="str">
        <f>CONCATENATE(DataSet!E674,"-",DataSet!G674)</f>
        <v>Vivaan Desai-Kolkata</v>
      </c>
    </row>
    <row r="675" spans="1:11">
      <c r="A675" t="str">
        <v>ORD-2026-00674</v>
      </c>
      <c r="B675" s="2">
        <v>15120</v>
      </c>
      <c r="C675" s="2">
        <v>4469.43</v>
      </c>
      <c r="D675" s="28">
        <v>0.1</v>
      </c>
      <c r="E675" t="str">
        <f t="shared" si="30"/>
        <v>Profit</v>
      </c>
      <c r="F675" t="str">
        <f t="shared" si="31"/>
        <v>High</v>
      </c>
      <c r="G675" t="str">
        <f>VLOOKUP(A675,DataSet!$1:$1048576,5,FALSE)</f>
        <v>Isha Joshi</v>
      </c>
      <c r="H675" s="29">
        <f>INDEX(DataSet!B:B,MATCH('Advanced  Formulas'!A675,DataSet!A:A,0))</f>
        <v>46156</v>
      </c>
      <c r="I675" s="29">
        <f>INDEX(DataSet!C:C,MATCH('Advanced  Formulas'!A675,DataSet!A:A,0))</f>
        <v>46160</v>
      </c>
      <c r="J675" t="str">
        <f t="shared" si="32"/>
        <v>Good Order</v>
      </c>
      <c r="K675" s="10" t="str">
        <f>CONCATENATE(DataSet!E675,"-",DataSet!G675)</f>
        <v>Isha Joshi-Pune</v>
      </c>
    </row>
    <row r="676" spans="1:11">
      <c r="A676" t="str">
        <v>ORD-2024-00675</v>
      </c>
      <c r="B676" s="2">
        <v>3800</v>
      </c>
      <c r="C676" s="2">
        <v>1201.3599999999999</v>
      </c>
      <c r="D676" s="28">
        <v>0</v>
      </c>
      <c r="E676" t="str">
        <f t="shared" si="30"/>
        <v>Profit</v>
      </c>
      <c r="F676" t="str">
        <f t="shared" si="31"/>
        <v>Medium</v>
      </c>
      <c r="G676" t="str">
        <f>VLOOKUP(A676,DataSet!$1:$1048576,5,FALSE)</f>
        <v>Sara Khan</v>
      </c>
      <c r="H676" s="29">
        <f>INDEX(DataSet!B:B,MATCH('Advanced  Formulas'!A676,DataSet!A:A,0))</f>
        <v>45533</v>
      </c>
      <c r="I676" s="29">
        <f>INDEX(DataSet!C:C,MATCH('Advanced  Formulas'!A676,DataSet!A:A,0))</f>
        <v>45537</v>
      </c>
      <c r="J676" t="str">
        <f t="shared" si="32"/>
        <v>Good Order</v>
      </c>
      <c r="K676" s="10" t="str">
        <f>CONCATENATE(DataSet!E676,"-",DataSet!G676)</f>
        <v>Sara Khan-Vadodara</v>
      </c>
    </row>
    <row r="677" spans="1:11">
      <c r="A677" t="str">
        <v>ORD-2025-00676</v>
      </c>
      <c r="B677" s="2">
        <v>2707.5</v>
      </c>
      <c r="C677" s="2">
        <v>912.5</v>
      </c>
      <c r="D677" s="28">
        <v>0.05</v>
      </c>
      <c r="E677" t="str">
        <f t="shared" si="30"/>
        <v>Profit</v>
      </c>
      <c r="F677" t="str">
        <f t="shared" si="31"/>
        <v>Low</v>
      </c>
      <c r="G677" t="str">
        <f>VLOOKUP(A677,DataSet!$1:$1048576,5,FALSE)</f>
        <v>Arjun Kapoor</v>
      </c>
      <c r="H677" s="29">
        <f>INDEX(DataSet!B:B,MATCH('Advanced  Formulas'!A677,DataSet!A:A,0))</f>
        <v>45738</v>
      </c>
      <c r="I677" s="29">
        <f>INDEX(DataSet!C:C,MATCH('Advanced  Formulas'!A677,DataSet!A:A,0))</f>
        <v>45742</v>
      </c>
      <c r="J677" t="str">
        <f t="shared" si="32"/>
        <v>Review</v>
      </c>
      <c r="K677" s="10" t="str">
        <f>CONCATENATE(DataSet!E677,"-",DataSet!G677)</f>
        <v>Arjun Kapoor-Bengaluru</v>
      </c>
    </row>
    <row r="678" spans="1:11">
      <c r="A678" t="str">
        <v>ORD-2025-00677</v>
      </c>
      <c r="B678" s="2">
        <v>1100</v>
      </c>
      <c r="C678" s="2">
        <v>328.22</v>
      </c>
      <c r="D678" s="28">
        <v>0</v>
      </c>
      <c r="E678" t="str">
        <f t="shared" si="30"/>
        <v>Profit</v>
      </c>
      <c r="F678" t="str">
        <f t="shared" si="31"/>
        <v>Low</v>
      </c>
      <c r="G678" t="str">
        <f>VLOOKUP(A678,DataSet!$1:$1048576,5,FALSE)</f>
        <v>Kabir Sheikh</v>
      </c>
      <c r="H678" s="29">
        <f>INDEX(DataSet!B:B,MATCH('Advanced  Formulas'!A678,DataSet!A:A,0))</f>
        <v>45951</v>
      </c>
      <c r="I678" s="29">
        <f>INDEX(DataSet!C:C,MATCH('Advanced  Formulas'!A678,DataSet!A:A,0))</f>
        <v>45958</v>
      </c>
      <c r="J678" t="str">
        <f t="shared" si="32"/>
        <v>Review</v>
      </c>
      <c r="K678" s="10" t="str">
        <f>CONCATENATE(DataSet!E678,"-",DataSet!G678)</f>
        <v>Kabir Sheikh-Ahmedabad</v>
      </c>
    </row>
    <row r="679" spans="1:11">
      <c r="A679" t="str">
        <v>ORD-2025-00678</v>
      </c>
      <c r="B679" s="2">
        <v>1650</v>
      </c>
      <c r="C679" s="2">
        <v>578.98</v>
      </c>
      <c r="D679" s="28">
        <v>0</v>
      </c>
      <c r="E679" t="str">
        <f t="shared" si="30"/>
        <v>Profit</v>
      </c>
      <c r="F679" t="str">
        <f t="shared" si="31"/>
        <v>Low</v>
      </c>
      <c r="G679" t="str">
        <f>VLOOKUP(A679,DataSet!$1:$1048576,5,FALSE)</f>
        <v>Dev Sheikh</v>
      </c>
      <c r="H679" s="29">
        <f>INDEX(DataSet!B:B,MATCH('Advanced  Formulas'!A679,DataSet!A:A,0))</f>
        <v>45979</v>
      </c>
      <c r="I679" s="29">
        <f>INDEX(DataSet!C:C,MATCH('Advanced  Formulas'!A679,DataSet!A:A,0))</f>
        <v>45985</v>
      </c>
      <c r="J679" t="str">
        <f t="shared" si="32"/>
        <v>Review</v>
      </c>
      <c r="K679" s="10" t="str">
        <f>CONCATENATE(DataSet!E679,"-",DataSet!G679)</f>
        <v>Dev Sheikh-Indore</v>
      </c>
    </row>
    <row r="680" spans="1:11">
      <c r="A680" t="str">
        <v>ORD-2025-00679</v>
      </c>
      <c r="B680" s="2">
        <v>1500</v>
      </c>
      <c r="C680" s="2">
        <v>336.07</v>
      </c>
      <c r="D680" s="28">
        <v>0</v>
      </c>
      <c r="E680" t="str">
        <f t="shared" si="30"/>
        <v>Profit</v>
      </c>
      <c r="F680" t="str">
        <f t="shared" si="31"/>
        <v>Low</v>
      </c>
      <c r="G680" t="str">
        <f>VLOOKUP(A680,DataSet!$1:$1048576,5,FALSE)</f>
        <v>Aditya Trivedi</v>
      </c>
      <c r="H680" s="29">
        <f>INDEX(DataSet!B:B,MATCH('Advanced  Formulas'!A680,DataSet!A:A,0))</f>
        <v>45972</v>
      </c>
      <c r="I680" s="29">
        <f>INDEX(DataSet!C:C,MATCH('Advanced  Formulas'!A680,DataSet!A:A,0))</f>
        <v>45979</v>
      </c>
      <c r="J680" t="str">
        <f t="shared" si="32"/>
        <v>Review</v>
      </c>
      <c r="K680" s="10" t="str">
        <f>CONCATENATE(DataSet!E680,"-",DataSet!G680)</f>
        <v>Aditya Trivedi-Lucknow</v>
      </c>
    </row>
    <row r="681" spans="1:11">
      <c r="A681" t="str">
        <v>ORD-2026-00680</v>
      </c>
      <c r="B681" s="2">
        <v>600</v>
      </c>
      <c r="C681" s="2">
        <v>211.34</v>
      </c>
      <c r="D681" s="28">
        <v>0</v>
      </c>
      <c r="E681" t="str">
        <f t="shared" si="30"/>
        <v>Profit</v>
      </c>
      <c r="F681" t="str">
        <f t="shared" si="31"/>
        <v>Low</v>
      </c>
      <c r="G681" t="str">
        <f>VLOOKUP(A681,DataSet!$1:$1048576,5,FALSE)</f>
        <v>Arjun Khan</v>
      </c>
      <c r="H681" s="29">
        <f>INDEX(DataSet!B:B,MATCH('Advanced  Formulas'!A681,DataSet!A:A,0))</f>
        <v>46117</v>
      </c>
      <c r="I681" s="29">
        <f>INDEX(DataSet!C:C,MATCH('Advanced  Formulas'!A681,DataSet!A:A,0))</f>
        <v>46123</v>
      </c>
      <c r="J681" t="str">
        <f t="shared" si="32"/>
        <v>Review</v>
      </c>
      <c r="K681" s="10" t="str">
        <f>CONCATENATE(DataSet!E681,"-",DataSet!G681)</f>
        <v>Arjun Khan-Chennai</v>
      </c>
    </row>
    <row r="682" spans="1:11">
      <c r="A682" t="str">
        <v>ORD-2026-00681</v>
      </c>
      <c r="B682" s="2">
        <v>1056</v>
      </c>
      <c r="C682" s="2">
        <v>109.12</v>
      </c>
      <c r="D682" s="28">
        <v>0.2</v>
      </c>
      <c r="E682" t="str">
        <f t="shared" si="30"/>
        <v>Loss</v>
      </c>
      <c r="F682" t="str">
        <f t="shared" si="31"/>
        <v>Low</v>
      </c>
      <c r="G682" t="str">
        <f>VLOOKUP(A682,DataSet!$1:$1048576,5,FALSE)</f>
        <v>Kiara Panjwani</v>
      </c>
      <c r="H682" s="29">
        <f>INDEX(DataSet!B:B,MATCH('Advanced  Formulas'!A682,DataSet!A:A,0))</f>
        <v>46175</v>
      </c>
      <c r="I682" s="29">
        <f>INDEX(DataSet!C:C,MATCH('Advanced  Formulas'!A682,DataSet!A:A,0))</f>
        <v>46180</v>
      </c>
      <c r="J682" t="str">
        <f t="shared" si="32"/>
        <v>Review</v>
      </c>
      <c r="K682" s="10" t="str">
        <f>CONCATENATE(DataSet!E682,"-",DataSet!G682)</f>
        <v>Kiara Panjwani-Ahmedabad</v>
      </c>
    </row>
    <row r="683" spans="1:11">
      <c r="A683" t="str">
        <v>ORD-2026-00682</v>
      </c>
      <c r="B683" s="2">
        <v>2048</v>
      </c>
      <c r="C683" s="2">
        <v>520.99</v>
      </c>
      <c r="D683" s="28">
        <v>0.2</v>
      </c>
      <c r="E683" t="str">
        <f t="shared" si="30"/>
        <v>Profit</v>
      </c>
      <c r="F683" t="str">
        <f t="shared" si="31"/>
        <v>Low</v>
      </c>
      <c r="G683" t="str">
        <f>VLOOKUP(A683,DataSet!$1:$1048576,5,FALSE)</f>
        <v>Aarav Kapoor</v>
      </c>
      <c r="H683" s="29">
        <f>INDEX(DataSet!B:B,MATCH('Advanced  Formulas'!A683,DataSet!A:A,0))</f>
        <v>46278</v>
      </c>
      <c r="I683" s="29">
        <f>INDEX(DataSet!C:C,MATCH('Advanced  Formulas'!A683,DataSet!A:A,0))</f>
        <v>46281</v>
      </c>
      <c r="J683" t="str">
        <f t="shared" si="32"/>
        <v>Review</v>
      </c>
      <c r="K683" s="10" t="str">
        <f>CONCATENATE(DataSet!E683,"-",DataSet!G683)</f>
        <v>Aarav Kapoor-Indore</v>
      </c>
    </row>
    <row r="684" spans="1:11">
      <c r="A684" t="str">
        <v>ORD-2026-00683</v>
      </c>
      <c r="B684" s="2">
        <v>4037.5</v>
      </c>
      <c r="C684" s="2">
        <v>1039.58</v>
      </c>
      <c r="D684" s="28">
        <v>0.15</v>
      </c>
      <c r="E684" t="str">
        <f t="shared" si="30"/>
        <v>Profit</v>
      </c>
      <c r="F684" t="str">
        <f t="shared" si="31"/>
        <v>Medium</v>
      </c>
      <c r="G684" t="str">
        <f>VLOOKUP(A684,DataSet!$1:$1048576,5,FALSE)</f>
        <v>Zoya Sheikh</v>
      </c>
      <c r="H684" s="29">
        <f>INDEX(DataSet!B:B,MATCH('Advanced  Formulas'!A684,DataSet!A:A,0))</f>
        <v>46153</v>
      </c>
      <c r="I684" s="29">
        <f>INDEX(DataSet!C:C,MATCH('Advanced  Formulas'!A684,DataSet!A:A,0))</f>
        <v>46159</v>
      </c>
      <c r="J684" t="str">
        <f t="shared" si="32"/>
        <v>Good Order</v>
      </c>
      <c r="K684" s="10" t="str">
        <f>CONCATENATE(DataSet!E684,"-",DataSet!G684)</f>
        <v>Zoya Sheikh-Bengaluru</v>
      </c>
    </row>
    <row r="685" spans="1:11">
      <c r="A685" t="str">
        <v>ORD-2025-00684</v>
      </c>
      <c r="B685" s="2">
        <v>1440</v>
      </c>
      <c r="C685" s="2">
        <v>178.34</v>
      </c>
      <c r="D685" s="28">
        <v>0.1</v>
      </c>
      <c r="E685" t="str">
        <f t="shared" si="30"/>
        <v>Loss</v>
      </c>
      <c r="F685" t="str">
        <f t="shared" si="31"/>
        <v>Low</v>
      </c>
      <c r="G685" t="str">
        <f>VLOOKUP(A685,DataSet!$1:$1048576,5,FALSE)</f>
        <v>Arjun Joshi</v>
      </c>
      <c r="H685" s="29">
        <f>INDEX(DataSet!B:B,MATCH('Advanced  Formulas'!A685,DataSet!A:A,0))</f>
        <v>45839</v>
      </c>
      <c r="I685" s="29">
        <f>INDEX(DataSet!C:C,MATCH('Advanced  Formulas'!A685,DataSet!A:A,0))</f>
        <v>45846</v>
      </c>
      <c r="J685" t="str">
        <f t="shared" si="32"/>
        <v>Review</v>
      </c>
      <c r="K685" s="10" t="str">
        <f>CONCATENATE(DataSet!E685,"-",DataSet!G685)</f>
        <v>Arjun Joshi-Vadodara</v>
      </c>
    </row>
    <row r="686" spans="1:11">
      <c r="A686" t="str">
        <v>ORD-2024-00685</v>
      </c>
      <c r="B686" s="2">
        <v>720</v>
      </c>
      <c r="C686" s="2">
        <v>175.94</v>
      </c>
      <c r="D686" s="28">
        <v>0.2</v>
      </c>
      <c r="E686" t="str">
        <f t="shared" si="30"/>
        <v>Loss</v>
      </c>
      <c r="F686" t="str">
        <f t="shared" si="31"/>
        <v>Low</v>
      </c>
      <c r="G686" t="str">
        <f>VLOOKUP(A686,DataSet!$1:$1048576,5,FALSE)</f>
        <v>Arjun Rao</v>
      </c>
      <c r="H686" s="29">
        <f>INDEX(DataSet!B:B,MATCH('Advanced  Formulas'!A686,DataSet!A:A,0))</f>
        <v>45596</v>
      </c>
      <c r="I686" s="29">
        <f>INDEX(DataSet!C:C,MATCH('Advanced  Formulas'!A686,DataSet!A:A,0))</f>
        <v>45598</v>
      </c>
      <c r="J686" t="str">
        <f t="shared" si="32"/>
        <v>Review</v>
      </c>
      <c r="K686" s="10" t="str">
        <f>CONCATENATE(DataSet!E686,"-",DataSet!G686)</f>
        <v>Arjun Rao-Kolkata</v>
      </c>
    </row>
    <row r="687" spans="1:11">
      <c r="A687" t="str">
        <v>ORD-2025-00686</v>
      </c>
      <c r="B687" s="2">
        <v>1500</v>
      </c>
      <c r="C687" s="2">
        <v>297.58999999999997</v>
      </c>
      <c r="D687" s="28">
        <v>0</v>
      </c>
      <c r="E687" t="str">
        <f t="shared" si="30"/>
        <v>Profit</v>
      </c>
      <c r="F687" t="str">
        <f t="shared" si="31"/>
        <v>Low</v>
      </c>
      <c r="G687" t="str">
        <f>VLOOKUP(A687,DataSet!$1:$1048576,5,FALSE)</f>
        <v>Kabir Trivedi</v>
      </c>
      <c r="H687" s="29">
        <f>INDEX(DataSet!B:B,MATCH('Advanced  Formulas'!A687,DataSet!A:A,0))</f>
        <v>45774</v>
      </c>
      <c r="I687" s="29">
        <f>INDEX(DataSet!C:C,MATCH('Advanced  Formulas'!A687,DataSet!A:A,0))</f>
        <v>45780</v>
      </c>
      <c r="J687" t="str">
        <f t="shared" si="32"/>
        <v>Review</v>
      </c>
      <c r="K687" s="10" t="str">
        <f>CONCATENATE(DataSet!E687,"-",DataSet!G687)</f>
        <v>Kabir Trivedi-Pune</v>
      </c>
    </row>
    <row r="688" spans="1:11">
      <c r="A688" t="str">
        <v>ORD-2026-00687</v>
      </c>
      <c r="B688" s="2">
        <v>750</v>
      </c>
      <c r="C688" s="2">
        <v>159.93</v>
      </c>
      <c r="D688" s="28">
        <v>0</v>
      </c>
      <c r="E688" t="str">
        <f t="shared" si="30"/>
        <v>Loss</v>
      </c>
      <c r="F688" t="str">
        <f t="shared" si="31"/>
        <v>Low</v>
      </c>
      <c r="G688" t="str">
        <f>VLOOKUP(A688,DataSet!$1:$1048576,5,FALSE)</f>
        <v>Rohan Iyer</v>
      </c>
      <c r="H688" s="29">
        <f>INDEX(DataSet!B:B,MATCH('Advanced  Formulas'!A688,DataSet!A:A,0))</f>
        <v>46038</v>
      </c>
      <c r="I688" s="29">
        <f>INDEX(DataSet!C:C,MATCH('Advanced  Formulas'!A688,DataSet!A:A,0))</f>
        <v>46045</v>
      </c>
      <c r="J688" t="str">
        <f t="shared" si="32"/>
        <v>Review</v>
      </c>
      <c r="K688" s="10" t="str">
        <f>CONCATENATE(DataSet!E688,"-",DataSet!G688)</f>
        <v>Rohan Iyer-Delhi</v>
      </c>
    </row>
    <row r="689" spans="1:11">
      <c r="A689" t="str">
        <v>ORD-2024-00688</v>
      </c>
      <c r="B689" s="2">
        <v>5600</v>
      </c>
      <c r="C689" s="2">
        <v>1898.21</v>
      </c>
      <c r="D689" s="28">
        <v>0</v>
      </c>
      <c r="E689" t="str">
        <f t="shared" si="30"/>
        <v>Profit</v>
      </c>
      <c r="F689" t="str">
        <f t="shared" si="31"/>
        <v>Medium</v>
      </c>
      <c r="G689" t="str">
        <f>VLOOKUP(A689,DataSet!$1:$1048576,5,FALSE)</f>
        <v>Vivaan Rao</v>
      </c>
      <c r="H689" s="29">
        <f>INDEX(DataSet!B:B,MATCH('Advanced  Formulas'!A689,DataSet!A:A,0))</f>
        <v>45295</v>
      </c>
      <c r="I689" s="29">
        <f>INDEX(DataSet!C:C,MATCH('Advanced  Formulas'!A689,DataSet!A:A,0))</f>
        <v>45299</v>
      </c>
      <c r="J689" t="str">
        <f t="shared" si="32"/>
        <v>Good Order</v>
      </c>
      <c r="K689" s="10" t="str">
        <f>CONCATENATE(DataSet!E689,"-",DataSet!G689)</f>
        <v>Vivaan Rao-Vadodara</v>
      </c>
    </row>
    <row r="690" spans="1:11">
      <c r="A690" t="str">
        <v>ORD-2026-00689</v>
      </c>
      <c r="B690" s="2">
        <v>1750</v>
      </c>
      <c r="C690" s="2">
        <v>352.2</v>
      </c>
      <c r="D690" s="28">
        <v>0</v>
      </c>
      <c r="E690" t="str">
        <f t="shared" si="30"/>
        <v>Profit</v>
      </c>
      <c r="F690" t="str">
        <f t="shared" si="31"/>
        <v>Low</v>
      </c>
      <c r="G690" t="str">
        <f>VLOOKUP(A690,DataSet!$1:$1048576,5,FALSE)</f>
        <v>Aditya Iyer</v>
      </c>
      <c r="H690" s="29">
        <f>INDEX(DataSet!B:B,MATCH('Advanced  Formulas'!A690,DataSet!A:A,0))</f>
        <v>46103</v>
      </c>
      <c r="I690" s="29">
        <f>INDEX(DataSet!C:C,MATCH('Advanced  Formulas'!A690,DataSet!A:A,0))</f>
        <v>46106</v>
      </c>
      <c r="J690" t="str">
        <f t="shared" si="32"/>
        <v>Review</v>
      </c>
      <c r="K690" s="10" t="str">
        <f>CONCATENATE(DataSet!E690,"-",DataSet!G690)</f>
        <v>Aditya Iyer-Jaipur</v>
      </c>
    </row>
    <row r="691" spans="1:11">
      <c r="A691" t="str">
        <v>ORD-2024-00690</v>
      </c>
      <c r="B691" s="2">
        <v>892.5</v>
      </c>
      <c r="C691" s="2">
        <v>266.98</v>
      </c>
      <c r="D691" s="28">
        <v>0.15</v>
      </c>
      <c r="E691" t="str">
        <f t="shared" si="30"/>
        <v>Profit</v>
      </c>
      <c r="F691" t="str">
        <f t="shared" si="31"/>
        <v>Low</v>
      </c>
      <c r="G691" t="str">
        <f>VLOOKUP(A691,DataSet!$1:$1048576,5,FALSE)</f>
        <v>Aarav Sheikh</v>
      </c>
      <c r="H691" s="29">
        <f>INDEX(DataSet!B:B,MATCH('Advanced  Formulas'!A691,DataSet!A:A,0))</f>
        <v>45378</v>
      </c>
      <c r="I691" s="29">
        <f>INDEX(DataSet!C:C,MATCH('Advanced  Formulas'!A691,DataSet!A:A,0))</f>
        <v>45382</v>
      </c>
      <c r="J691" t="str">
        <f t="shared" si="32"/>
        <v>Review</v>
      </c>
      <c r="K691" s="10" t="str">
        <f>CONCATENATE(DataSet!E691,"-",DataSet!G691)</f>
        <v>Aarav Sheikh-Mumbai</v>
      </c>
    </row>
    <row r="692" spans="1:11">
      <c r="A692" t="str">
        <v>ORD-2025-00691</v>
      </c>
      <c r="B692" s="2">
        <v>2090</v>
      </c>
      <c r="C692" s="2">
        <v>397.46</v>
      </c>
      <c r="D692" s="28">
        <v>0.05</v>
      </c>
      <c r="E692" t="str">
        <f t="shared" si="30"/>
        <v>Profit</v>
      </c>
      <c r="F692" t="str">
        <f t="shared" si="31"/>
        <v>Low</v>
      </c>
      <c r="G692" t="str">
        <f>VLOOKUP(A692,DataSet!$1:$1048576,5,FALSE)</f>
        <v>Diya Panjwani</v>
      </c>
      <c r="H692" s="29">
        <f>INDEX(DataSet!B:B,MATCH('Advanced  Formulas'!A692,DataSet!A:A,0))</f>
        <v>45933</v>
      </c>
      <c r="I692" s="29">
        <f>INDEX(DataSet!C:C,MATCH('Advanced  Formulas'!A692,DataSet!A:A,0))</f>
        <v>45935</v>
      </c>
      <c r="J692" t="str">
        <f t="shared" si="32"/>
        <v>Review</v>
      </c>
      <c r="K692" s="10" t="str">
        <f>CONCATENATE(DataSet!E692,"-",DataSet!G692)</f>
        <v>Diya Panjwani-Indore</v>
      </c>
    </row>
    <row r="693" spans="1:11">
      <c r="A693" t="str">
        <v>ORD-2025-00692</v>
      </c>
      <c r="B693" s="2">
        <v>3697.5</v>
      </c>
      <c r="C693" s="2">
        <v>1209.04</v>
      </c>
      <c r="D693" s="28">
        <v>0.15</v>
      </c>
      <c r="E693" t="str">
        <f t="shared" si="30"/>
        <v>Profit</v>
      </c>
      <c r="F693" t="str">
        <f t="shared" si="31"/>
        <v>Medium</v>
      </c>
      <c r="G693" t="str">
        <f>VLOOKUP(A693,DataSet!$1:$1048576,5,FALSE)</f>
        <v>Dev Panjwani</v>
      </c>
      <c r="H693" s="29">
        <f>INDEX(DataSet!B:B,MATCH('Advanced  Formulas'!A693,DataSet!A:A,0))</f>
        <v>45906</v>
      </c>
      <c r="I693" s="29">
        <f>INDEX(DataSet!C:C,MATCH('Advanced  Formulas'!A693,DataSet!A:A,0))</f>
        <v>45909</v>
      </c>
      <c r="J693" t="str">
        <f t="shared" si="32"/>
        <v>Good Order</v>
      </c>
      <c r="K693" s="10" t="str">
        <f>CONCATENATE(DataSet!E693,"-",DataSet!G693)</f>
        <v>Dev Panjwani-Surat</v>
      </c>
    </row>
    <row r="694" spans="1:11">
      <c r="A694" t="str">
        <v>ORD-2024-00693</v>
      </c>
      <c r="B694" s="2">
        <v>570</v>
      </c>
      <c r="C694" s="2">
        <v>101.7</v>
      </c>
      <c r="D694" s="28">
        <v>0.05</v>
      </c>
      <c r="E694" t="str">
        <f t="shared" si="30"/>
        <v>Loss</v>
      </c>
      <c r="F694" t="str">
        <f t="shared" si="31"/>
        <v>Low</v>
      </c>
      <c r="G694" t="str">
        <f>VLOOKUP(A694,DataSet!$1:$1048576,5,FALSE)</f>
        <v>Vivaan Panjwani</v>
      </c>
      <c r="H694" s="29">
        <f>INDEX(DataSet!B:B,MATCH('Advanced  Formulas'!A694,DataSet!A:A,0))</f>
        <v>45413</v>
      </c>
      <c r="I694" s="29">
        <f>INDEX(DataSet!C:C,MATCH('Advanced  Formulas'!A694,DataSet!A:A,0))</f>
        <v>45415</v>
      </c>
      <c r="J694" t="str">
        <f t="shared" si="32"/>
        <v>Review</v>
      </c>
      <c r="K694" s="10" t="str">
        <f>CONCATENATE(DataSet!E694,"-",DataSet!G694)</f>
        <v>Vivaan Panjwani-Chennai</v>
      </c>
    </row>
    <row r="695" spans="1:11">
      <c r="A695" t="str">
        <v>ORD-2024-00694</v>
      </c>
      <c r="B695" s="2">
        <v>405</v>
      </c>
      <c r="C695" s="2">
        <v>64.38</v>
      </c>
      <c r="D695" s="28">
        <v>0.1</v>
      </c>
      <c r="E695" t="str">
        <f t="shared" si="30"/>
        <v>Loss</v>
      </c>
      <c r="F695" t="str">
        <f t="shared" si="31"/>
        <v>Low</v>
      </c>
      <c r="G695" t="str">
        <f>VLOOKUP(A695,DataSet!$1:$1048576,5,FALSE)</f>
        <v>Sara Joshi</v>
      </c>
      <c r="H695" s="29">
        <f>INDEX(DataSet!B:B,MATCH('Advanced  Formulas'!A695,DataSet!A:A,0))</f>
        <v>45512</v>
      </c>
      <c r="I695" s="29">
        <f>INDEX(DataSet!C:C,MATCH('Advanced  Formulas'!A695,DataSet!A:A,0))</f>
        <v>45519</v>
      </c>
      <c r="J695" t="str">
        <f t="shared" si="32"/>
        <v>Review</v>
      </c>
      <c r="K695" s="10" t="str">
        <f>CONCATENATE(DataSet!E695,"-",DataSet!G695)</f>
        <v>Sara Joshi-Rajkot</v>
      </c>
    </row>
    <row r="696" spans="1:11">
      <c r="A696" t="str">
        <v>ORD-2025-00695</v>
      </c>
      <c r="B696" s="2">
        <v>990</v>
      </c>
      <c r="C696" s="2">
        <v>327.06</v>
      </c>
      <c r="D696" s="28">
        <v>0.1</v>
      </c>
      <c r="E696" t="str">
        <f t="shared" si="30"/>
        <v>Profit</v>
      </c>
      <c r="F696" t="str">
        <f t="shared" si="31"/>
        <v>Low</v>
      </c>
      <c r="G696" t="str">
        <f>VLOOKUP(A696,DataSet!$1:$1048576,5,FALSE)</f>
        <v>Krish Kapoor</v>
      </c>
      <c r="H696" s="29">
        <f>INDEX(DataSet!B:B,MATCH('Advanced  Formulas'!A696,DataSet!A:A,0))</f>
        <v>45753</v>
      </c>
      <c r="I696" s="29">
        <f>INDEX(DataSet!C:C,MATCH('Advanced  Formulas'!A696,DataSet!A:A,0))</f>
        <v>45755</v>
      </c>
      <c r="J696" t="str">
        <f t="shared" si="32"/>
        <v>Review</v>
      </c>
      <c r="K696" s="10" t="str">
        <f>CONCATENATE(DataSet!E696,"-",DataSet!G696)</f>
        <v>Krish Kapoor-Mumbai</v>
      </c>
    </row>
    <row r="697" spans="1:11">
      <c r="A697" t="str">
        <v>ORD-2025-00696</v>
      </c>
      <c r="B697" s="2">
        <v>7140</v>
      </c>
      <c r="C697" s="2">
        <v>2443.48</v>
      </c>
      <c r="D697" s="28">
        <v>0.15</v>
      </c>
      <c r="E697" t="str">
        <f t="shared" si="30"/>
        <v>Profit</v>
      </c>
      <c r="F697" t="str">
        <f t="shared" si="31"/>
        <v>High</v>
      </c>
      <c r="G697" t="str">
        <f>VLOOKUP(A697,DataSet!$1:$1048576,5,FALSE)</f>
        <v>Myra Khan</v>
      </c>
      <c r="H697" s="29">
        <f>INDEX(DataSet!B:B,MATCH('Advanced  Formulas'!A697,DataSet!A:A,0))</f>
        <v>46017</v>
      </c>
      <c r="I697" s="29">
        <f>INDEX(DataSet!C:C,MATCH('Advanced  Formulas'!A697,DataSet!A:A,0))</f>
        <v>46021</v>
      </c>
      <c r="J697" t="str">
        <f t="shared" si="32"/>
        <v>Good Order</v>
      </c>
      <c r="K697" s="10" t="str">
        <f>CONCATENATE(DataSet!E697,"-",DataSet!G697)</f>
        <v>Myra Khan-Chennai</v>
      </c>
    </row>
    <row r="698" spans="1:11">
      <c r="A698" t="str">
        <v>ORD-2026-00697</v>
      </c>
      <c r="B698" s="2">
        <v>2762.5</v>
      </c>
      <c r="C698" s="2">
        <v>542.52</v>
      </c>
      <c r="D698" s="28">
        <v>0.15</v>
      </c>
      <c r="E698" t="str">
        <f t="shared" si="30"/>
        <v>Profit</v>
      </c>
      <c r="F698" t="str">
        <f t="shared" si="31"/>
        <v>Low</v>
      </c>
      <c r="G698" t="str">
        <f>VLOOKUP(A698,DataSet!$1:$1048576,5,FALSE)</f>
        <v>Krish Kapoor</v>
      </c>
      <c r="H698" s="29">
        <f>INDEX(DataSet!B:B,MATCH('Advanced  Formulas'!A698,DataSet!A:A,0))</f>
        <v>46253</v>
      </c>
      <c r="I698" s="29">
        <f>INDEX(DataSet!C:C,MATCH('Advanced  Formulas'!A698,DataSet!A:A,0))</f>
        <v>46259</v>
      </c>
      <c r="J698" t="str">
        <f t="shared" si="32"/>
        <v>Review</v>
      </c>
      <c r="K698" s="10" t="str">
        <f>CONCATENATE(DataSet!E698,"-",DataSet!G698)</f>
        <v>Krish Kapoor-Hyderabad</v>
      </c>
    </row>
    <row r="699" spans="1:11">
      <c r="A699" t="str">
        <v>ORD-2026-00698</v>
      </c>
      <c r="B699" s="2">
        <v>816</v>
      </c>
      <c r="C699" s="2">
        <v>187.16</v>
      </c>
      <c r="D699" s="28">
        <v>0.15</v>
      </c>
      <c r="E699" t="str">
        <f t="shared" si="30"/>
        <v>Loss</v>
      </c>
      <c r="F699" t="str">
        <f t="shared" si="31"/>
        <v>Low</v>
      </c>
      <c r="G699" t="str">
        <f>VLOOKUP(A699,DataSet!$1:$1048576,5,FALSE)</f>
        <v>Rohan Mehta</v>
      </c>
      <c r="H699" s="29">
        <f>INDEX(DataSet!B:B,MATCH('Advanced  Formulas'!A699,DataSet!A:A,0))</f>
        <v>46283</v>
      </c>
      <c r="I699" s="29">
        <f>INDEX(DataSet!C:C,MATCH('Advanced  Formulas'!A699,DataSet!A:A,0))</f>
        <v>46288</v>
      </c>
      <c r="J699" t="str">
        <f t="shared" si="32"/>
        <v>Review</v>
      </c>
      <c r="K699" s="10" t="str">
        <f>CONCATENATE(DataSet!E699,"-",DataSet!G699)</f>
        <v>Rohan Mehta-Ahmedabad</v>
      </c>
    </row>
    <row r="700" spans="1:11">
      <c r="A700" t="str">
        <v>ORD-2025-00699</v>
      </c>
      <c r="B700" s="2">
        <v>608</v>
      </c>
      <c r="C700" s="2">
        <v>219.5</v>
      </c>
      <c r="D700" s="28">
        <v>0.05</v>
      </c>
      <c r="E700" t="str">
        <f t="shared" si="30"/>
        <v>Profit</v>
      </c>
      <c r="F700" t="str">
        <f t="shared" si="31"/>
        <v>Low</v>
      </c>
      <c r="G700" t="str">
        <f>VLOOKUP(A700,DataSet!$1:$1048576,5,FALSE)</f>
        <v>Fatima Rao</v>
      </c>
      <c r="H700" s="29">
        <f>INDEX(DataSet!B:B,MATCH('Advanced  Formulas'!A700,DataSet!A:A,0))</f>
        <v>46019</v>
      </c>
      <c r="I700" s="29">
        <f>INDEX(DataSet!C:C,MATCH('Advanced  Formulas'!A700,DataSet!A:A,0))</f>
        <v>46024</v>
      </c>
      <c r="J700" t="str">
        <f t="shared" si="32"/>
        <v>Review</v>
      </c>
      <c r="K700" s="10" t="str">
        <f>CONCATENATE(DataSet!E700,"-",DataSet!G700)</f>
        <v>Fatima Rao-Pune</v>
      </c>
    </row>
    <row r="701" spans="1:11">
      <c r="A701" t="str">
        <v>ORD-2026-00700</v>
      </c>
      <c r="B701" s="2">
        <v>13175</v>
      </c>
      <c r="C701" s="2">
        <v>3637.85</v>
      </c>
      <c r="D701" s="28">
        <v>0.15</v>
      </c>
      <c r="E701" t="str">
        <f t="shared" si="30"/>
        <v>Profit</v>
      </c>
      <c r="F701" t="str">
        <f t="shared" si="31"/>
        <v>High</v>
      </c>
      <c r="G701" t="str">
        <f>VLOOKUP(A701,DataSet!$1:$1048576,5,FALSE)</f>
        <v>Isha Trivedi</v>
      </c>
      <c r="H701" s="29">
        <f>INDEX(DataSet!B:B,MATCH('Advanced  Formulas'!A701,DataSet!A:A,0))</f>
        <v>46240</v>
      </c>
      <c r="I701" s="29">
        <f>INDEX(DataSet!C:C,MATCH('Advanced  Formulas'!A701,DataSet!A:A,0))</f>
        <v>46244</v>
      </c>
      <c r="J701" t="str">
        <f t="shared" si="32"/>
        <v>Good Order</v>
      </c>
      <c r="K701" s="10" t="str">
        <f>CONCATENATE(DataSet!E701,"-",DataSet!G701)</f>
        <v>Isha Trivedi-Rajkot</v>
      </c>
    </row>
    <row r="702" spans="1:11">
      <c r="A702" t="str">
        <v>ORD-2026-00701</v>
      </c>
      <c r="B702" s="2">
        <v>4400</v>
      </c>
      <c r="C702" s="2">
        <v>1609.58</v>
      </c>
      <c r="D702" s="28">
        <v>0</v>
      </c>
      <c r="E702" t="str">
        <f t="shared" si="30"/>
        <v>Profit</v>
      </c>
      <c r="F702" t="str">
        <f t="shared" si="31"/>
        <v>Medium</v>
      </c>
      <c r="G702" t="str">
        <f>VLOOKUP(A702,DataSet!$1:$1048576,5,FALSE)</f>
        <v>Diya Khan</v>
      </c>
      <c r="H702" s="29">
        <f>INDEX(DataSet!B:B,MATCH('Advanced  Formulas'!A702,DataSet!A:A,0))</f>
        <v>46074</v>
      </c>
      <c r="I702" s="29">
        <f>INDEX(DataSet!C:C,MATCH('Advanced  Formulas'!A702,DataSet!A:A,0))</f>
        <v>46076</v>
      </c>
      <c r="J702" t="str">
        <f t="shared" si="32"/>
        <v>Good Order</v>
      </c>
      <c r="K702" s="10" t="str">
        <f>CONCATENATE(DataSet!E702,"-",DataSet!G702)</f>
        <v>Diya Khan-Delhi</v>
      </c>
    </row>
    <row r="703" spans="1:11">
      <c r="A703" t="str">
        <v>ORD-2025-00702</v>
      </c>
      <c r="B703" s="2">
        <v>495</v>
      </c>
      <c r="C703" s="2">
        <v>134.79</v>
      </c>
      <c r="D703" s="28">
        <v>0.1</v>
      </c>
      <c r="E703" t="str">
        <f t="shared" si="30"/>
        <v>Loss</v>
      </c>
      <c r="F703" t="str">
        <f t="shared" si="31"/>
        <v>Low</v>
      </c>
      <c r="G703" t="str">
        <f>VLOOKUP(A703,DataSet!$1:$1048576,5,FALSE)</f>
        <v>Kiara Khan</v>
      </c>
      <c r="H703" s="29">
        <f>INDEX(DataSet!B:B,MATCH('Advanced  Formulas'!A703,DataSet!A:A,0))</f>
        <v>46014</v>
      </c>
      <c r="I703" s="29">
        <f>INDEX(DataSet!C:C,MATCH('Advanced  Formulas'!A703,DataSet!A:A,0))</f>
        <v>46018</v>
      </c>
      <c r="J703" t="str">
        <f t="shared" si="32"/>
        <v>Review</v>
      </c>
      <c r="K703" s="10" t="str">
        <f>CONCATENATE(DataSet!E703,"-",DataSet!G703)</f>
        <v>Kiara Khan-Pune</v>
      </c>
    </row>
    <row r="704" spans="1:11">
      <c r="A704" t="str">
        <v>ORD-2024-00703</v>
      </c>
      <c r="B704" s="2">
        <v>1080</v>
      </c>
      <c r="C704" s="2">
        <v>353.19</v>
      </c>
      <c r="D704" s="28">
        <v>0</v>
      </c>
      <c r="E704" t="str">
        <f t="shared" si="30"/>
        <v>Profit</v>
      </c>
      <c r="F704" t="str">
        <f t="shared" si="31"/>
        <v>Low</v>
      </c>
      <c r="G704" t="str">
        <f>VLOOKUP(A704,DataSet!$1:$1048576,5,FALSE)</f>
        <v>Isha Rao</v>
      </c>
      <c r="H704" s="29">
        <f>INDEX(DataSet!B:B,MATCH('Advanced  Formulas'!A704,DataSet!A:A,0))</f>
        <v>45407</v>
      </c>
      <c r="I704" s="29">
        <f>INDEX(DataSet!C:C,MATCH('Advanced  Formulas'!A704,DataSet!A:A,0))</f>
        <v>45414</v>
      </c>
      <c r="J704" t="str">
        <f t="shared" si="32"/>
        <v>Review</v>
      </c>
      <c r="K704" s="10" t="str">
        <f>CONCATENATE(DataSet!E704,"-",DataSet!G704)</f>
        <v>Isha Rao-Chennai</v>
      </c>
    </row>
    <row r="705" spans="1:11">
      <c r="A705" t="str">
        <v>ORD-2026-00704</v>
      </c>
      <c r="B705" s="2">
        <v>76.5</v>
      </c>
      <c r="C705" s="2">
        <v>12.1</v>
      </c>
      <c r="D705" s="28">
        <v>0.15</v>
      </c>
      <c r="E705" t="str">
        <f t="shared" si="30"/>
        <v>Loss</v>
      </c>
      <c r="F705" t="str">
        <f t="shared" si="31"/>
        <v>Low</v>
      </c>
      <c r="G705" t="str">
        <f>VLOOKUP(A705,DataSet!$1:$1048576,5,FALSE)</f>
        <v>Aanya Sheikh</v>
      </c>
      <c r="H705" s="29">
        <f>INDEX(DataSet!B:B,MATCH('Advanced  Formulas'!A705,DataSet!A:A,0))</f>
        <v>46134</v>
      </c>
      <c r="I705" s="29">
        <f>INDEX(DataSet!C:C,MATCH('Advanced  Formulas'!A705,DataSet!A:A,0))</f>
        <v>46137</v>
      </c>
      <c r="J705" t="str">
        <f t="shared" si="32"/>
        <v>Review</v>
      </c>
      <c r="K705" s="10" t="str">
        <f>CONCATENATE(DataSet!E705,"-",DataSet!G705)</f>
        <v>Aanya Sheikh-Lucknow</v>
      </c>
    </row>
    <row r="706" spans="1:11">
      <c r="A706" t="str">
        <v>ORD-2026-00705</v>
      </c>
      <c r="B706" s="2">
        <v>1377.5</v>
      </c>
      <c r="C706" s="2">
        <v>269.11</v>
      </c>
      <c r="D706" s="28">
        <v>0.05</v>
      </c>
      <c r="E706" t="str">
        <f t="shared" si="30"/>
        <v>Profit</v>
      </c>
      <c r="F706" t="str">
        <f t="shared" si="31"/>
        <v>Low</v>
      </c>
      <c r="G706" t="str">
        <f>VLOOKUP(A706,DataSet!$1:$1048576,5,FALSE)</f>
        <v>Anaya Panjwani</v>
      </c>
      <c r="H706" s="29">
        <f>INDEX(DataSet!B:B,MATCH('Advanced  Formulas'!A706,DataSet!A:A,0))</f>
        <v>46078</v>
      </c>
      <c r="I706" s="29">
        <f>INDEX(DataSet!C:C,MATCH('Advanced  Formulas'!A706,DataSet!A:A,0))</f>
        <v>46082</v>
      </c>
      <c r="J706" t="str">
        <f t="shared" si="32"/>
        <v>Review</v>
      </c>
      <c r="K706" s="10" t="str">
        <f>CONCATENATE(DataSet!E706,"-",DataSet!G706)</f>
        <v>Anaya Panjwani-Bengaluru</v>
      </c>
    </row>
    <row r="707" spans="1:11">
      <c r="A707" t="str">
        <v>ORD-2026-00706</v>
      </c>
      <c r="B707" s="2">
        <v>6500</v>
      </c>
      <c r="C707" s="2">
        <v>1692.21</v>
      </c>
      <c r="D707" s="28">
        <v>0</v>
      </c>
      <c r="E707" t="str">
        <f t="shared" ref="E707:E770" si="33">IF(C707&gt;200,"Profit","Loss")</f>
        <v>Profit</v>
      </c>
      <c r="F707" t="str">
        <f t="shared" ref="F707:F770" si="34">IF(B707&gt;6000,"High",IF(B707&gt;=3000,"Medium",IF(B707&lt;3000,"Low")))</f>
        <v>High</v>
      </c>
      <c r="G707" t="str">
        <f>VLOOKUP(A707,DataSet!$1:$1048576,5,FALSE)</f>
        <v>Fatima Khan</v>
      </c>
      <c r="H707" s="29">
        <f>INDEX(DataSet!B:B,MATCH('Advanced  Formulas'!A707,DataSet!A:A,0))</f>
        <v>46243</v>
      </c>
      <c r="I707" s="29">
        <f>INDEX(DataSet!C:C,MATCH('Advanced  Formulas'!A707,DataSet!A:A,0))</f>
        <v>46244</v>
      </c>
      <c r="J707" t="str">
        <f t="shared" ref="J707:J770" si="35">IF(AND(B707&gt;3000,C707&gt;0),"Good Order","Review")</f>
        <v>Good Order</v>
      </c>
      <c r="K707" s="10" t="str">
        <f>CONCATENATE(DataSet!E707,"-",DataSet!G707)</f>
        <v>Fatima Khan-Kolkata</v>
      </c>
    </row>
    <row r="708" spans="1:11">
      <c r="A708" t="str">
        <v>ORD-2025-00707</v>
      </c>
      <c r="B708" s="2">
        <v>31920</v>
      </c>
      <c r="C708" s="2">
        <v>4027.39</v>
      </c>
      <c r="D708" s="28">
        <v>0.05</v>
      </c>
      <c r="E708" t="str">
        <f t="shared" si="33"/>
        <v>Profit</v>
      </c>
      <c r="F708" t="str">
        <f t="shared" si="34"/>
        <v>High</v>
      </c>
      <c r="G708" t="str">
        <f>VLOOKUP(A708,DataSet!$1:$1048576,5,FALSE)</f>
        <v>Yusuf Mehta</v>
      </c>
      <c r="H708" s="29">
        <f>INDEX(DataSet!B:B,MATCH('Advanced  Formulas'!A708,DataSet!A:A,0))</f>
        <v>45900</v>
      </c>
      <c r="I708" s="29">
        <f>INDEX(DataSet!C:C,MATCH('Advanced  Formulas'!A708,DataSet!A:A,0))</f>
        <v>45906</v>
      </c>
      <c r="J708" t="str">
        <f t="shared" si="35"/>
        <v>Good Order</v>
      </c>
      <c r="K708" s="10" t="str">
        <f>CONCATENATE(DataSet!E708,"-",DataSet!G708)</f>
        <v>Yusuf Mehta-Ahmedabad</v>
      </c>
    </row>
    <row r="709" spans="1:11">
      <c r="A709" t="str">
        <v>ORD-2026-00708</v>
      </c>
      <c r="B709" s="2">
        <v>7140</v>
      </c>
      <c r="C709" s="2">
        <v>785.44</v>
      </c>
      <c r="D709" s="28">
        <v>0.15</v>
      </c>
      <c r="E709" t="str">
        <f t="shared" si="33"/>
        <v>Profit</v>
      </c>
      <c r="F709" t="str">
        <f t="shared" si="34"/>
        <v>High</v>
      </c>
      <c r="G709" t="str">
        <f>VLOOKUP(A709,DataSet!$1:$1048576,5,FALSE)</f>
        <v>Kabir Panjwani</v>
      </c>
      <c r="H709" s="29">
        <f>INDEX(DataSet!B:B,MATCH('Advanced  Formulas'!A709,DataSet!A:A,0))</f>
        <v>46112</v>
      </c>
      <c r="I709" s="29">
        <f>INDEX(DataSet!C:C,MATCH('Advanced  Formulas'!A709,DataSet!A:A,0))</f>
        <v>46118</v>
      </c>
      <c r="J709" t="str">
        <f t="shared" si="35"/>
        <v>Good Order</v>
      </c>
      <c r="K709" s="10" t="str">
        <f>CONCATENATE(DataSet!E709,"-",DataSet!G709)</f>
        <v>Kabir Panjwani-Rajkot</v>
      </c>
    </row>
    <row r="710" spans="1:11">
      <c r="A710" t="str">
        <v>ORD-2024-00709</v>
      </c>
      <c r="B710" s="2">
        <v>1100</v>
      </c>
      <c r="C710" s="2">
        <v>371.4</v>
      </c>
      <c r="D710" s="28">
        <v>0</v>
      </c>
      <c r="E710" t="str">
        <f t="shared" si="33"/>
        <v>Profit</v>
      </c>
      <c r="F710" t="str">
        <f t="shared" si="34"/>
        <v>Low</v>
      </c>
      <c r="G710" t="str">
        <f>VLOOKUP(A710,DataSet!$1:$1048576,5,FALSE)</f>
        <v>Krish Joshi</v>
      </c>
      <c r="H710" s="29">
        <f>INDEX(DataSet!B:B,MATCH('Advanced  Formulas'!A710,DataSet!A:A,0))</f>
        <v>45537</v>
      </c>
      <c r="I710" s="29">
        <f>INDEX(DataSet!C:C,MATCH('Advanced  Formulas'!A710,DataSet!A:A,0))</f>
        <v>45544</v>
      </c>
      <c r="J710" t="str">
        <f t="shared" si="35"/>
        <v>Review</v>
      </c>
      <c r="K710" s="10" t="str">
        <f>CONCATENATE(DataSet!E710,"-",DataSet!G710)</f>
        <v>Krish Joshi-Kolkata</v>
      </c>
    </row>
    <row r="711" spans="1:11">
      <c r="A711" t="str">
        <v>ORD-2024-00710</v>
      </c>
      <c r="B711" s="2">
        <v>5415</v>
      </c>
      <c r="C711" s="2">
        <v>1080.0999999999999</v>
      </c>
      <c r="D711" s="28">
        <v>0.05</v>
      </c>
      <c r="E711" t="str">
        <f t="shared" si="33"/>
        <v>Profit</v>
      </c>
      <c r="F711" t="str">
        <f t="shared" si="34"/>
        <v>Medium</v>
      </c>
      <c r="G711" t="str">
        <f>VLOOKUP(A711,DataSet!$1:$1048576,5,FALSE)</f>
        <v>Zoya Soni</v>
      </c>
      <c r="H711" s="29">
        <f>INDEX(DataSet!B:B,MATCH('Advanced  Formulas'!A711,DataSet!A:A,0))</f>
        <v>45415</v>
      </c>
      <c r="I711" s="29">
        <f>INDEX(DataSet!C:C,MATCH('Advanced  Formulas'!A711,DataSet!A:A,0))</f>
        <v>45418</v>
      </c>
      <c r="J711" t="str">
        <f t="shared" si="35"/>
        <v>Good Order</v>
      </c>
      <c r="K711" s="10" t="str">
        <f>CONCATENATE(DataSet!E711,"-",DataSet!G711)</f>
        <v>Zoya Soni-Jaipur</v>
      </c>
    </row>
    <row r="712" spans="1:11">
      <c r="A712" t="str">
        <v>ORD-2025-00711</v>
      </c>
      <c r="B712" s="2">
        <v>21700</v>
      </c>
      <c r="C712" s="2">
        <v>3977.88</v>
      </c>
      <c r="D712" s="28">
        <v>0</v>
      </c>
      <c r="E712" t="str">
        <f t="shared" si="33"/>
        <v>Profit</v>
      </c>
      <c r="F712" t="str">
        <f t="shared" si="34"/>
        <v>High</v>
      </c>
      <c r="G712" t="str">
        <f>VLOOKUP(A712,DataSet!$1:$1048576,5,FALSE)</f>
        <v>Zoya Dave</v>
      </c>
      <c r="H712" s="29">
        <f>INDEX(DataSet!B:B,MATCH('Advanced  Formulas'!A712,DataSet!A:A,0))</f>
        <v>45748</v>
      </c>
      <c r="I712" s="29">
        <f>INDEX(DataSet!C:C,MATCH('Advanced  Formulas'!A712,DataSet!A:A,0))</f>
        <v>45752</v>
      </c>
      <c r="J712" t="str">
        <f t="shared" si="35"/>
        <v>Good Order</v>
      </c>
      <c r="K712" s="10" t="str">
        <f>CONCATENATE(DataSet!E712,"-",DataSet!G712)</f>
        <v>Zoya Dave-Jaipur</v>
      </c>
    </row>
    <row r="713" spans="1:11">
      <c r="A713" t="str">
        <v>ORD-2025-00712</v>
      </c>
      <c r="B713" s="2">
        <v>45900</v>
      </c>
      <c r="C713" s="2">
        <v>8680.86</v>
      </c>
      <c r="D713" s="28">
        <v>0.1</v>
      </c>
      <c r="E713" t="str">
        <f t="shared" si="33"/>
        <v>Profit</v>
      </c>
      <c r="F713" t="str">
        <f t="shared" si="34"/>
        <v>High</v>
      </c>
      <c r="G713" t="str">
        <f>VLOOKUP(A713,DataSet!$1:$1048576,5,FALSE)</f>
        <v>Vivaan Sheikh</v>
      </c>
      <c r="H713" s="29">
        <f>INDEX(DataSet!B:B,MATCH('Advanced  Formulas'!A713,DataSet!A:A,0))</f>
        <v>45937</v>
      </c>
      <c r="I713" s="29">
        <f>INDEX(DataSet!C:C,MATCH('Advanced  Formulas'!A713,DataSet!A:A,0))</f>
        <v>45941</v>
      </c>
      <c r="J713" t="str">
        <f t="shared" si="35"/>
        <v>Good Order</v>
      </c>
      <c r="K713" s="10" t="str">
        <f>CONCATENATE(DataSet!E713,"-",DataSet!G713)</f>
        <v>Vivaan Sheikh-Bhavnagar</v>
      </c>
    </row>
    <row r="714" spans="1:11">
      <c r="A714" t="str">
        <v>ORD-2025-00713</v>
      </c>
      <c r="B714" s="2">
        <v>10440</v>
      </c>
      <c r="C714" s="2">
        <v>3595.67</v>
      </c>
      <c r="D714" s="28">
        <v>0.1</v>
      </c>
      <c r="E714" t="str">
        <f t="shared" si="33"/>
        <v>Profit</v>
      </c>
      <c r="F714" t="str">
        <f t="shared" si="34"/>
        <v>High</v>
      </c>
      <c r="G714" t="str">
        <f>VLOOKUP(A714,DataSet!$1:$1048576,5,FALSE)</f>
        <v>Fatima Joshi</v>
      </c>
      <c r="H714" s="29">
        <f>INDEX(DataSet!B:B,MATCH('Advanced  Formulas'!A714,DataSet!A:A,0))</f>
        <v>45936</v>
      </c>
      <c r="I714" s="29">
        <f>INDEX(DataSet!C:C,MATCH('Advanced  Formulas'!A714,DataSet!A:A,0))</f>
        <v>45942</v>
      </c>
      <c r="J714" t="str">
        <f t="shared" si="35"/>
        <v>Good Order</v>
      </c>
      <c r="K714" s="10" t="str">
        <f>CONCATENATE(DataSet!E714,"-",DataSet!G714)</f>
        <v>Fatima Joshi-Delhi</v>
      </c>
    </row>
    <row r="715" spans="1:11">
      <c r="A715" t="str">
        <v>ORD-2025-00714</v>
      </c>
      <c r="B715" s="2">
        <v>598.5</v>
      </c>
      <c r="C715" s="2">
        <v>134.47</v>
      </c>
      <c r="D715" s="28">
        <v>0.05</v>
      </c>
      <c r="E715" t="str">
        <f t="shared" si="33"/>
        <v>Loss</v>
      </c>
      <c r="F715" t="str">
        <f t="shared" si="34"/>
        <v>Low</v>
      </c>
      <c r="G715" t="str">
        <f>VLOOKUP(A715,DataSet!$1:$1048576,5,FALSE)</f>
        <v>Kabir Sheikh</v>
      </c>
      <c r="H715" s="29">
        <f>INDEX(DataSet!B:B,MATCH('Advanced  Formulas'!A715,DataSet!A:A,0))</f>
        <v>45992</v>
      </c>
      <c r="I715" s="29">
        <f>INDEX(DataSet!C:C,MATCH('Advanced  Formulas'!A715,DataSet!A:A,0))</f>
        <v>45995</v>
      </c>
      <c r="J715" t="str">
        <f t="shared" si="35"/>
        <v>Review</v>
      </c>
      <c r="K715" s="10" t="str">
        <f>CONCATENATE(DataSet!E715,"-",DataSet!G715)</f>
        <v>Kabir Sheikh-Kolkata</v>
      </c>
    </row>
    <row r="716" spans="1:11">
      <c r="A716" t="str">
        <v>ORD-2024-00715</v>
      </c>
      <c r="B716" s="2">
        <v>7040</v>
      </c>
      <c r="C716" s="2">
        <v>1145.54</v>
      </c>
      <c r="D716" s="28">
        <v>0.2</v>
      </c>
      <c r="E716" t="str">
        <f t="shared" si="33"/>
        <v>Profit</v>
      </c>
      <c r="F716" t="str">
        <f t="shared" si="34"/>
        <v>High</v>
      </c>
      <c r="G716" t="str">
        <f>VLOOKUP(A716,DataSet!$1:$1048576,5,FALSE)</f>
        <v>Arjun Trivedi</v>
      </c>
      <c r="H716" s="29">
        <f>INDEX(DataSet!B:B,MATCH('Advanced  Formulas'!A716,DataSet!A:A,0))</f>
        <v>45402</v>
      </c>
      <c r="I716" s="29">
        <f>INDEX(DataSet!C:C,MATCH('Advanced  Formulas'!A716,DataSet!A:A,0))</f>
        <v>45407</v>
      </c>
      <c r="J716" t="str">
        <f t="shared" si="35"/>
        <v>Good Order</v>
      </c>
      <c r="K716" s="10" t="str">
        <f>CONCATENATE(DataSet!E716,"-",DataSet!G716)</f>
        <v>Arjun Trivedi-Pune</v>
      </c>
    </row>
    <row r="717" spans="1:11">
      <c r="A717" t="str">
        <v>ORD-2024-00716</v>
      </c>
      <c r="B717" s="2">
        <v>5200</v>
      </c>
      <c r="C717" s="2">
        <v>913.09</v>
      </c>
      <c r="D717" s="28">
        <v>0</v>
      </c>
      <c r="E717" t="str">
        <f t="shared" si="33"/>
        <v>Profit</v>
      </c>
      <c r="F717" t="str">
        <f t="shared" si="34"/>
        <v>Medium</v>
      </c>
      <c r="G717" t="str">
        <f>VLOOKUP(A717,DataSet!$1:$1048576,5,FALSE)</f>
        <v>Krish Patel</v>
      </c>
      <c r="H717" s="29">
        <f>INDEX(DataSet!B:B,MATCH('Advanced  Formulas'!A717,DataSet!A:A,0))</f>
        <v>45375</v>
      </c>
      <c r="I717" s="29">
        <f>INDEX(DataSet!C:C,MATCH('Advanced  Formulas'!A717,DataSet!A:A,0))</f>
        <v>45382</v>
      </c>
      <c r="J717" t="str">
        <f t="shared" si="35"/>
        <v>Good Order</v>
      </c>
      <c r="K717" s="10" t="str">
        <f>CONCATENATE(DataSet!E717,"-",DataSet!G717)</f>
        <v>Krish Patel-Delhi</v>
      </c>
    </row>
    <row r="718" spans="1:11">
      <c r="A718" t="str">
        <v>ORD-2026-00717</v>
      </c>
      <c r="B718" s="2">
        <v>19840</v>
      </c>
      <c r="C718" s="2">
        <v>4622.99</v>
      </c>
      <c r="D718" s="28">
        <v>0.2</v>
      </c>
      <c r="E718" t="str">
        <f t="shared" si="33"/>
        <v>Profit</v>
      </c>
      <c r="F718" t="str">
        <f t="shared" si="34"/>
        <v>High</v>
      </c>
      <c r="G718" t="str">
        <f>VLOOKUP(A718,DataSet!$1:$1048576,5,FALSE)</f>
        <v>Arjun Trivedi</v>
      </c>
      <c r="H718" s="29">
        <f>INDEX(DataSet!B:B,MATCH('Advanced  Formulas'!A718,DataSet!A:A,0))</f>
        <v>46189</v>
      </c>
      <c r="I718" s="29">
        <f>INDEX(DataSet!C:C,MATCH('Advanced  Formulas'!A718,DataSet!A:A,0))</f>
        <v>46195</v>
      </c>
      <c r="J718" t="str">
        <f t="shared" si="35"/>
        <v>Good Order</v>
      </c>
      <c r="K718" s="10" t="str">
        <f>CONCATENATE(DataSet!E718,"-",DataSet!G718)</f>
        <v>Arjun Trivedi-Rajkot</v>
      </c>
    </row>
    <row r="719" spans="1:11">
      <c r="A719" t="str">
        <v>ORD-2024-00718</v>
      </c>
      <c r="B719" s="2">
        <v>24990</v>
      </c>
      <c r="C719" s="2">
        <v>8817.52</v>
      </c>
      <c r="D719" s="28">
        <v>0.15</v>
      </c>
      <c r="E719" t="str">
        <f t="shared" si="33"/>
        <v>Profit</v>
      </c>
      <c r="F719" t="str">
        <f t="shared" si="34"/>
        <v>High</v>
      </c>
      <c r="G719" t="str">
        <f>VLOOKUP(A719,DataSet!$1:$1048576,5,FALSE)</f>
        <v>Anaya Patel</v>
      </c>
      <c r="H719" s="29">
        <f>INDEX(DataSet!B:B,MATCH('Advanced  Formulas'!A719,DataSet!A:A,0))</f>
        <v>45481</v>
      </c>
      <c r="I719" s="29">
        <f>INDEX(DataSet!C:C,MATCH('Advanced  Formulas'!A719,DataSet!A:A,0))</f>
        <v>45482</v>
      </c>
      <c r="J719" t="str">
        <f t="shared" si="35"/>
        <v>Good Order</v>
      </c>
      <c r="K719" s="10" t="str">
        <f>CONCATENATE(DataSet!E719,"-",DataSet!G719)</f>
        <v>Anaya Patel-Chennai</v>
      </c>
    </row>
    <row r="720" spans="1:11">
      <c r="A720" t="str">
        <v>ORD-2025-00719</v>
      </c>
      <c r="B720" s="2">
        <v>9120</v>
      </c>
      <c r="C720" s="2">
        <v>1594.28</v>
      </c>
      <c r="D720" s="28">
        <v>0.2</v>
      </c>
      <c r="E720" t="str">
        <f t="shared" si="33"/>
        <v>Profit</v>
      </c>
      <c r="F720" t="str">
        <f t="shared" si="34"/>
        <v>High</v>
      </c>
      <c r="G720" t="str">
        <f>VLOOKUP(A720,DataSet!$1:$1048576,5,FALSE)</f>
        <v>Krish Iyer</v>
      </c>
      <c r="H720" s="29">
        <f>INDEX(DataSet!B:B,MATCH('Advanced  Formulas'!A720,DataSet!A:A,0))</f>
        <v>45763</v>
      </c>
      <c r="I720" s="29">
        <f>INDEX(DataSet!C:C,MATCH('Advanced  Formulas'!A720,DataSet!A:A,0))</f>
        <v>45769</v>
      </c>
      <c r="J720" t="str">
        <f t="shared" si="35"/>
        <v>Good Order</v>
      </c>
      <c r="K720" s="10" t="str">
        <f>CONCATENATE(DataSet!E720,"-",DataSet!G720)</f>
        <v>Krish Iyer-Pune</v>
      </c>
    </row>
    <row r="721" spans="1:11">
      <c r="A721" t="str">
        <v>ORD-2024-00720</v>
      </c>
      <c r="B721" s="2">
        <v>144</v>
      </c>
      <c r="C721" s="2">
        <v>14.06</v>
      </c>
      <c r="D721" s="28">
        <v>0.2</v>
      </c>
      <c r="E721" t="str">
        <f t="shared" si="33"/>
        <v>Loss</v>
      </c>
      <c r="F721" t="str">
        <f t="shared" si="34"/>
        <v>Low</v>
      </c>
      <c r="G721" t="str">
        <f>VLOOKUP(A721,DataSet!$1:$1048576,5,FALSE)</f>
        <v>Aarav Desai</v>
      </c>
      <c r="H721" s="29">
        <f>INDEX(DataSet!B:B,MATCH('Advanced  Formulas'!A721,DataSet!A:A,0))</f>
        <v>45420</v>
      </c>
      <c r="I721" s="29">
        <f>INDEX(DataSet!C:C,MATCH('Advanced  Formulas'!A721,DataSet!A:A,0))</f>
        <v>45422</v>
      </c>
      <c r="J721" t="str">
        <f t="shared" si="35"/>
        <v>Review</v>
      </c>
      <c r="K721" s="10" t="str">
        <f>CONCATENATE(DataSet!E721,"-",DataSet!G721)</f>
        <v>Aarav Desai-Ahmedabad</v>
      </c>
    </row>
    <row r="722" spans="1:11">
      <c r="A722" t="str">
        <v>ORD-2025-00721</v>
      </c>
      <c r="B722" s="2">
        <v>810</v>
      </c>
      <c r="C722" s="2">
        <v>264.45</v>
      </c>
      <c r="D722" s="28">
        <v>0.1</v>
      </c>
      <c r="E722" t="str">
        <f t="shared" si="33"/>
        <v>Profit</v>
      </c>
      <c r="F722" t="str">
        <f t="shared" si="34"/>
        <v>Low</v>
      </c>
      <c r="G722" t="str">
        <f>VLOOKUP(A722,DataSet!$1:$1048576,5,FALSE)</f>
        <v>Aarav Shah</v>
      </c>
      <c r="H722" s="29">
        <f>INDEX(DataSet!B:B,MATCH('Advanced  Formulas'!A722,DataSet!A:A,0))</f>
        <v>45957</v>
      </c>
      <c r="I722" s="29">
        <f>INDEX(DataSet!C:C,MATCH('Advanced  Formulas'!A722,DataSet!A:A,0))</f>
        <v>45959</v>
      </c>
      <c r="J722" t="str">
        <f t="shared" si="35"/>
        <v>Review</v>
      </c>
      <c r="K722" s="10" t="str">
        <f>CONCATENATE(DataSet!E722,"-",DataSet!G722)</f>
        <v>Aarav Shah-Pune</v>
      </c>
    </row>
    <row r="723" spans="1:11">
      <c r="A723" t="str">
        <v>ORD-2026-00722</v>
      </c>
      <c r="B723" s="2">
        <v>1440</v>
      </c>
      <c r="C723" s="2">
        <v>306.49</v>
      </c>
      <c r="D723" s="28">
        <v>0.1</v>
      </c>
      <c r="E723" t="str">
        <f t="shared" si="33"/>
        <v>Profit</v>
      </c>
      <c r="F723" t="str">
        <f t="shared" si="34"/>
        <v>Low</v>
      </c>
      <c r="G723" t="str">
        <f>VLOOKUP(A723,DataSet!$1:$1048576,5,FALSE)</f>
        <v>Sara Dave</v>
      </c>
      <c r="H723" s="29">
        <f>INDEX(DataSet!B:B,MATCH('Advanced  Formulas'!A723,DataSet!A:A,0))</f>
        <v>46048</v>
      </c>
      <c r="I723" s="29">
        <f>INDEX(DataSet!C:C,MATCH('Advanced  Formulas'!A723,DataSet!A:A,0))</f>
        <v>46054</v>
      </c>
      <c r="J723" t="str">
        <f t="shared" si="35"/>
        <v>Review</v>
      </c>
      <c r="K723" s="10" t="str">
        <f>CONCATENATE(DataSet!E723,"-",DataSet!G723)</f>
        <v>Sara Dave-Jaipur</v>
      </c>
    </row>
    <row r="724" spans="1:11">
      <c r="A724" t="str">
        <v>ORD-2024-00723</v>
      </c>
      <c r="B724" s="2">
        <v>10240</v>
      </c>
      <c r="C724" s="2">
        <v>2043.37</v>
      </c>
      <c r="D724" s="28">
        <v>0.2</v>
      </c>
      <c r="E724" t="str">
        <f t="shared" si="33"/>
        <v>Profit</v>
      </c>
      <c r="F724" t="str">
        <f t="shared" si="34"/>
        <v>High</v>
      </c>
      <c r="G724" t="str">
        <f>VLOOKUP(A724,DataSet!$1:$1048576,5,FALSE)</f>
        <v>Kiara Joshi</v>
      </c>
      <c r="H724" s="29">
        <f>INDEX(DataSet!B:B,MATCH('Advanced  Formulas'!A724,DataSet!A:A,0))</f>
        <v>45633</v>
      </c>
      <c r="I724" s="29">
        <f>INDEX(DataSet!C:C,MATCH('Advanced  Formulas'!A724,DataSet!A:A,0))</f>
        <v>45634</v>
      </c>
      <c r="J724" t="str">
        <f t="shared" si="35"/>
        <v>Good Order</v>
      </c>
      <c r="K724" s="10" t="str">
        <f>CONCATENATE(DataSet!E724,"-",DataSet!G724)</f>
        <v>Kiara Joshi-Bhavnagar</v>
      </c>
    </row>
    <row r="725" spans="1:11">
      <c r="A725" t="str">
        <v>ORD-2025-00724</v>
      </c>
      <c r="B725" s="2">
        <v>297.5</v>
      </c>
      <c r="C725" s="2">
        <v>104.89</v>
      </c>
      <c r="D725" s="28">
        <v>0.15</v>
      </c>
      <c r="E725" t="str">
        <f t="shared" si="33"/>
        <v>Loss</v>
      </c>
      <c r="F725" t="str">
        <f t="shared" si="34"/>
        <v>Low</v>
      </c>
      <c r="G725" t="str">
        <f>VLOOKUP(A725,DataSet!$1:$1048576,5,FALSE)</f>
        <v>Aditya Soni</v>
      </c>
      <c r="H725" s="29">
        <f>INDEX(DataSet!B:B,MATCH('Advanced  Formulas'!A725,DataSet!A:A,0))</f>
        <v>45701</v>
      </c>
      <c r="I725" s="29">
        <f>INDEX(DataSet!C:C,MATCH('Advanced  Formulas'!A725,DataSet!A:A,0))</f>
        <v>45705</v>
      </c>
      <c r="J725" t="str">
        <f t="shared" si="35"/>
        <v>Review</v>
      </c>
      <c r="K725" s="10" t="str">
        <f>CONCATENATE(DataSet!E725,"-",DataSet!G725)</f>
        <v>Aditya Soni-Delhi</v>
      </c>
    </row>
    <row r="726" spans="1:11">
      <c r="A726" t="str">
        <v>ORD-2026-00725</v>
      </c>
      <c r="B726" s="2">
        <v>7480</v>
      </c>
      <c r="C726" s="2">
        <v>848</v>
      </c>
      <c r="D726" s="28">
        <v>0.15</v>
      </c>
      <c r="E726" t="str">
        <f t="shared" si="33"/>
        <v>Profit</v>
      </c>
      <c r="F726" t="str">
        <f t="shared" si="34"/>
        <v>High</v>
      </c>
      <c r="G726" t="str">
        <f>VLOOKUP(A726,DataSet!$1:$1048576,5,FALSE)</f>
        <v>Rohan Verma</v>
      </c>
      <c r="H726" s="29">
        <f>INDEX(DataSet!B:B,MATCH('Advanced  Formulas'!A726,DataSet!A:A,0))</f>
        <v>46206</v>
      </c>
      <c r="I726" s="29">
        <f>INDEX(DataSet!C:C,MATCH('Advanced  Formulas'!A726,DataSet!A:A,0))</f>
        <v>46212</v>
      </c>
      <c r="J726" t="str">
        <f t="shared" si="35"/>
        <v>Good Order</v>
      </c>
      <c r="K726" s="10" t="str">
        <f>CONCATENATE(DataSet!E726,"-",DataSet!G726)</f>
        <v>Rohan Verma-Pune</v>
      </c>
    </row>
    <row r="727" spans="1:11">
      <c r="A727" t="str">
        <v>ORD-2024-00726</v>
      </c>
      <c r="B727" s="2">
        <v>810</v>
      </c>
      <c r="C727" s="2">
        <v>246.77</v>
      </c>
      <c r="D727" s="28">
        <v>0.1</v>
      </c>
      <c r="E727" t="str">
        <f t="shared" si="33"/>
        <v>Profit</v>
      </c>
      <c r="F727" t="str">
        <f t="shared" si="34"/>
        <v>Low</v>
      </c>
      <c r="G727" t="str">
        <f>VLOOKUP(A727,DataSet!$1:$1048576,5,FALSE)</f>
        <v>Yusuf Sheikh</v>
      </c>
      <c r="H727" s="29">
        <f>INDEX(DataSet!B:B,MATCH('Advanced  Formulas'!A727,DataSet!A:A,0))</f>
        <v>45457</v>
      </c>
      <c r="I727" s="29">
        <f>INDEX(DataSet!C:C,MATCH('Advanced  Formulas'!A727,DataSet!A:A,0))</f>
        <v>45460</v>
      </c>
      <c r="J727" t="str">
        <f t="shared" si="35"/>
        <v>Review</v>
      </c>
      <c r="K727" s="10" t="str">
        <f>CONCATENATE(DataSet!E727,"-",DataSet!G727)</f>
        <v>Yusuf Sheikh-Chennai</v>
      </c>
    </row>
    <row r="728" spans="1:11">
      <c r="A728" t="str">
        <v>ORD-2026-00727</v>
      </c>
      <c r="B728" s="2">
        <v>1400</v>
      </c>
      <c r="C728" s="2">
        <v>231.06</v>
      </c>
      <c r="D728" s="28">
        <v>0.2</v>
      </c>
      <c r="E728" t="str">
        <f t="shared" si="33"/>
        <v>Profit</v>
      </c>
      <c r="F728" t="str">
        <f t="shared" si="34"/>
        <v>Low</v>
      </c>
      <c r="G728" t="str">
        <f>VLOOKUP(A728,DataSet!$1:$1048576,5,FALSE)</f>
        <v>Aanya Rao</v>
      </c>
      <c r="H728" s="29">
        <f>INDEX(DataSet!B:B,MATCH('Advanced  Formulas'!A728,DataSet!A:A,0))</f>
        <v>46235</v>
      </c>
      <c r="I728" s="29">
        <f>INDEX(DataSet!C:C,MATCH('Advanced  Formulas'!A728,DataSet!A:A,0))</f>
        <v>46240</v>
      </c>
      <c r="J728" t="str">
        <f t="shared" si="35"/>
        <v>Review</v>
      </c>
      <c r="K728" s="10" t="str">
        <f>CONCATENATE(DataSet!E728,"-",DataSet!G728)</f>
        <v>Aanya Rao-Kolkata</v>
      </c>
    </row>
    <row r="729" spans="1:11">
      <c r="A729" t="str">
        <v>ORD-2026-00728</v>
      </c>
      <c r="B729" s="2">
        <v>342</v>
      </c>
      <c r="C729" s="2">
        <v>65.98</v>
      </c>
      <c r="D729" s="28">
        <v>0.05</v>
      </c>
      <c r="E729" t="str">
        <f t="shared" si="33"/>
        <v>Loss</v>
      </c>
      <c r="F729" t="str">
        <f t="shared" si="34"/>
        <v>Low</v>
      </c>
      <c r="G729" t="str">
        <f>VLOOKUP(A729,DataSet!$1:$1048576,5,FALSE)</f>
        <v>Fatima Mehta</v>
      </c>
      <c r="H729" s="29">
        <f>INDEX(DataSet!B:B,MATCH('Advanced  Formulas'!A729,DataSet!A:A,0))</f>
        <v>46107</v>
      </c>
      <c r="I729" s="29">
        <f>INDEX(DataSet!C:C,MATCH('Advanced  Formulas'!A729,DataSet!A:A,0))</f>
        <v>46111</v>
      </c>
      <c r="J729" t="str">
        <f t="shared" si="35"/>
        <v>Review</v>
      </c>
      <c r="K729" s="10" t="str">
        <f>CONCATENATE(DataSet!E729,"-",DataSet!G729)</f>
        <v>Fatima Mehta-Hyderabad</v>
      </c>
    </row>
    <row r="730" spans="1:11">
      <c r="A730" t="str">
        <v>ORD-2024-00729</v>
      </c>
      <c r="B730" s="2">
        <v>4180</v>
      </c>
      <c r="C730" s="2">
        <v>1301.96</v>
      </c>
      <c r="D730" s="28">
        <v>0.05</v>
      </c>
      <c r="E730" t="str">
        <f t="shared" si="33"/>
        <v>Profit</v>
      </c>
      <c r="F730" t="str">
        <f t="shared" si="34"/>
        <v>Medium</v>
      </c>
      <c r="G730" t="str">
        <f>VLOOKUP(A730,DataSet!$1:$1048576,5,FALSE)</f>
        <v>Diya Patel</v>
      </c>
      <c r="H730" s="29">
        <f>INDEX(DataSet!B:B,MATCH('Advanced  Formulas'!A730,DataSet!A:A,0))</f>
        <v>45452</v>
      </c>
      <c r="I730" s="29">
        <f>INDEX(DataSet!C:C,MATCH('Advanced  Formulas'!A730,DataSet!A:A,0))</f>
        <v>45457</v>
      </c>
      <c r="J730" t="str">
        <f t="shared" si="35"/>
        <v>Good Order</v>
      </c>
      <c r="K730" s="10" t="str">
        <f>CONCATENATE(DataSet!E730,"-",DataSet!G730)</f>
        <v>Diya Patel-Jaipur</v>
      </c>
    </row>
    <row r="731" spans="1:11">
      <c r="A731" t="str">
        <v>ORD-2024-00730</v>
      </c>
      <c r="B731" s="2">
        <v>90</v>
      </c>
      <c r="C731" s="2">
        <v>26.3</v>
      </c>
      <c r="D731" s="28">
        <v>0</v>
      </c>
      <c r="E731" t="str">
        <f t="shared" si="33"/>
        <v>Loss</v>
      </c>
      <c r="F731" t="str">
        <f t="shared" si="34"/>
        <v>Low</v>
      </c>
      <c r="G731" t="str">
        <f>VLOOKUP(A731,DataSet!$1:$1048576,5,FALSE)</f>
        <v>Meera Desai</v>
      </c>
      <c r="H731" s="29">
        <f>INDEX(DataSet!B:B,MATCH('Advanced  Formulas'!A731,DataSet!A:A,0))</f>
        <v>45657</v>
      </c>
      <c r="I731" s="29">
        <f>INDEX(DataSet!C:C,MATCH('Advanced  Formulas'!A731,DataSet!A:A,0))</f>
        <v>45663</v>
      </c>
      <c r="J731" t="str">
        <f t="shared" si="35"/>
        <v>Review</v>
      </c>
      <c r="K731" s="10" t="str">
        <f>CONCATENATE(DataSet!E731,"-",DataSet!G731)</f>
        <v>Meera Desai-Surat</v>
      </c>
    </row>
    <row r="732" spans="1:11">
      <c r="A732" t="str">
        <v>ORD-2024-00731</v>
      </c>
      <c r="B732" s="2">
        <v>2380</v>
      </c>
      <c r="C732" s="2">
        <v>685.33</v>
      </c>
      <c r="D732" s="28">
        <v>0.15</v>
      </c>
      <c r="E732" t="str">
        <f t="shared" si="33"/>
        <v>Profit</v>
      </c>
      <c r="F732" t="str">
        <f t="shared" si="34"/>
        <v>Low</v>
      </c>
      <c r="G732" t="str">
        <f>VLOOKUP(A732,DataSet!$1:$1048576,5,FALSE)</f>
        <v>Dev Dave</v>
      </c>
      <c r="H732" s="29">
        <f>INDEX(DataSet!B:B,MATCH('Advanced  Formulas'!A732,DataSet!A:A,0))</f>
        <v>45521</v>
      </c>
      <c r="I732" s="29">
        <f>INDEX(DataSet!C:C,MATCH('Advanced  Formulas'!A732,DataSet!A:A,0))</f>
        <v>45525</v>
      </c>
      <c r="J732" t="str">
        <f t="shared" si="35"/>
        <v>Review</v>
      </c>
      <c r="K732" s="10" t="str">
        <f>CONCATENATE(DataSet!E732,"-",DataSet!G732)</f>
        <v>Dev Dave-Rajkot</v>
      </c>
    </row>
    <row r="733" spans="1:11">
      <c r="A733" t="str">
        <v>ORD-2025-00732</v>
      </c>
      <c r="B733" s="2">
        <v>3200</v>
      </c>
      <c r="C733" s="2">
        <v>565.66999999999996</v>
      </c>
      <c r="D733" s="28">
        <v>0</v>
      </c>
      <c r="E733" t="str">
        <f t="shared" si="33"/>
        <v>Profit</v>
      </c>
      <c r="F733" t="str">
        <f t="shared" si="34"/>
        <v>Medium</v>
      </c>
      <c r="G733" t="str">
        <f>VLOOKUP(A733,DataSet!$1:$1048576,5,FALSE)</f>
        <v>Anaya Rao</v>
      </c>
      <c r="H733" s="29">
        <f>INDEX(DataSet!B:B,MATCH('Advanced  Formulas'!A733,DataSet!A:A,0))</f>
        <v>46015</v>
      </c>
      <c r="I733" s="29">
        <f>INDEX(DataSet!C:C,MATCH('Advanced  Formulas'!A733,DataSet!A:A,0))</f>
        <v>46016</v>
      </c>
      <c r="J733" t="str">
        <f t="shared" si="35"/>
        <v>Good Order</v>
      </c>
      <c r="K733" s="10" t="str">
        <f>CONCATENATE(DataSet!E733,"-",DataSet!G733)</f>
        <v>Anaya Rao-Indore</v>
      </c>
    </row>
    <row r="734" spans="1:11">
      <c r="A734" t="str">
        <v>ORD-2025-00733</v>
      </c>
      <c r="B734" s="2">
        <v>5700</v>
      </c>
      <c r="C734" s="2">
        <v>1086.5899999999999</v>
      </c>
      <c r="D734" s="28">
        <v>0</v>
      </c>
      <c r="E734" t="str">
        <f t="shared" si="33"/>
        <v>Profit</v>
      </c>
      <c r="F734" t="str">
        <f t="shared" si="34"/>
        <v>Medium</v>
      </c>
      <c r="G734" t="str">
        <f>VLOOKUP(A734,DataSet!$1:$1048576,5,FALSE)</f>
        <v>Rohan Iyer</v>
      </c>
      <c r="H734" s="29">
        <f>INDEX(DataSet!B:B,MATCH('Advanced  Formulas'!A734,DataSet!A:A,0))</f>
        <v>45811</v>
      </c>
      <c r="I734" s="29">
        <f>INDEX(DataSet!C:C,MATCH('Advanced  Formulas'!A734,DataSet!A:A,0))</f>
        <v>45812</v>
      </c>
      <c r="J734" t="str">
        <f t="shared" si="35"/>
        <v>Good Order</v>
      </c>
      <c r="K734" s="10" t="str">
        <f>CONCATENATE(DataSet!E734,"-",DataSet!G734)</f>
        <v>Rohan Iyer-Surat</v>
      </c>
    </row>
    <row r="735" spans="1:11">
      <c r="A735" t="str">
        <v>ORD-2026-00734</v>
      </c>
      <c r="B735" s="2">
        <v>1920</v>
      </c>
      <c r="C735" s="2">
        <v>668.21</v>
      </c>
      <c r="D735" s="28">
        <v>0</v>
      </c>
      <c r="E735" t="str">
        <f t="shared" si="33"/>
        <v>Profit</v>
      </c>
      <c r="F735" t="str">
        <f t="shared" si="34"/>
        <v>Low</v>
      </c>
      <c r="G735" t="str">
        <f>VLOOKUP(A735,DataSet!$1:$1048576,5,FALSE)</f>
        <v>Rohan Panjwani</v>
      </c>
      <c r="H735" s="29">
        <f>INDEX(DataSet!B:B,MATCH('Advanced  Formulas'!A735,DataSet!A:A,0))</f>
        <v>46042</v>
      </c>
      <c r="I735" s="29">
        <f>INDEX(DataSet!C:C,MATCH('Advanced  Formulas'!A735,DataSet!A:A,0))</f>
        <v>46049</v>
      </c>
      <c r="J735" t="str">
        <f t="shared" si="35"/>
        <v>Review</v>
      </c>
      <c r="K735" s="10" t="str">
        <f>CONCATENATE(DataSet!E735,"-",DataSet!G735)</f>
        <v>Rohan Panjwani-Bhavnagar</v>
      </c>
    </row>
    <row r="736" spans="1:11">
      <c r="A736" t="str">
        <v>ORD-2026-00735</v>
      </c>
      <c r="B736" s="2">
        <v>8400</v>
      </c>
      <c r="C736" s="2">
        <v>2611.02</v>
      </c>
      <c r="D736" s="28">
        <v>0</v>
      </c>
      <c r="E736" t="str">
        <f t="shared" si="33"/>
        <v>Profit</v>
      </c>
      <c r="F736" t="str">
        <f t="shared" si="34"/>
        <v>High</v>
      </c>
      <c r="G736" t="str">
        <f>VLOOKUP(A736,DataSet!$1:$1048576,5,FALSE)</f>
        <v>Aanya Trivedi</v>
      </c>
      <c r="H736" s="29">
        <f>INDEX(DataSet!B:B,MATCH('Advanced  Formulas'!A736,DataSet!A:A,0))</f>
        <v>46146</v>
      </c>
      <c r="I736" s="29">
        <f>INDEX(DataSet!C:C,MATCH('Advanced  Formulas'!A736,DataSet!A:A,0))</f>
        <v>46153</v>
      </c>
      <c r="J736" t="str">
        <f t="shared" si="35"/>
        <v>Good Order</v>
      </c>
      <c r="K736" s="10" t="str">
        <f>CONCATENATE(DataSet!E736,"-",DataSet!G736)</f>
        <v>Aanya Trivedi-Jaipur</v>
      </c>
    </row>
    <row r="737" spans="1:11">
      <c r="A737" t="str">
        <v>ORD-2024-00736</v>
      </c>
      <c r="B737" s="2">
        <v>945</v>
      </c>
      <c r="C737" s="2">
        <v>243.35</v>
      </c>
      <c r="D737" s="28">
        <v>0.1</v>
      </c>
      <c r="E737" t="str">
        <f t="shared" si="33"/>
        <v>Profit</v>
      </c>
      <c r="F737" t="str">
        <f t="shared" si="34"/>
        <v>Low</v>
      </c>
      <c r="G737" t="str">
        <f>VLOOKUP(A737,DataSet!$1:$1048576,5,FALSE)</f>
        <v>Rohan Rao</v>
      </c>
      <c r="H737" s="29">
        <f>INDEX(DataSet!B:B,MATCH('Advanced  Formulas'!A737,DataSet!A:A,0))</f>
        <v>45447</v>
      </c>
      <c r="I737" s="29">
        <f>INDEX(DataSet!C:C,MATCH('Advanced  Formulas'!A737,DataSet!A:A,0))</f>
        <v>45454</v>
      </c>
      <c r="J737" t="str">
        <f t="shared" si="35"/>
        <v>Review</v>
      </c>
      <c r="K737" s="10" t="str">
        <f>CONCATENATE(DataSet!E737,"-",DataSet!G737)</f>
        <v>Rohan Rao-Hyderabad</v>
      </c>
    </row>
    <row r="738" spans="1:11">
      <c r="A738" t="str">
        <v>ORD-2026-00737</v>
      </c>
      <c r="B738" s="2">
        <v>360</v>
      </c>
      <c r="C738" s="2">
        <v>105.13</v>
      </c>
      <c r="D738" s="28">
        <v>0</v>
      </c>
      <c r="E738" t="str">
        <f t="shared" si="33"/>
        <v>Loss</v>
      </c>
      <c r="F738" t="str">
        <f t="shared" si="34"/>
        <v>Low</v>
      </c>
      <c r="G738" t="str">
        <f>VLOOKUP(A738,DataSet!$1:$1048576,5,FALSE)</f>
        <v>Isha Panjwani</v>
      </c>
      <c r="H738" s="29">
        <f>INDEX(DataSet!B:B,MATCH('Advanced  Formulas'!A738,DataSet!A:A,0))</f>
        <v>46258</v>
      </c>
      <c r="I738" s="29">
        <f>INDEX(DataSet!C:C,MATCH('Advanced  Formulas'!A738,DataSet!A:A,0))</f>
        <v>46259</v>
      </c>
      <c r="J738" t="str">
        <f t="shared" si="35"/>
        <v>Review</v>
      </c>
      <c r="K738" s="10" t="str">
        <f>CONCATENATE(DataSet!E738,"-",DataSet!G738)</f>
        <v>Isha Panjwani-Jaipur</v>
      </c>
    </row>
    <row r="739" spans="1:11">
      <c r="A739" t="str">
        <v>ORD-2026-00738</v>
      </c>
      <c r="B739" s="2">
        <v>72</v>
      </c>
      <c r="C739" s="2">
        <v>6.85</v>
      </c>
      <c r="D739" s="28">
        <v>0.2</v>
      </c>
      <c r="E739" t="str">
        <f t="shared" si="33"/>
        <v>Loss</v>
      </c>
      <c r="F739" t="str">
        <f t="shared" si="34"/>
        <v>Low</v>
      </c>
      <c r="G739" t="str">
        <f>VLOOKUP(A739,DataSet!$1:$1048576,5,FALSE)</f>
        <v>Dev Joshi</v>
      </c>
      <c r="H739" s="29">
        <f>INDEX(DataSet!B:B,MATCH('Advanced  Formulas'!A739,DataSet!A:A,0))</f>
        <v>46069</v>
      </c>
      <c r="I739" s="29">
        <f>INDEX(DataSet!C:C,MATCH('Advanced  Formulas'!A739,DataSet!A:A,0))</f>
        <v>46070</v>
      </c>
      <c r="J739" t="str">
        <f t="shared" si="35"/>
        <v>Review</v>
      </c>
      <c r="K739" s="10" t="str">
        <f>CONCATENATE(DataSet!E739,"-",DataSet!G739)</f>
        <v>Dev Joshi-Bengaluru</v>
      </c>
    </row>
    <row r="740" spans="1:11">
      <c r="A740" t="str">
        <v>ORD-2026-00739</v>
      </c>
      <c r="B740" s="2">
        <v>16800</v>
      </c>
      <c r="C740" s="2">
        <v>2771.65</v>
      </c>
      <c r="D740" s="28">
        <v>0</v>
      </c>
      <c r="E740" t="str">
        <f t="shared" si="33"/>
        <v>Profit</v>
      </c>
      <c r="F740" t="str">
        <f t="shared" si="34"/>
        <v>High</v>
      </c>
      <c r="G740" t="str">
        <f>VLOOKUP(A740,DataSet!$1:$1048576,5,FALSE)</f>
        <v>Dev Dave</v>
      </c>
      <c r="H740" s="29">
        <f>INDEX(DataSet!B:B,MATCH('Advanced  Formulas'!A740,DataSet!A:A,0))</f>
        <v>46199</v>
      </c>
      <c r="I740" s="29">
        <f>INDEX(DataSet!C:C,MATCH('Advanced  Formulas'!A740,DataSet!A:A,0))</f>
        <v>46205</v>
      </c>
      <c r="J740" t="str">
        <f t="shared" si="35"/>
        <v>Good Order</v>
      </c>
      <c r="K740" s="10" t="str">
        <f>CONCATENATE(DataSet!E740,"-",DataSet!G740)</f>
        <v>Dev Dave-Chennai</v>
      </c>
    </row>
    <row r="741" spans="1:11">
      <c r="A741" t="str">
        <v>ORD-2025-00740</v>
      </c>
      <c r="B741" s="2">
        <v>13300</v>
      </c>
      <c r="C741" s="2">
        <v>2007.59</v>
      </c>
      <c r="D741" s="28">
        <v>0</v>
      </c>
      <c r="E741" t="str">
        <f t="shared" si="33"/>
        <v>Profit</v>
      </c>
      <c r="F741" t="str">
        <f t="shared" si="34"/>
        <v>High</v>
      </c>
      <c r="G741" t="str">
        <f>VLOOKUP(A741,DataSet!$1:$1048576,5,FALSE)</f>
        <v>Diya Soni</v>
      </c>
      <c r="H741" s="29">
        <f>INDEX(DataSet!B:B,MATCH('Advanced  Formulas'!A741,DataSet!A:A,0))</f>
        <v>45748</v>
      </c>
      <c r="I741" s="29">
        <f>INDEX(DataSet!C:C,MATCH('Advanced  Formulas'!A741,DataSet!A:A,0))</f>
        <v>45754</v>
      </c>
      <c r="J741" t="str">
        <f t="shared" si="35"/>
        <v>Good Order</v>
      </c>
      <c r="K741" s="10" t="str">
        <f>CONCATENATE(DataSet!E741,"-",DataSet!G741)</f>
        <v>Diya Soni-Vadodara</v>
      </c>
    </row>
    <row r="742" spans="1:11">
      <c r="A742" t="str">
        <v>ORD-2026-00741</v>
      </c>
      <c r="B742" s="2">
        <v>450</v>
      </c>
      <c r="C742" s="2">
        <v>160.13999999999999</v>
      </c>
      <c r="D742" s="28">
        <v>0</v>
      </c>
      <c r="E742" t="str">
        <f t="shared" si="33"/>
        <v>Loss</v>
      </c>
      <c r="F742" t="str">
        <f t="shared" si="34"/>
        <v>Low</v>
      </c>
      <c r="G742" t="str">
        <f>VLOOKUP(A742,DataSet!$1:$1048576,5,FALSE)</f>
        <v>Sara Soni</v>
      </c>
      <c r="H742" s="29">
        <f>INDEX(DataSet!B:B,MATCH('Advanced  Formulas'!A742,DataSet!A:A,0))</f>
        <v>46034</v>
      </c>
      <c r="I742" s="29">
        <f>INDEX(DataSet!C:C,MATCH('Advanced  Formulas'!A742,DataSet!A:A,0))</f>
        <v>46040</v>
      </c>
      <c r="J742" t="str">
        <f t="shared" si="35"/>
        <v>Review</v>
      </c>
      <c r="K742" s="10" t="str">
        <f>CONCATENATE(DataSet!E742,"-",DataSet!G742)</f>
        <v>Sara Soni-Chennai</v>
      </c>
    </row>
    <row r="743" spans="1:11">
      <c r="A743" t="str">
        <v>ORD-2024-00742</v>
      </c>
      <c r="B743" s="2">
        <v>26000</v>
      </c>
      <c r="C743" s="2">
        <v>6242.24</v>
      </c>
      <c r="D743" s="28">
        <v>0.2</v>
      </c>
      <c r="E743" t="str">
        <f t="shared" si="33"/>
        <v>Profit</v>
      </c>
      <c r="F743" t="str">
        <f t="shared" si="34"/>
        <v>High</v>
      </c>
      <c r="G743" t="str">
        <f>VLOOKUP(A743,DataSet!$1:$1048576,5,FALSE)</f>
        <v>Anaya Verma</v>
      </c>
      <c r="H743" s="29">
        <f>INDEX(DataSet!B:B,MATCH('Advanced  Formulas'!A743,DataSet!A:A,0))</f>
        <v>45315</v>
      </c>
      <c r="I743" s="29">
        <f>INDEX(DataSet!C:C,MATCH('Advanced  Formulas'!A743,DataSet!A:A,0))</f>
        <v>45316</v>
      </c>
      <c r="J743" t="str">
        <f t="shared" si="35"/>
        <v>Good Order</v>
      </c>
      <c r="K743" s="10" t="str">
        <f>CONCATENATE(DataSet!E743,"-",DataSet!G743)</f>
        <v>Anaya Verma-Indore</v>
      </c>
    </row>
    <row r="744" spans="1:11">
      <c r="A744" t="str">
        <v>ORD-2024-00743</v>
      </c>
      <c r="B744" s="2">
        <v>3360</v>
      </c>
      <c r="C744" s="2">
        <v>353.64</v>
      </c>
      <c r="D744" s="28">
        <v>0.2</v>
      </c>
      <c r="E744" t="str">
        <f t="shared" si="33"/>
        <v>Profit</v>
      </c>
      <c r="F744" t="str">
        <f t="shared" si="34"/>
        <v>Medium</v>
      </c>
      <c r="G744" t="str">
        <f>VLOOKUP(A744,DataSet!$1:$1048576,5,FALSE)</f>
        <v>Sara Dave</v>
      </c>
      <c r="H744" s="29">
        <f>INDEX(DataSet!B:B,MATCH('Advanced  Formulas'!A744,DataSet!A:A,0))</f>
        <v>45557</v>
      </c>
      <c r="I744" s="29">
        <f>INDEX(DataSet!C:C,MATCH('Advanced  Formulas'!A744,DataSet!A:A,0))</f>
        <v>45563</v>
      </c>
      <c r="J744" t="str">
        <f t="shared" si="35"/>
        <v>Good Order</v>
      </c>
      <c r="K744" s="10" t="str">
        <f>CONCATENATE(DataSet!E744,"-",DataSet!G744)</f>
        <v>Sara Dave-Delhi</v>
      </c>
    </row>
    <row r="745" spans="1:11">
      <c r="A745" t="str">
        <v>ORD-2025-00744</v>
      </c>
      <c r="B745" s="2">
        <v>1520</v>
      </c>
      <c r="C745" s="2">
        <v>302.63</v>
      </c>
      <c r="D745" s="28">
        <v>0.05</v>
      </c>
      <c r="E745" t="str">
        <f t="shared" si="33"/>
        <v>Profit</v>
      </c>
      <c r="F745" t="str">
        <f t="shared" si="34"/>
        <v>Low</v>
      </c>
      <c r="G745" t="str">
        <f>VLOOKUP(A745,DataSet!$1:$1048576,5,FALSE)</f>
        <v>Yusuf Kapoor</v>
      </c>
      <c r="H745" s="29">
        <f>INDEX(DataSet!B:B,MATCH('Advanced  Formulas'!A745,DataSet!A:A,0))</f>
        <v>45756</v>
      </c>
      <c r="I745" s="29">
        <f>INDEX(DataSet!C:C,MATCH('Advanced  Formulas'!A745,DataSet!A:A,0))</f>
        <v>45759</v>
      </c>
      <c r="J745" t="str">
        <f t="shared" si="35"/>
        <v>Review</v>
      </c>
      <c r="K745" s="10" t="str">
        <f>CONCATENATE(DataSet!E745,"-",DataSet!G745)</f>
        <v>Yusuf Kapoor-Vadodara</v>
      </c>
    </row>
    <row r="746" spans="1:11">
      <c r="A746" t="str">
        <v>ORD-2025-00745</v>
      </c>
      <c r="B746" s="2">
        <v>5510</v>
      </c>
      <c r="C746" s="2">
        <v>1401.63</v>
      </c>
      <c r="D746" s="28">
        <v>0.05</v>
      </c>
      <c r="E746" t="str">
        <f t="shared" si="33"/>
        <v>Profit</v>
      </c>
      <c r="F746" t="str">
        <f t="shared" si="34"/>
        <v>Medium</v>
      </c>
      <c r="G746" t="str">
        <f>VLOOKUP(A746,DataSet!$1:$1048576,5,FALSE)</f>
        <v>Aanya Rao</v>
      </c>
      <c r="H746" s="29">
        <f>INDEX(DataSet!B:B,MATCH('Advanced  Formulas'!A746,DataSet!A:A,0))</f>
        <v>45824</v>
      </c>
      <c r="I746" s="29">
        <f>INDEX(DataSet!C:C,MATCH('Advanced  Formulas'!A746,DataSet!A:A,0))</f>
        <v>45830</v>
      </c>
      <c r="J746" t="str">
        <f t="shared" si="35"/>
        <v>Good Order</v>
      </c>
      <c r="K746" s="10" t="str">
        <f>CONCATENATE(DataSet!E746,"-",DataSet!G746)</f>
        <v>Aanya Rao-Vadodara</v>
      </c>
    </row>
    <row r="747" spans="1:11">
      <c r="A747" t="str">
        <v>ORD-2024-00746</v>
      </c>
      <c r="B747" s="2">
        <v>540</v>
      </c>
      <c r="C747" s="2">
        <v>186.14</v>
      </c>
      <c r="D747" s="28">
        <v>0.1</v>
      </c>
      <c r="E747" t="str">
        <f t="shared" si="33"/>
        <v>Loss</v>
      </c>
      <c r="F747" t="str">
        <f t="shared" si="34"/>
        <v>Low</v>
      </c>
      <c r="G747" t="str">
        <f>VLOOKUP(A747,DataSet!$1:$1048576,5,FALSE)</f>
        <v>Dev Panjwani</v>
      </c>
      <c r="H747" s="29">
        <f>INDEX(DataSet!B:B,MATCH('Advanced  Formulas'!A747,DataSet!A:A,0))</f>
        <v>45386</v>
      </c>
      <c r="I747" s="29">
        <f>INDEX(DataSet!C:C,MATCH('Advanced  Formulas'!A747,DataSet!A:A,0))</f>
        <v>45387</v>
      </c>
      <c r="J747" t="str">
        <f t="shared" si="35"/>
        <v>Review</v>
      </c>
      <c r="K747" s="10" t="str">
        <f>CONCATENATE(DataSet!E747,"-",DataSet!G747)</f>
        <v>Dev Panjwani-Pune</v>
      </c>
    </row>
    <row r="748" spans="1:11">
      <c r="A748" t="str">
        <v>ORD-2025-00747</v>
      </c>
      <c r="B748" s="2">
        <v>19840</v>
      </c>
      <c r="C748" s="2">
        <v>4759.82</v>
      </c>
      <c r="D748" s="28">
        <v>0.2</v>
      </c>
      <c r="E748" t="str">
        <f t="shared" si="33"/>
        <v>Profit</v>
      </c>
      <c r="F748" t="str">
        <f t="shared" si="34"/>
        <v>High</v>
      </c>
      <c r="G748" t="str">
        <f>VLOOKUP(A748,DataSet!$1:$1048576,5,FALSE)</f>
        <v>Fatima Verma</v>
      </c>
      <c r="H748" s="29">
        <f>INDEX(DataSet!B:B,MATCH('Advanced  Formulas'!A748,DataSet!A:A,0))</f>
        <v>45823</v>
      </c>
      <c r="I748" s="29">
        <f>INDEX(DataSet!C:C,MATCH('Advanced  Formulas'!A748,DataSet!A:A,0))</f>
        <v>45830</v>
      </c>
      <c r="J748" t="str">
        <f t="shared" si="35"/>
        <v>Good Order</v>
      </c>
      <c r="K748" s="10" t="str">
        <f>CONCATENATE(DataSet!E748,"-",DataSet!G748)</f>
        <v>Fatima Verma-Pune</v>
      </c>
    </row>
    <row r="749" spans="1:11">
      <c r="A749" t="str">
        <v>ORD-2024-00748</v>
      </c>
      <c r="B749" s="2">
        <v>3840</v>
      </c>
      <c r="C749" s="2">
        <v>831.64</v>
      </c>
      <c r="D749" s="28">
        <v>0.2</v>
      </c>
      <c r="E749" t="str">
        <f t="shared" si="33"/>
        <v>Profit</v>
      </c>
      <c r="F749" t="str">
        <f t="shared" si="34"/>
        <v>Medium</v>
      </c>
      <c r="G749" t="str">
        <f>VLOOKUP(A749,DataSet!$1:$1048576,5,FALSE)</f>
        <v>Anaya Verma</v>
      </c>
      <c r="H749" s="29">
        <f>INDEX(DataSet!B:B,MATCH('Advanced  Formulas'!A749,DataSet!A:A,0))</f>
        <v>45439</v>
      </c>
      <c r="I749" s="29">
        <f>INDEX(DataSet!C:C,MATCH('Advanced  Formulas'!A749,DataSet!A:A,0))</f>
        <v>45444</v>
      </c>
      <c r="J749" t="str">
        <f t="shared" si="35"/>
        <v>Good Order</v>
      </c>
      <c r="K749" s="10" t="str">
        <f>CONCATENATE(DataSet!E749,"-",DataSet!G749)</f>
        <v>Anaya Verma-Surat</v>
      </c>
    </row>
    <row r="750" spans="1:11">
      <c r="A750" t="str">
        <v>ORD-2025-00749</v>
      </c>
      <c r="B750" s="2">
        <v>540</v>
      </c>
      <c r="C750" s="2">
        <v>120.74</v>
      </c>
      <c r="D750" s="28">
        <v>0</v>
      </c>
      <c r="E750" t="str">
        <f t="shared" si="33"/>
        <v>Loss</v>
      </c>
      <c r="F750" t="str">
        <f t="shared" si="34"/>
        <v>Low</v>
      </c>
      <c r="G750" t="str">
        <f>VLOOKUP(A750,DataSet!$1:$1048576,5,FALSE)</f>
        <v>Anaya Shah</v>
      </c>
      <c r="H750" s="29">
        <f>INDEX(DataSet!B:B,MATCH('Advanced  Formulas'!A750,DataSet!A:A,0))</f>
        <v>45776</v>
      </c>
      <c r="I750" s="29">
        <f>INDEX(DataSet!C:C,MATCH('Advanced  Formulas'!A750,DataSet!A:A,0))</f>
        <v>45777</v>
      </c>
      <c r="J750" t="str">
        <f t="shared" si="35"/>
        <v>Review</v>
      </c>
      <c r="K750" s="10" t="str">
        <f>CONCATENATE(DataSet!E750,"-",DataSet!G750)</f>
        <v>Anaya Shah-Chennai</v>
      </c>
    </row>
    <row r="751" spans="1:11">
      <c r="A751" t="str">
        <v>ORD-2024-00750</v>
      </c>
      <c r="B751" s="2">
        <v>1026</v>
      </c>
      <c r="C751" s="2">
        <v>117.82</v>
      </c>
      <c r="D751" s="28">
        <v>0.05</v>
      </c>
      <c r="E751" t="str">
        <f t="shared" si="33"/>
        <v>Loss</v>
      </c>
      <c r="F751" t="str">
        <f t="shared" si="34"/>
        <v>Low</v>
      </c>
      <c r="G751" t="str">
        <f>VLOOKUP(A751,DataSet!$1:$1048576,5,FALSE)</f>
        <v>Sara Khan</v>
      </c>
      <c r="H751" s="29">
        <f>INDEX(DataSet!B:B,MATCH('Advanced  Formulas'!A751,DataSet!A:A,0))</f>
        <v>45588</v>
      </c>
      <c r="I751" s="29">
        <f>INDEX(DataSet!C:C,MATCH('Advanced  Formulas'!A751,DataSet!A:A,0))</f>
        <v>45589</v>
      </c>
      <c r="J751" t="str">
        <f t="shared" si="35"/>
        <v>Review</v>
      </c>
      <c r="K751" s="10" t="str">
        <f>CONCATENATE(DataSet!E751,"-",DataSet!G751)</f>
        <v>Sara Khan-Delhi</v>
      </c>
    </row>
    <row r="752" spans="1:11">
      <c r="A752" t="str">
        <v>ORD-2024-00751</v>
      </c>
      <c r="B752" s="2">
        <v>5225</v>
      </c>
      <c r="C752" s="2">
        <v>1653.45</v>
      </c>
      <c r="D752" s="28">
        <v>0.05</v>
      </c>
      <c r="E752" t="str">
        <f t="shared" si="33"/>
        <v>Profit</v>
      </c>
      <c r="F752" t="str">
        <f t="shared" si="34"/>
        <v>Medium</v>
      </c>
      <c r="G752" t="str">
        <f>VLOOKUP(A752,DataSet!$1:$1048576,5,FALSE)</f>
        <v>Fatima Patel</v>
      </c>
      <c r="H752" s="29">
        <f>INDEX(DataSet!B:B,MATCH('Advanced  Formulas'!A752,DataSet!A:A,0))</f>
        <v>45437</v>
      </c>
      <c r="I752" s="29">
        <f>INDEX(DataSet!C:C,MATCH('Advanced  Formulas'!A752,DataSet!A:A,0))</f>
        <v>45444</v>
      </c>
      <c r="J752" t="str">
        <f t="shared" si="35"/>
        <v>Good Order</v>
      </c>
      <c r="K752" s="10" t="str">
        <f>CONCATENATE(DataSet!E752,"-",DataSet!G752)</f>
        <v>Fatima Patel-Lucknow</v>
      </c>
    </row>
    <row r="753" spans="1:11">
      <c r="A753" t="str">
        <v>ORD-2024-00752</v>
      </c>
      <c r="B753" s="2">
        <v>3740</v>
      </c>
      <c r="C753" s="2">
        <v>1035.9000000000001</v>
      </c>
      <c r="D753" s="28">
        <v>0.15</v>
      </c>
      <c r="E753" t="str">
        <f t="shared" si="33"/>
        <v>Profit</v>
      </c>
      <c r="F753" t="str">
        <f t="shared" si="34"/>
        <v>Medium</v>
      </c>
      <c r="G753" t="str">
        <f>VLOOKUP(A753,DataSet!$1:$1048576,5,FALSE)</f>
        <v>Aditya Iyer</v>
      </c>
      <c r="H753" s="29">
        <f>INDEX(DataSet!B:B,MATCH('Advanced  Formulas'!A753,DataSet!A:A,0))</f>
        <v>45649</v>
      </c>
      <c r="I753" s="29">
        <f>INDEX(DataSet!C:C,MATCH('Advanced  Formulas'!A753,DataSet!A:A,0))</f>
        <v>45650</v>
      </c>
      <c r="J753" t="str">
        <f t="shared" si="35"/>
        <v>Good Order</v>
      </c>
      <c r="K753" s="10" t="str">
        <f>CONCATENATE(DataSet!E753,"-",DataSet!G753)</f>
        <v>Aditya Iyer-Kolkata</v>
      </c>
    </row>
    <row r="754" spans="1:11">
      <c r="A754" t="str">
        <v>ORD-2026-00753</v>
      </c>
      <c r="B754" s="2">
        <v>864</v>
      </c>
      <c r="C754" s="2">
        <v>165.48</v>
      </c>
      <c r="D754" s="28">
        <v>0.1</v>
      </c>
      <c r="E754" t="str">
        <f t="shared" si="33"/>
        <v>Loss</v>
      </c>
      <c r="F754" t="str">
        <f t="shared" si="34"/>
        <v>Low</v>
      </c>
      <c r="G754" t="str">
        <f>VLOOKUP(A754,DataSet!$1:$1048576,5,FALSE)</f>
        <v>Aditya Shah</v>
      </c>
      <c r="H754" s="29">
        <f>INDEX(DataSet!B:B,MATCH('Advanced  Formulas'!A754,DataSet!A:A,0))</f>
        <v>46146</v>
      </c>
      <c r="I754" s="29">
        <f>INDEX(DataSet!C:C,MATCH('Advanced  Formulas'!A754,DataSet!A:A,0))</f>
        <v>46152</v>
      </c>
      <c r="J754" t="str">
        <f t="shared" si="35"/>
        <v>Review</v>
      </c>
      <c r="K754" s="10" t="str">
        <f>CONCATENATE(DataSet!E754,"-",DataSet!G754)</f>
        <v>Aditya Shah-Kolkata</v>
      </c>
    </row>
    <row r="755" spans="1:11">
      <c r="A755" t="str">
        <v>ORD-2025-00754</v>
      </c>
      <c r="B755" s="2">
        <v>1520</v>
      </c>
      <c r="C755" s="2">
        <v>180.25</v>
      </c>
      <c r="D755" s="28">
        <v>0.2</v>
      </c>
      <c r="E755" t="str">
        <f t="shared" si="33"/>
        <v>Loss</v>
      </c>
      <c r="F755" t="str">
        <f t="shared" si="34"/>
        <v>Low</v>
      </c>
      <c r="G755" t="str">
        <f>VLOOKUP(A755,DataSet!$1:$1048576,5,FALSE)</f>
        <v>Arjun Kapoor</v>
      </c>
      <c r="H755" s="29">
        <f>INDEX(DataSet!B:B,MATCH('Advanced  Formulas'!A755,DataSet!A:A,0))</f>
        <v>45711</v>
      </c>
      <c r="I755" s="29">
        <f>INDEX(DataSet!C:C,MATCH('Advanced  Formulas'!A755,DataSet!A:A,0))</f>
        <v>45715</v>
      </c>
      <c r="J755" t="str">
        <f t="shared" si="35"/>
        <v>Review</v>
      </c>
      <c r="K755" s="10" t="str">
        <f>CONCATENATE(DataSet!E755,"-",DataSet!G755)</f>
        <v>Arjun Kapoor-Vadodara</v>
      </c>
    </row>
    <row r="756" spans="1:11">
      <c r="A756" t="str">
        <v>ORD-2025-00755</v>
      </c>
      <c r="B756" s="2">
        <v>4960</v>
      </c>
      <c r="C756" s="2">
        <v>1014.66</v>
      </c>
      <c r="D756" s="28">
        <v>0.2</v>
      </c>
      <c r="E756" t="str">
        <f t="shared" si="33"/>
        <v>Profit</v>
      </c>
      <c r="F756" t="str">
        <f t="shared" si="34"/>
        <v>Medium</v>
      </c>
      <c r="G756" t="str">
        <f>VLOOKUP(A756,DataSet!$1:$1048576,5,FALSE)</f>
        <v>Meera Soni</v>
      </c>
      <c r="H756" s="29">
        <f>INDEX(DataSet!B:B,MATCH('Advanced  Formulas'!A756,DataSet!A:A,0))</f>
        <v>46016</v>
      </c>
      <c r="I756" s="29">
        <f>INDEX(DataSet!C:C,MATCH('Advanced  Formulas'!A756,DataSet!A:A,0))</f>
        <v>46017</v>
      </c>
      <c r="J756" t="str">
        <f t="shared" si="35"/>
        <v>Good Order</v>
      </c>
      <c r="K756" s="10" t="str">
        <f>CONCATENATE(DataSet!E756,"-",DataSet!G756)</f>
        <v>Meera Soni-Lucknow</v>
      </c>
    </row>
    <row r="757" spans="1:11">
      <c r="A757" t="str">
        <v>ORD-2026-00756</v>
      </c>
      <c r="B757" s="2">
        <v>150</v>
      </c>
      <c r="C757" s="2">
        <v>31.33</v>
      </c>
      <c r="D757" s="28">
        <v>0</v>
      </c>
      <c r="E757" t="str">
        <f t="shared" si="33"/>
        <v>Loss</v>
      </c>
      <c r="F757" t="str">
        <f t="shared" si="34"/>
        <v>Low</v>
      </c>
      <c r="G757" t="str">
        <f>VLOOKUP(A757,DataSet!$1:$1048576,5,FALSE)</f>
        <v>Isha Patel</v>
      </c>
      <c r="H757" s="29">
        <f>INDEX(DataSet!B:B,MATCH('Advanced  Formulas'!A757,DataSet!A:A,0))</f>
        <v>46272</v>
      </c>
      <c r="I757" s="29">
        <f>INDEX(DataSet!C:C,MATCH('Advanced  Formulas'!A757,DataSet!A:A,0))</f>
        <v>46277</v>
      </c>
      <c r="J757" t="str">
        <f t="shared" si="35"/>
        <v>Review</v>
      </c>
      <c r="K757" s="10" t="str">
        <f>CONCATENATE(DataSet!E757,"-",DataSet!G757)</f>
        <v>Isha Patel-Delhi</v>
      </c>
    </row>
    <row r="758" spans="1:11">
      <c r="A758" t="str">
        <v>ORD-2024-00757</v>
      </c>
      <c r="B758" s="2">
        <v>5940</v>
      </c>
      <c r="C758" s="2">
        <v>1258.6099999999999</v>
      </c>
      <c r="D758" s="28">
        <v>0.1</v>
      </c>
      <c r="E758" t="str">
        <f t="shared" si="33"/>
        <v>Profit</v>
      </c>
      <c r="F758" t="str">
        <f t="shared" si="34"/>
        <v>Medium</v>
      </c>
      <c r="G758" t="str">
        <f>VLOOKUP(A758,DataSet!$1:$1048576,5,FALSE)</f>
        <v>Aarav Trivedi</v>
      </c>
      <c r="H758" s="29">
        <f>INDEX(DataSet!B:B,MATCH('Advanced  Formulas'!A758,DataSet!A:A,0))</f>
        <v>45543</v>
      </c>
      <c r="I758" s="29">
        <f>INDEX(DataSet!C:C,MATCH('Advanced  Formulas'!A758,DataSet!A:A,0))</f>
        <v>45550</v>
      </c>
      <c r="J758" t="str">
        <f t="shared" si="35"/>
        <v>Good Order</v>
      </c>
      <c r="K758" s="10" t="str">
        <f>CONCATENATE(DataSet!E758,"-",DataSet!G758)</f>
        <v>Aarav Trivedi-Chennai</v>
      </c>
    </row>
    <row r="759" spans="1:11">
      <c r="A759" t="str">
        <v>ORD-2025-00758</v>
      </c>
      <c r="B759" s="2">
        <v>3750</v>
      </c>
      <c r="C759" s="2">
        <v>1313.22</v>
      </c>
      <c r="D759" s="28">
        <v>0</v>
      </c>
      <c r="E759" t="str">
        <f t="shared" si="33"/>
        <v>Profit</v>
      </c>
      <c r="F759" t="str">
        <f t="shared" si="34"/>
        <v>Medium</v>
      </c>
      <c r="G759" t="str">
        <f>VLOOKUP(A759,DataSet!$1:$1048576,5,FALSE)</f>
        <v>Kiara Mehta</v>
      </c>
      <c r="H759" s="29">
        <f>INDEX(DataSet!B:B,MATCH('Advanced  Formulas'!A759,DataSet!A:A,0))</f>
        <v>45716</v>
      </c>
      <c r="I759" s="29">
        <f>INDEX(DataSet!C:C,MATCH('Advanced  Formulas'!A759,DataSet!A:A,0))</f>
        <v>45717</v>
      </c>
      <c r="J759" t="str">
        <f t="shared" si="35"/>
        <v>Good Order</v>
      </c>
      <c r="K759" s="10" t="str">
        <f>CONCATENATE(DataSet!E759,"-",DataSet!G759)</f>
        <v>Kiara Mehta-Kolkata</v>
      </c>
    </row>
    <row r="760" spans="1:11">
      <c r="A760" t="str">
        <v>ORD-2024-00759</v>
      </c>
      <c r="B760" s="2">
        <v>4275</v>
      </c>
      <c r="C760" s="2">
        <v>806.1</v>
      </c>
      <c r="D760" s="28">
        <v>0.1</v>
      </c>
      <c r="E760" t="str">
        <f t="shared" si="33"/>
        <v>Profit</v>
      </c>
      <c r="F760" t="str">
        <f t="shared" si="34"/>
        <v>Medium</v>
      </c>
      <c r="G760" t="str">
        <f>VLOOKUP(A760,DataSet!$1:$1048576,5,FALSE)</f>
        <v>Meera Trivedi</v>
      </c>
      <c r="H760" s="29">
        <f>INDEX(DataSet!B:B,MATCH('Advanced  Formulas'!A760,DataSet!A:A,0))</f>
        <v>45479</v>
      </c>
      <c r="I760" s="29">
        <f>INDEX(DataSet!C:C,MATCH('Advanced  Formulas'!A760,DataSet!A:A,0))</f>
        <v>45482</v>
      </c>
      <c r="J760" t="str">
        <f t="shared" si="35"/>
        <v>Good Order</v>
      </c>
      <c r="K760" s="10" t="str">
        <f>CONCATENATE(DataSet!E760,"-",DataSet!G760)</f>
        <v>Meera Trivedi-Hyderabad</v>
      </c>
    </row>
    <row r="761" spans="1:11">
      <c r="A761" t="str">
        <v>ORD-2025-00760</v>
      </c>
      <c r="B761" s="2">
        <v>6600</v>
      </c>
      <c r="C761" s="2">
        <v>1799.6</v>
      </c>
      <c r="D761" s="28">
        <v>0</v>
      </c>
      <c r="E761" t="str">
        <f t="shared" si="33"/>
        <v>Profit</v>
      </c>
      <c r="F761" t="str">
        <f t="shared" si="34"/>
        <v>High</v>
      </c>
      <c r="G761" t="str">
        <f>VLOOKUP(A761,DataSet!$1:$1048576,5,FALSE)</f>
        <v>Arjun Panjwani</v>
      </c>
      <c r="H761" s="29">
        <f>INDEX(DataSet!B:B,MATCH('Advanced  Formulas'!A761,DataSet!A:A,0))</f>
        <v>46022</v>
      </c>
      <c r="I761" s="29">
        <f>INDEX(DataSet!C:C,MATCH('Advanced  Formulas'!A761,DataSet!A:A,0))</f>
        <v>46023</v>
      </c>
      <c r="J761" t="str">
        <f t="shared" si="35"/>
        <v>Good Order</v>
      </c>
      <c r="K761" s="10" t="str">
        <f>CONCATENATE(DataSet!E761,"-",DataSet!G761)</f>
        <v>Arjun Panjwani-Rajkot</v>
      </c>
    </row>
    <row r="762" spans="1:11">
      <c r="A762" t="str">
        <v>ORD-2024-00761</v>
      </c>
      <c r="B762" s="2">
        <v>1050</v>
      </c>
      <c r="C762" s="2">
        <v>325.48</v>
      </c>
      <c r="D762" s="28">
        <v>0</v>
      </c>
      <c r="E762" t="str">
        <f t="shared" si="33"/>
        <v>Profit</v>
      </c>
      <c r="F762" t="str">
        <f t="shared" si="34"/>
        <v>Low</v>
      </c>
      <c r="G762" t="str">
        <f>VLOOKUP(A762,DataSet!$1:$1048576,5,FALSE)</f>
        <v>Rohan Soni</v>
      </c>
      <c r="H762" s="29">
        <f>INDEX(DataSet!B:B,MATCH('Advanced  Formulas'!A762,DataSet!A:A,0))</f>
        <v>45499</v>
      </c>
      <c r="I762" s="29">
        <f>INDEX(DataSet!C:C,MATCH('Advanced  Formulas'!A762,DataSet!A:A,0))</f>
        <v>45501</v>
      </c>
      <c r="J762" t="str">
        <f t="shared" si="35"/>
        <v>Review</v>
      </c>
      <c r="K762" s="10" t="str">
        <f>CONCATENATE(DataSet!E762,"-",DataSet!G762)</f>
        <v>Rohan Soni-Hyderabad</v>
      </c>
    </row>
    <row r="763" spans="1:11">
      <c r="A763" t="str">
        <v>ORD-2025-00762</v>
      </c>
      <c r="B763" s="2">
        <v>765</v>
      </c>
      <c r="C763" s="2">
        <v>81.849999999999994</v>
      </c>
      <c r="D763" s="28">
        <v>0.15</v>
      </c>
      <c r="E763" t="str">
        <f t="shared" si="33"/>
        <v>Loss</v>
      </c>
      <c r="F763" t="str">
        <f t="shared" si="34"/>
        <v>Low</v>
      </c>
      <c r="G763" t="str">
        <f>VLOOKUP(A763,DataSet!$1:$1048576,5,FALSE)</f>
        <v>Anaya Desai</v>
      </c>
      <c r="H763" s="29">
        <f>INDEX(DataSet!B:B,MATCH('Advanced  Formulas'!A763,DataSet!A:A,0))</f>
        <v>45787</v>
      </c>
      <c r="I763" s="29">
        <f>INDEX(DataSet!C:C,MATCH('Advanced  Formulas'!A763,DataSet!A:A,0))</f>
        <v>45788</v>
      </c>
      <c r="J763" t="str">
        <f t="shared" si="35"/>
        <v>Review</v>
      </c>
      <c r="K763" s="10" t="str">
        <f>CONCATENATE(DataSet!E763,"-",DataSet!G763)</f>
        <v>Anaya Desai-Pune</v>
      </c>
    </row>
    <row r="764" spans="1:11">
      <c r="A764" t="str">
        <v>ORD-2024-00763</v>
      </c>
      <c r="B764" s="2">
        <v>4400</v>
      </c>
      <c r="C764" s="2">
        <v>1244.94</v>
      </c>
      <c r="D764" s="28">
        <v>0</v>
      </c>
      <c r="E764" t="str">
        <f t="shared" si="33"/>
        <v>Profit</v>
      </c>
      <c r="F764" t="str">
        <f t="shared" si="34"/>
        <v>Medium</v>
      </c>
      <c r="G764" t="str">
        <f>VLOOKUP(A764,DataSet!$1:$1048576,5,FALSE)</f>
        <v>Myra Soni</v>
      </c>
      <c r="H764" s="29">
        <f>INDEX(DataSet!B:B,MATCH('Advanced  Formulas'!A764,DataSet!A:A,0))</f>
        <v>45603</v>
      </c>
      <c r="I764" s="29">
        <f>INDEX(DataSet!C:C,MATCH('Advanced  Formulas'!A764,DataSet!A:A,0))</f>
        <v>45608</v>
      </c>
      <c r="J764" t="str">
        <f t="shared" si="35"/>
        <v>Good Order</v>
      </c>
      <c r="K764" s="10" t="str">
        <f>CONCATENATE(DataSet!E764,"-",DataSet!G764)</f>
        <v>Myra Soni-Pune</v>
      </c>
    </row>
    <row r="765" spans="1:11">
      <c r="A765" t="str">
        <v>ORD-2025-00764</v>
      </c>
      <c r="B765" s="2">
        <v>880</v>
      </c>
      <c r="C765" s="2">
        <v>85.59</v>
      </c>
      <c r="D765" s="28">
        <v>0.2</v>
      </c>
      <c r="E765" t="str">
        <f t="shared" si="33"/>
        <v>Loss</v>
      </c>
      <c r="F765" t="str">
        <f t="shared" si="34"/>
        <v>Low</v>
      </c>
      <c r="G765" t="str">
        <f>VLOOKUP(A765,DataSet!$1:$1048576,5,FALSE)</f>
        <v>Diya Sheikh</v>
      </c>
      <c r="H765" s="29">
        <f>INDEX(DataSet!B:B,MATCH('Advanced  Formulas'!A765,DataSet!A:A,0))</f>
        <v>45754</v>
      </c>
      <c r="I765" s="29">
        <f>INDEX(DataSet!C:C,MATCH('Advanced  Formulas'!A765,DataSet!A:A,0))</f>
        <v>45755</v>
      </c>
      <c r="J765" t="str">
        <f t="shared" si="35"/>
        <v>Review</v>
      </c>
      <c r="K765" s="10" t="str">
        <f>CONCATENATE(DataSet!E765,"-",DataSet!G765)</f>
        <v>Diya Sheikh-Ahmedabad</v>
      </c>
    </row>
    <row r="766" spans="1:11">
      <c r="A766" t="str">
        <v>ORD-2025-00765</v>
      </c>
      <c r="B766" s="2">
        <v>6460</v>
      </c>
      <c r="C766" s="2">
        <v>897.44</v>
      </c>
      <c r="D766" s="28">
        <v>0.15</v>
      </c>
      <c r="E766" t="str">
        <f t="shared" si="33"/>
        <v>Profit</v>
      </c>
      <c r="F766" t="str">
        <f t="shared" si="34"/>
        <v>High</v>
      </c>
      <c r="G766" t="str">
        <f>VLOOKUP(A766,DataSet!$1:$1048576,5,FALSE)</f>
        <v>Diya Mehta</v>
      </c>
      <c r="H766" s="29">
        <f>INDEX(DataSet!B:B,MATCH('Advanced  Formulas'!A766,DataSet!A:A,0))</f>
        <v>45904</v>
      </c>
      <c r="I766" s="29">
        <f>INDEX(DataSet!C:C,MATCH('Advanced  Formulas'!A766,DataSet!A:A,0))</f>
        <v>45907</v>
      </c>
      <c r="J766" t="str">
        <f t="shared" si="35"/>
        <v>Good Order</v>
      </c>
      <c r="K766" s="10" t="str">
        <f>CONCATENATE(DataSet!E766,"-",DataSet!G766)</f>
        <v>Diya Mehta-Kolkata</v>
      </c>
    </row>
    <row r="767" spans="1:11">
      <c r="A767" t="str">
        <v>ORD-2025-00766</v>
      </c>
      <c r="B767" s="2">
        <v>1100</v>
      </c>
      <c r="C767" s="2">
        <v>210.63</v>
      </c>
      <c r="D767" s="28">
        <v>0</v>
      </c>
      <c r="E767" t="str">
        <f t="shared" si="33"/>
        <v>Profit</v>
      </c>
      <c r="F767" t="str">
        <f t="shared" si="34"/>
        <v>Low</v>
      </c>
      <c r="G767" t="str">
        <f>VLOOKUP(A767,DataSet!$1:$1048576,5,FALSE)</f>
        <v>Aanya Desai</v>
      </c>
      <c r="H767" s="29">
        <f>INDEX(DataSet!B:B,MATCH('Advanced  Formulas'!A767,DataSet!A:A,0))</f>
        <v>45868</v>
      </c>
      <c r="I767" s="29">
        <f>INDEX(DataSet!C:C,MATCH('Advanced  Formulas'!A767,DataSet!A:A,0))</f>
        <v>45869</v>
      </c>
      <c r="J767" t="str">
        <f t="shared" si="35"/>
        <v>Review</v>
      </c>
      <c r="K767" s="10" t="str">
        <f>CONCATENATE(DataSet!E767,"-",DataSet!G767)</f>
        <v>Aanya Desai-Rajkot</v>
      </c>
    </row>
    <row r="768" spans="1:11">
      <c r="A768" t="str">
        <v>ORD-2026-00767</v>
      </c>
      <c r="B768" s="2">
        <v>21280</v>
      </c>
      <c r="C768" s="2">
        <v>6566.13</v>
      </c>
      <c r="D768" s="28">
        <v>0.05</v>
      </c>
      <c r="E768" t="str">
        <f t="shared" si="33"/>
        <v>Profit</v>
      </c>
      <c r="F768" t="str">
        <f t="shared" si="34"/>
        <v>High</v>
      </c>
      <c r="G768" t="str">
        <f>VLOOKUP(A768,DataSet!$1:$1048576,5,FALSE)</f>
        <v>Aditya Desai</v>
      </c>
      <c r="H768" s="29">
        <f>INDEX(DataSet!B:B,MATCH('Advanced  Formulas'!A768,DataSet!A:A,0))</f>
        <v>46272</v>
      </c>
      <c r="I768" s="29">
        <f>INDEX(DataSet!C:C,MATCH('Advanced  Formulas'!A768,DataSet!A:A,0))</f>
        <v>46279</v>
      </c>
      <c r="J768" t="str">
        <f t="shared" si="35"/>
        <v>Good Order</v>
      </c>
      <c r="K768" s="10" t="str">
        <f>CONCATENATE(DataSet!E768,"-",DataSet!G768)</f>
        <v>Aditya Desai-Mumbai</v>
      </c>
    </row>
    <row r="769" spans="1:11">
      <c r="A769" t="str">
        <v>ORD-2024-00768</v>
      </c>
      <c r="B769" s="2">
        <v>1440</v>
      </c>
      <c r="C769" s="2">
        <v>209.7</v>
      </c>
      <c r="D769" s="28">
        <v>0</v>
      </c>
      <c r="E769" t="str">
        <f t="shared" si="33"/>
        <v>Profit</v>
      </c>
      <c r="F769" t="str">
        <f t="shared" si="34"/>
        <v>Low</v>
      </c>
      <c r="G769" t="str">
        <f>VLOOKUP(A769,DataSet!$1:$1048576,5,FALSE)</f>
        <v>Isha Panjwani</v>
      </c>
      <c r="H769" s="29">
        <f>INDEX(DataSet!B:B,MATCH('Advanced  Formulas'!A769,DataSet!A:A,0))</f>
        <v>45628</v>
      </c>
      <c r="I769" s="29">
        <f>INDEX(DataSet!C:C,MATCH('Advanced  Formulas'!A769,DataSet!A:A,0))</f>
        <v>45629</v>
      </c>
      <c r="J769" t="str">
        <f t="shared" si="35"/>
        <v>Review</v>
      </c>
      <c r="K769" s="10" t="str">
        <f>CONCATENATE(DataSet!E769,"-",DataSet!G769)</f>
        <v>Isha Panjwani-Indore</v>
      </c>
    </row>
    <row r="770" spans="1:11">
      <c r="A770" t="str">
        <v>ORD-2026-00769</v>
      </c>
      <c r="B770" s="2">
        <v>520</v>
      </c>
      <c r="C770" s="2">
        <v>121.81</v>
      </c>
      <c r="D770" s="28">
        <v>0.2</v>
      </c>
      <c r="E770" t="str">
        <f t="shared" si="33"/>
        <v>Loss</v>
      </c>
      <c r="F770" t="str">
        <f t="shared" si="34"/>
        <v>Low</v>
      </c>
      <c r="G770" t="str">
        <f>VLOOKUP(A770,DataSet!$1:$1048576,5,FALSE)</f>
        <v>Zoya Rao</v>
      </c>
      <c r="H770" s="29">
        <f>INDEX(DataSet!B:B,MATCH('Advanced  Formulas'!A770,DataSet!A:A,0))</f>
        <v>46072</v>
      </c>
      <c r="I770" s="29">
        <f>INDEX(DataSet!C:C,MATCH('Advanced  Formulas'!A770,DataSet!A:A,0))</f>
        <v>46076</v>
      </c>
      <c r="J770" t="str">
        <f t="shared" si="35"/>
        <v>Review</v>
      </c>
      <c r="K770" s="10" t="str">
        <f>CONCATENATE(DataSet!E770,"-",DataSet!G770)</f>
        <v>Zoya Rao-Delhi</v>
      </c>
    </row>
    <row r="771" spans="1:11">
      <c r="A771" t="str">
        <v>ORD-2025-00770</v>
      </c>
      <c r="B771" s="2">
        <v>4940</v>
      </c>
      <c r="C771" s="2">
        <v>637.63</v>
      </c>
      <c r="D771" s="28">
        <v>0.05</v>
      </c>
      <c r="E771" t="str">
        <f t="shared" ref="E771:E834" si="36">IF(C771&gt;200,"Profit","Loss")</f>
        <v>Profit</v>
      </c>
      <c r="F771" t="str">
        <f t="shared" ref="F771:F834" si="37">IF(B771&gt;6000,"High",IF(B771&gt;=3000,"Medium",IF(B771&lt;3000,"Low")))</f>
        <v>Medium</v>
      </c>
      <c r="G771" t="str">
        <f>VLOOKUP(A771,DataSet!$1:$1048576,5,FALSE)</f>
        <v>Aarav Desai</v>
      </c>
      <c r="H771" s="29">
        <f>INDEX(DataSet!B:B,MATCH('Advanced  Formulas'!A771,DataSet!A:A,0))</f>
        <v>45658</v>
      </c>
      <c r="I771" s="29">
        <f>INDEX(DataSet!C:C,MATCH('Advanced  Formulas'!A771,DataSet!A:A,0))</f>
        <v>45662</v>
      </c>
      <c r="J771" t="str">
        <f t="shared" ref="J771:J834" si="38">IF(AND(B771&gt;3000,C771&gt;0),"Good Order","Review")</f>
        <v>Good Order</v>
      </c>
      <c r="K771" s="10" t="str">
        <f>CONCATENATE(DataSet!E771,"-",DataSet!G771)</f>
        <v>Aarav Desai-Surat</v>
      </c>
    </row>
    <row r="772" spans="1:11">
      <c r="A772" t="str">
        <v>ORD-2026-00771</v>
      </c>
      <c r="B772" s="2">
        <v>11050</v>
      </c>
      <c r="C772" s="2">
        <v>2154.0700000000002</v>
      </c>
      <c r="D772" s="28">
        <v>0.15</v>
      </c>
      <c r="E772" t="str">
        <f t="shared" si="36"/>
        <v>Profit</v>
      </c>
      <c r="F772" t="str">
        <f t="shared" si="37"/>
        <v>High</v>
      </c>
      <c r="G772" t="str">
        <f>VLOOKUP(A772,DataSet!$1:$1048576,5,FALSE)</f>
        <v>Myra Desai</v>
      </c>
      <c r="H772" s="29">
        <f>INDEX(DataSet!B:B,MATCH('Advanced  Formulas'!A772,DataSet!A:A,0))</f>
        <v>46068</v>
      </c>
      <c r="I772" s="29">
        <f>INDEX(DataSet!C:C,MATCH('Advanced  Formulas'!A772,DataSet!A:A,0))</f>
        <v>46071</v>
      </c>
      <c r="J772" t="str">
        <f t="shared" si="38"/>
        <v>Good Order</v>
      </c>
      <c r="K772" s="10" t="str">
        <f>CONCATENATE(DataSet!E772,"-",DataSet!G772)</f>
        <v>Myra Desai-Bengaluru</v>
      </c>
    </row>
    <row r="773" spans="1:11">
      <c r="A773" t="str">
        <v>ORD-2024-00772</v>
      </c>
      <c r="B773" s="2">
        <v>576</v>
      </c>
      <c r="C773" s="2">
        <v>142.28</v>
      </c>
      <c r="D773" s="28">
        <v>0.2</v>
      </c>
      <c r="E773" t="str">
        <f t="shared" si="36"/>
        <v>Loss</v>
      </c>
      <c r="F773" t="str">
        <f t="shared" si="37"/>
        <v>Low</v>
      </c>
      <c r="G773" t="str">
        <f>VLOOKUP(A773,DataSet!$1:$1048576,5,FALSE)</f>
        <v>Arjun Dave</v>
      </c>
      <c r="H773" s="29">
        <f>INDEX(DataSet!B:B,MATCH('Advanced  Formulas'!A773,DataSet!A:A,0))</f>
        <v>45329</v>
      </c>
      <c r="I773" s="29">
        <f>INDEX(DataSet!C:C,MATCH('Advanced  Formulas'!A773,DataSet!A:A,0))</f>
        <v>45332</v>
      </c>
      <c r="J773" t="str">
        <f t="shared" si="38"/>
        <v>Review</v>
      </c>
      <c r="K773" s="10" t="str">
        <f>CONCATENATE(DataSet!E773,"-",DataSet!G773)</f>
        <v>Arjun Dave-Jaipur</v>
      </c>
    </row>
    <row r="774" spans="1:11">
      <c r="A774" t="str">
        <v>ORD-2024-00773</v>
      </c>
      <c r="B774" s="2">
        <v>432</v>
      </c>
      <c r="C774" s="2">
        <v>143.88999999999999</v>
      </c>
      <c r="D774" s="28">
        <v>0.2</v>
      </c>
      <c r="E774" t="str">
        <f t="shared" si="36"/>
        <v>Loss</v>
      </c>
      <c r="F774" t="str">
        <f t="shared" si="37"/>
        <v>Low</v>
      </c>
      <c r="G774" t="str">
        <f>VLOOKUP(A774,DataSet!$1:$1048576,5,FALSE)</f>
        <v>Yusuf Rao</v>
      </c>
      <c r="H774" s="29">
        <f>INDEX(DataSet!B:B,MATCH('Advanced  Formulas'!A774,DataSet!A:A,0))</f>
        <v>45466</v>
      </c>
      <c r="I774" s="29">
        <f>INDEX(DataSet!C:C,MATCH('Advanced  Formulas'!A774,DataSet!A:A,0))</f>
        <v>45471</v>
      </c>
      <c r="J774" t="str">
        <f t="shared" si="38"/>
        <v>Review</v>
      </c>
      <c r="K774" s="10" t="str">
        <f>CONCATENATE(DataSet!E774,"-",DataSet!G774)</f>
        <v>Yusuf Rao-Vadodara</v>
      </c>
    </row>
    <row r="775" spans="1:11">
      <c r="A775" t="str">
        <v>ORD-2026-00774</v>
      </c>
      <c r="B775" s="2">
        <v>720</v>
      </c>
      <c r="C775" s="2">
        <v>147.15</v>
      </c>
      <c r="D775" s="28">
        <v>0.2</v>
      </c>
      <c r="E775" t="str">
        <f t="shared" si="36"/>
        <v>Loss</v>
      </c>
      <c r="F775" t="str">
        <f t="shared" si="37"/>
        <v>Low</v>
      </c>
      <c r="G775" t="str">
        <f>VLOOKUP(A775,DataSet!$1:$1048576,5,FALSE)</f>
        <v>Aarav Panjwani</v>
      </c>
      <c r="H775" s="29">
        <f>INDEX(DataSet!B:B,MATCH('Advanced  Formulas'!A775,DataSet!A:A,0))</f>
        <v>46038</v>
      </c>
      <c r="I775" s="29">
        <f>INDEX(DataSet!C:C,MATCH('Advanced  Formulas'!A775,DataSet!A:A,0))</f>
        <v>46045</v>
      </c>
      <c r="J775" t="str">
        <f t="shared" si="38"/>
        <v>Review</v>
      </c>
      <c r="K775" s="10" t="str">
        <f>CONCATENATE(DataSet!E775,"-",DataSet!G775)</f>
        <v>Aarav Panjwani-Rajkot</v>
      </c>
    </row>
    <row r="776" spans="1:11">
      <c r="A776" t="str">
        <v>ORD-2026-00775</v>
      </c>
      <c r="B776" s="2">
        <v>3040</v>
      </c>
      <c r="C776" s="2">
        <v>654.34</v>
      </c>
      <c r="D776" s="28">
        <v>0.2</v>
      </c>
      <c r="E776" t="str">
        <f t="shared" si="36"/>
        <v>Profit</v>
      </c>
      <c r="F776" t="str">
        <f t="shared" si="37"/>
        <v>Medium</v>
      </c>
      <c r="G776" t="str">
        <f>VLOOKUP(A776,DataSet!$1:$1048576,5,FALSE)</f>
        <v>Zoya Soni</v>
      </c>
      <c r="H776" s="29">
        <f>INDEX(DataSet!B:B,MATCH('Advanced  Formulas'!A776,DataSet!A:A,0))</f>
        <v>46166</v>
      </c>
      <c r="I776" s="29">
        <f>INDEX(DataSet!C:C,MATCH('Advanced  Formulas'!A776,DataSet!A:A,0))</f>
        <v>46169</v>
      </c>
      <c r="J776" t="str">
        <f t="shared" si="38"/>
        <v>Good Order</v>
      </c>
      <c r="K776" s="10" t="str">
        <f>CONCATENATE(DataSet!E776,"-",DataSet!G776)</f>
        <v>Zoya Soni-Pune</v>
      </c>
    </row>
    <row r="777" spans="1:11">
      <c r="A777" t="str">
        <v>ORD-2024-00776</v>
      </c>
      <c r="B777" s="2">
        <v>1672</v>
      </c>
      <c r="C777" s="2">
        <v>620.58000000000004</v>
      </c>
      <c r="D777" s="28">
        <v>0.05</v>
      </c>
      <c r="E777" t="str">
        <f t="shared" si="36"/>
        <v>Profit</v>
      </c>
      <c r="F777" t="str">
        <f t="shared" si="37"/>
        <v>Low</v>
      </c>
      <c r="G777" t="str">
        <f>VLOOKUP(A777,DataSet!$1:$1048576,5,FALSE)</f>
        <v>Aditya Shah</v>
      </c>
      <c r="H777" s="29">
        <f>INDEX(DataSet!B:B,MATCH('Advanced  Formulas'!A777,DataSet!A:A,0))</f>
        <v>45340</v>
      </c>
      <c r="I777" s="29">
        <f>INDEX(DataSet!C:C,MATCH('Advanced  Formulas'!A777,DataSet!A:A,0))</f>
        <v>45343</v>
      </c>
      <c r="J777" t="str">
        <f t="shared" si="38"/>
        <v>Review</v>
      </c>
      <c r="K777" s="10" t="str">
        <f>CONCATENATE(DataSet!E777,"-",DataSet!G777)</f>
        <v>Aditya Shah-Indore</v>
      </c>
    </row>
    <row r="778" spans="1:11">
      <c r="A778" t="str">
        <v>ORD-2026-00777</v>
      </c>
      <c r="B778" s="2">
        <v>4400</v>
      </c>
      <c r="C778" s="2">
        <v>1483.83</v>
      </c>
      <c r="D778" s="28">
        <v>0</v>
      </c>
      <c r="E778" t="str">
        <f t="shared" si="36"/>
        <v>Profit</v>
      </c>
      <c r="F778" t="str">
        <f t="shared" si="37"/>
        <v>Medium</v>
      </c>
      <c r="G778" t="str">
        <f>VLOOKUP(A778,DataSet!$1:$1048576,5,FALSE)</f>
        <v>Kabir Kapoor</v>
      </c>
      <c r="H778" s="29">
        <f>INDEX(DataSet!B:B,MATCH('Advanced  Formulas'!A778,DataSet!A:A,0))</f>
        <v>46047</v>
      </c>
      <c r="I778" s="29">
        <f>INDEX(DataSet!C:C,MATCH('Advanced  Formulas'!A778,DataSet!A:A,0))</f>
        <v>46049</v>
      </c>
      <c r="J778" t="str">
        <f t="shared" si="38"/>
        <v>Good Order</v>
      </c>
      <c r="K778" s="10" t="str">
        <f>CONCATENATE(DataSet!E778,"-",DataSet!G778)</f>
        <v>Kabir Kapoor-Chennai</v>
      </c>
    </row>
    <row r="779" spans="1:11">
      <c r="A779" t="str">
        <v>ORD-2024-00778</v>
      </c>
      <c r="B779" s="2">
        <v>48450</v>
      </c>
      <c r="C779" s="2">
        <v>14934.23</v>
      </c>
      <c r="D779" s="28">
        <v>0.05</v>
      </c>
      <c r="E779" t="str">
        <f t="shared" si="36"/>
        <v>Profit</v>
      </c>
      <c r="F779" t="str">
        <f t="shared" si="37"/>
        <v>High</v>
      </c>
      <c r="G779" t="str">
        <f>VLOOKUP(A779,DataSet!$1:$1048576,5,FALSE)</f>
        <v>Myra Trivedi</v>
      </c>
      <c r="H779" s="29">
        <f>INDEX(DataSet!B:B,MATCH('Advanced  Formulas'!A779,DataSet!A:A,0))</f>
        <v>45320</v>
      </c>
      <c r="I779" s="29">
        <f>INDEX(DataSet!C:C,MATCH('Advanced  Formulas'!A779,DataSet!A:A,0))</f>
        <v>45324</v>
      </c>
      <c r="J779" t="str">
        <f t="shared" si="38"/>
        <v>Good Order</v>
      </c>
      <c r="K779" s="10" t="str">
        <f>CONCATENATE(DataSet!E779,"-",DataSet!G779)</f>
        <v>Myra Trivedi-Pune</v>
      </c>
    </row>
    <row r="780" spans="1:11">
      <c r="A780" t="str">
        <v>ORD-2025-00779</v>
      </c>
      <c r="B780" s="2">
        <v>68000</v>
      </c>
      <c r="C780" s="2">
        <v>14783.83</v>
      </c>
      <c r="D780" s="28">
        <v>0</v>
      </c>
      <c r="E780" t="str">
        <f t="shared" si="36"/>
        <v>Profit</v>
      </c>
      <c r="F780" t="str">
        <f t="shared" si="37"/>
        <v>High</v>
      </c>
      <c r="G780" t="str">
        <f>VLOOKUP(A780,DataSet!$1:$1048576,5,FALSE)</f>
        <v>Anaya Shah</v>
      </c>
      <c r="H780" s="29">
        <f>INDEX(DataSet!B:B,MATCH('Advanced  Formulas'!A780,DataSet!A:A,0))</f>
        <v>45824</v>
      </c>
      <c r="I780" s="29">
        <f>INDEX(DataSet!C:C,MATCH('Advanced  Formulas'!A780,DataSet!A:A,0))</f>
        <v>45831</v>
      </c>
      <c r="J780" t="str">
        <f t="shared" si="38"/>
        <v>Good Order</v>
      </c>
      <c r="K780" s="10" t="str">
        <f>CONCATENATE(DataSet!E780,"-",DataSet!G780)</f>
        <v>Anaya Shah-Vadodara</v>
      </c>
    </row>
    <row r="781" spans="1:11">
      <c r="A781" t="str">
        <v>ORD-2025-00780</v>
      </c>
      <c r="B781" s="2">
        <v>855</v>
      </c>
      <c r="C781" s="2">
        <v>299.89999999999998</v>
      </c>
      <c r="D781" s="28">
        <v>0.1</v>
      </c>
      <c r="E781" t="str">
        <f t="shared" si="36"/>
        <v>Profit</v>
      </c>
      <c r="F781" t="str">
        <f t="shared" si="37"/>
        <v>Low</v>
      </c>
      <c r="G781" t="str">
        <f>VLOOKUP(A781,DataSet!$1:$1048576,5,FALSE)</f>
        <v>Aanya Shah</v>
      </c>
      <c r="H781" s="29">
        <f>INDEX(DataSet!B:B,MATCH('Advanced  Formulas'!A781,DataSet!A:A,0))</f>
        <v>45678</v>
      </c>
      <c r="I781" s="29">
        <f>INDEX(DataSet!C:C,MATCH('Advanced  Formulas'!A781,DataSet!A:A,0))</f>
        <v>45681</v>
      </c>
      <c r="J781" t="str">
        <f t="shared" si="38"/>
        <v>Review</v>
      </c>
      <c r="K781" s="10" t="str">
        <f>CONCATENATE(DataSet!E781,"-",DataSet!G781)</f>
        <v>Aanya Shah-Indore</v>
      </c>
    </row>
    <row r="782" spans="1:11">
      <c r="A782" t="str">
        <v>ORD-2025-00781</v>
      </c>
      <c r="B782" s="2">
        <v>2720</v>
      </c>
      <c r="C782" s="2">
        <v>440.61</v>
      </c>
      <c r="D782" s="28">
        <v>0.15</v>
      </c>
      <c r="E782" t="str">
        <f t="shared" si="36"/>
        <v>Profit</v>
      </c>
      <c r="F782" t="str">
        <f t="shared" si="37"/>
        <v>Low</v>
      </c>
      <c r="G782" t="str">
        <f>VLOOKUP(A782,DataSet!$1:$1048576,5,FALSE)</f>
        <v>Meera Iyer</v>
      </c>
      <c r="H782" s="29">
        <f>INDEX(DataSet!B:B,MATCH('Advanced  Formulas'!A782,DataSet!A:A,0))</f>
        <v>45864</v>
      </c>
      <c r="I782" s="29">
        <f>INDEX(DataSet!C:C,MATCH('Advanced  Formulas'!A782,DataSet!A:A,0))</f>
        <v>45865</v>
      </c>
      <c r="J782" t="str">
        <f t="shared" si="38"/>
        <v>Review</v>
      </c>
      <c r="K782" s="10" t="str">
        <f>CONCATENATE(DataSet!E782,"-",DataSet!G782)</f>
        <v>Meera Iyer-Rajkot</v>
      </c>
    </row>
    <row r="783" spans="1:11">
      <c r="A783" t="str">
        <v>ORD-2024-00782</v>
      </c>
      <c r="B783" s="2">
        <v>3040</v>
      </c>
      <c r="C783" s="2">
        <v>617.91</v>
      </c>
      <c r="D783" s="28">
        <v>0.05</v>
      </c>
      <c r="E783" t="str">
        <f t="shared" si="36"/>
        <v>Profit</v>
      </c>
      <c r="F783" t="str">
        <f t="shared" si="37"/>
        <v>Medium</v>
      </c>
      <c r="G783" t="str">
        <f>VLOOKUP(A783,DataSet!$1:$1048576,5,FALSE)</f>
        <v>Aarav Khan</v>
      </c>
      <c r="H783" s="29">
        <f>INDEX(DataSet!B:B,MATCH('Advanced  Formulas'!A783,DataSet!A:A,0))</f>
        <v>45302</v>
      </c>
      <c r="I783" s="29">
        <f>INDEX(DataSet!C:C,MATCH('Advanced  Formulas'!A783,DataSet!A:A,0))</f>
        <v>45306</v>
      </c>
      <c r="J783" t="str">
        <f t="shared" si="38"/>
        <v>Good Order</v>
      </c>
      <c r="K783" s="10" t="str">
        <f>CONCATENATE(DataSet!E783,"-",DataSet!G783)</f>
        <v>Aarav Khan-Pune</v>
      </c>
    </row>
    <row r="784" spans="1:11">
      <c r="A784" t="str">
        <v>ORD-2025-00783</v>
      </c>
      <c r="B784" s="2">
        <v>1105</v>
      </c>
      <c r="C784" s="2">
        <v>168.24</v>
      </c>
      <c r="D784" s="28">
        <v>0.15</v>
      </c>
      <c r="E784" t="str">
        <f t="shared" si="36"/>
        <v>Loss</v>
      </c>
      <c r="F784" t="str">
        <f t="shared" si="37"/>
        <v>Low</v>
      </c>
      <c r="G784" t="str">
        <f>VLOOKUP(A784,DataSet!$1:$1048576,5,FALSE)</f>
        <v>Yusuf Mehta</v>
      </c>
      <c r="H784" s="29">
        <f>INDEX(DataSet!B:B,MATCH('Advanced  Formulas'!A784,DataSet!A:A,0))</f>
        <v>45893</v>
      </c>
      <c r="I784" s="29">
        <f>INDEX(DataSet!C:C,MATCH('Advanced  Formulas'!A784,DataSet!A:A,0))</f>
        <v>45895</v>
      </c>
      <c r="J784" t="str">
        <f t="shared" si="38"/>
        <v>Review</v>
      </c>
      <c r="K784" s="10" t="str">
        <f>CONCATENATE(DataSet!E784,"-",DataSet!G784)</f>
        <v>Yusuf Mehta-Bhavnagar</v>
      </c>
    </row>
    <row r="785" spans="1:11">
      <c r="A785" t="str">
        <v>ORD-2024-00784</v>
      </c>
      <c r="B785" s="2">
        <v>1760</v>
      </c>
      <c r="C785" s="2">
        <v>557.53</v>
      </c>
      <c r="D785" s="28">
        <v>0</v>
      </c>
      <c r="E785" t="str">
        <f t="shared" si="36"/>
        <v>Profit</v>
      </c>
      <c r="F785" t="str">
        <f t="shared" si="37"/>
        <v>Low</v>
      </c>
      <c r="G785" t="str">
        <f>VLOOKUP(A785,DataSet!$1:$1048576,5,FALSE)</f>
        <v>Diya Patel</v>
      </c>
      <c r="H785" s="29">
        <f>INDEX(DataSet!B:B,MATCH('Advanced  Formulas'!A785,DataSet!A:A,0))</f>
        <v>45554</v>
      </c>
      <c r="I785" s="29">
        <f>INDEX(DataSet!C:C,MATCH('Advanced  Formulas'!A785,DataSet!A:A,0))</f>
        <v>45557</v>
      </c>
      <c r="J785" t="str">
        <f t="shared" si="38"/>
        <v>Review</v>
      </c>
      <c r="K785" s="10" t="str">
        <f>CONCATENATE(DataSet!E785,"-",DataSet!G785)</f>
        <v>Diya Patel-Pune</v>
      </c>
    </row>
    <row r="786" spans="1:11">
      <c r="A786" t="str">
        <v>ORD-2025-00785</v>
      </c>
      <c r="B786" s="2">
        <v>8400</v>
      </c>
      <c r="C786" s="2">
        <v>2166.56</v>
      </c>
      <c r="D786" s="28">
        <v>0</v>
      </c>
      <c r="E786" t="str">
        <f t="shared" si="36"/>
        <v>Profit</v>
      </c>
      <c r="F786" t="str">
        <f t="shared" si="37"/>
        <v>High</v>
      </c>
      <c r="G786" t="str">
        <f>VLOOKUP(A786,DataSet!$1:$1048576,5,FALSE)</f>
        <v>Aditya Joshi</v>
      </c>
      <c r="H786" s="29">
        <f>INDEX(DataSet!B:B,MATCH('Advanced  Formulas'!A786,DataSet!A:A,0))</f>
        <v>45890</v>
      </c>
      <c r="I786" s="29">
        <f>INDEX(DataSet!C:C,MATCH('Advanced  Formulas'!A786,DataSet!A:A,0))</f>
        <v>45894</v>
      </c>
      <c r="J786" t="str">
        <f t="shared" si="38"/>
        <v>Good Order</v>
      </c>
      <c r="K786" s="10" t="str">
        <f>CONCATENATE(DataSet!E786,"-",DataSet!G786)</f>
        <v>Aditya Joshi-Delhi</v>
      </c>
    </row>
    <row r="787" spans="1:11">
      <c r="A787" t="str">
        <v>ORD-2025-00786</v>
      </c>
      <c r="B787" s="2">
        <v>612</v>
      </c>
      <c r="C787" s="2">
        <v>88.44</v>
      </c>
      <c r="D787" s="28">
        <v>0.15</v>
      </c>
      <c r="E787" t="str">
        <f t="shared" si="36"/>
        <v>Loss</v>
      </c>
      <c r="F787" t="str">
        <f t="shared" si="37"/>
        <v>Low</v>
      </c>
      <c r="G787" t="str">
        <f>VLOOKUP(A787,DataSet!$1:$1048576,5,FALSE)</f>
        <v>Diya Panjwani</v>
      </c>
      <c r="H787" s="29">
        <f>INDEX(DataSet!B:B,MATCH('Advanced  Formulas'!A787,DataSet!A:A,0))</f>
        <v>45822</v>
      </c>
      <c r="I787" s="29">
        <f>INDEX(DataSet!C:C,MATCH('Advanced  Formulas'!A787,DataSet!A:A,0))</f>
        <v>45827</v>
      </c>
      <c r="J787" t="str">
        <f t="shared" si="38"/>
        <v>Review</v>
      </c>
      <c r="K787" s="10" t="str">
        <f>CONCATENATE(DataSet!E787,"-",DataSet!G787)</f>
        <v>Diya Panjwani-Bengaluru</v>
      </c>
    </row>
    <row r="788" spans="1:11">
      <c r="A788" t="str">
        <v>ORD-2026-00787</v>
      </c>
      <c r="B788" s="2">
        <v>1080</v>
      </c>
      <c r="C788" s="2">
        <v>222.86</v>
      </c>
      <c r="D788" s="28">
        <v>0</v>
      </c>
      <c r="E788" t="str">
        <f t="shared" si="36"/>
        <v>Profit</v>
      </c>
      <c r="F788" t="str">
        <f t="shared" si="37"/>
        <v>Low</v>
      </c>
      <c r="G788" t="str">
        <f>VLOOKUP(A788,DataSet!$1:$1048576,5,FALSE)</f>
        <v>Rohan Dave</v>
      </c>
      <c r="H788" s="29">
        <f>INDEX(DataSet!B:B,MATCH('Advanced  Formulas'!A788,DataSet!A:A,0))</f>
        <v>46291</v>
      </c>
      <c r="I788" s="29">
        <f>INDEX(DataSet!C:C,MATCH('Advanced  Formulas'!A788,DataSet!A:A,0))</f>
        <v>46293</v>
      </c>
      <c r="J788" t="str">
        <f t="shared" si="38"/>
        <v>Review</v>
      </c>
      <c r="K788" s="10" t="str">
        <f>CONCATENATE(DataSet!E788,"-",DataSet!G788)</f>
        <v>Rohan Dave-Bengaluru</v>
      </c>
    </row>
    <row r="789" spans="1:11">
      <c r="A789" t="str">
        <v>ORD-2026-00788</v>
      </c>
      <c r="B789" s="2">
        <v>13950</v>
      </c>
      <c r="C789" s="2">
        <v>3899.85</v>
      </c>
      <c r="D789" s="28">
        <v>0.1</v>
      </c>
      <c r="E789" t="str">
        <f t="shared" si="36"/>
        <v>Profit</v>
      </c>
      <c r="F789" t="str">
        <f t="shared" si="37"/>
        <v>High</v>
      </c>
      <c r="G789" t="str">
        <f>VLOOKUP(A789,DataSet!$1:$1048576,5,FALSE)</f>
        <v>Rohan Sheikh</v>
      </c>
      <c r="H789" s="29">
        <f>INDEX(DataSet!B:B,MATCH('Advanced  Formulas'!A789,DataSet!A:A,0))</f>
        <v>46164</v>
      </c>
      <c r="I789" s="29">
        <f>INDEX(DataSet!C:C,MATCH('Advanced  Formulas'!A789,DataSet!A:A,0))</f>
        <v>46169</v>
      </c>
      <c r="J789" t="str">
        <f t="shared" si="38"/>
        <v>Good Order</v>
      </c>
      <c r="K789" s="10" t="str">
        <f>CONCATENATE(DataSet!E789,"-",DataSet!G789)</f>
        <v>Rohan Sheikh-Lucknow</v>
      </c>
    </row>
    <row r="790" spans="1:11">
      <c r="A790" t="str">
        <v>ORD-2024-00789</v>
      </c>
      <c r="B790" s="2">
        <v>816</v>
      </c>
      <c r="C790" s="2">
        <v>246.5</v>
      </c>
      <c r="D790" s="28">
        <v>0.15</v>
      </c>
      <c r="E790" t="str">
        <f t="shared" si="36"/>
        <v>Profit</v>
      </c>
      <c r="F790" t="str">
        <f t="shared" si="37"/>
        <v>Low</v>
      </c>
      <c r="G790" t="str">
        <f>VLOOKUP(A790,DataSet!$1:$1048576,5,FALSE)</f>
        <v>Aditya Iyer</v>
      </c>
      <c r="H790" s="29">
        <f>INDEX(DataSet!B:B,MATCH('Advanced  Formulas'!A790,DataSet!A:A,0))</f>
        <v>45516</v>
      </c>
      <c r="I790" s="29">
        <f>INDEX(DataSet!C:C,MATCH('Advanced  Formulas'!A790,DataSet!A:A,0))</f>
        <v>45517</v>
      </c>
      <c r="J790" t="str">
        <f t="shared" si="38"/>
        <v>Review</v>
      </c>
      <c r="K790" s="10" t="str">
        <f>CONCATENATE(DataSet!E790,"-",DataSet!G790)</f>
        <v>Aditya Iyer-Bengaluru</v>
      </c>
    </row>
    <row r="791" spans="1:11">
      <c r="A791" t="str">
        <v>ORD-2024-00790</v>
      </c>
      <c r="B791" s="2">
        <v>1450</v>
      </c>
      <c r="C791" s="2">
        <v>416.08</v>
      </c>
      <c r="D791" s="28">
        <v>0</v>
      </c>
      <c r="E791" t="str">
        <f t="shared" si="36"/>
        <v>Profit</v>
      </c>
      <c r="F791" t="str">
        <f t="shared" si="37"/>
        <v>Low</v>
      </c>
      <c r="G791" t="str">
        <f>VLOOKUP(A791,DataSet!$1:$1048576,5,FALSE)</f>
        <v>Anaya Mehta</v>
      </c>
      <c r="H791" s="29">
        <f>INDEX(DataSet!B:B,MATCH('Advanced  Formulas'!A791,DataSet!A:A,0))</f>
        <v>45502</v>
      </c>
      <c r="I791" s="29">
        <f>INDEX(DataSet!C:C,MATCH('Advanced  Formulas'!A791,DataSet!A:A,0))</f>
        <v>45506</v>
      </c>
      <c r="J791" t="str">
        <f t="shared" si="38"/>
        <v>Review</v>
      </c>
      <c r="K791" s="10" t="str">
        <f>CONCATENATE(DataSet!E791,"-",DataSet!G791)</f>
        <v>Anaya Mehta-Surat</v>
      </c>
    </row>
    <row r="792" spans="1:11">
      <c r="A792" t="str">
        <v>ORD-2024-00791</v>
      </c>
      <c r="B792" s="2">
        <v>4200</v>
      </c>
      <c r="C792" s="2">
        <v>1379.98</v>
      </c>
      <c r="D792" s="28">
        <v>0</v>
      </c>
      <c r="E792" t="str">
        <f t="shared" si="36"/>
        <v>Profit</v>
      </c>
      <c r="F792" t="str">
        <f t="shared" si="37"/>
        <v>Medium</v>
      </c>
      <c r="G792" t="str">
        <f>VLOOKUP(A792,DataSet!$1:$1048576,5,FALSE)</f>
        <v>Myra Sheikh</v>
      </c>
      <c r="H792" s="29">
        <f>INDEX(DataSet!B:B,MATCH('Advanced  Formulas'!A792,DataSet!A:A,0))</f>
        <v>45491</v>
      </c>
      <c r="I792" s="29">
        <f>INDEX(DataSet!C:C,MATCH('Advanced  Formulas'!A792,DataSet!A:A,0))</f>
        <v>45497</v>
      </c>
      <c r="J792" t="str">
        <f t="shared" si="38"/>
        <v>Good Order</v>
      </c>
      <c r="K792" s="10" t="str">
        <f>CONCATENATE(DataSet!E792,"-",DataSet!G792)</f>
        <v>Myra Sheikh-Lucknow</v>
      </c>
    </row>
    <row r="793" spans="1:11">
      <c r="A793" t="str">
        <v>ORD-2024-00792</v>
      </c>
      <c r="B793" s="2">
        <v>480</v>
      </c>
      <c r="C793" s="2">
        <v>160.43</v>
      </c>
      <c r="D793" s="28">
        <v>0</v>
      </c>
      <c r="E793" t="str">
        <f t="shared" si="36"/>
        <v>Loss</v>
      </c>
      <c r="F793" t="str">
        <f t="shared" si="37"/>
        <v>Low</v>
      </c>
      <c r="G793" t="str">
        <f>VLOOKUP(A793,DataSet!$1:$1048576,5,FALSE)</f>
        <v>Anaya Patel</v>
      </c>
      <c r="H793" s="29">
        <f>INDEX(DataSet!B:B,MATCH('Advanced  Formulas'!A793,DataSet!A:A,0))</f>
        <v>45639</v>
      </c>
      <c r="I793" s="29">
        <f>INDEX(DataSet!C:C,MATCH('Advanced  Formulas'!A793,DataSet!A:A,0))</f>
        <v>45646</v>
      </c>
      <c r="J793" t="str">
        <f t="shared" si="38"/>
        <v>Review</v>
      </c>
      <c r="K793" s="10" t="str">
        <f>CONCATENATE(DataSet!E793,"-",DataSet!G793)</f>
        <v>Anaya Patel-Delhi</v>
      </c>
    </row>
    <row r="794" spans="1:11">
      <c r="A794" t="str">
        <v>ORD-2025-00793</v>
      </c>
      <c r="B794" s="2">
        <v>5510</v>
      </c>
      <c r="C794" s="2">
        <v>1398.92</v>
      </c>
      <c r="D794" s="28">
        <v>0.05</v>
      </c>
      <c r="E794" t="str">
        <f t="shared" si="36"/>
        <v>Profit</v>
      </c>
      <c r="F794" t="str">
        <f t="shared" si="37"/>
        <v>Medium</v>
      </c>
      <c r="G794" t="str">
        <f>VLOOKUP(A794,DataSet!$1:$1048576,5,FALSE)</f>
        <v>Zoya Kapoor</v>
      </c>
      <c r="H794" s="29">
        <f>INDEX(DataSet!B:B,MATCH('Advanced  Formulas'!A794,DataSet!A:A,0))</f>
        <v>45680</v>
      </c>
      <c r="I794" s="29">
        <f>INDEX(DataSet!C:C,MATCH('Advanced  Formulas'!A794,DataSet!A:A,0))</f>
        <v>45686</v>
      </c>
      <c r="J794" t="str">
        <f t="shared" si="38"/>
        <v>Good Order</v>
      </c>
      <c r="K794" s="10" t="str">
        <f>CONCATENATE(DataSet!E794,"-",DataSet!G794)</f>
        <v>Zoya Kapoor-Hyderabad</v>
      </c>
    </row>
    <row r="795" spans="1:11">
      <c r="A795" t="str">
        <v>ORD-2026-00794</v>
      </c>
      <c r="B795" s="2">
        <v>2200</v>
      </c>
      <c r="C795" s="2">
        <v>331.08</v>
      </c>
      <c r="D795" s="28">
        <v>0</v>
      </c>
      <c r="E795" t="str">
        <f t="shared" si="36"/>
        <v>Profit</v>
      </c>
      <c r="F795" t="str">
        <f t="shared" si="37"/>
        <v>Low</v>
      </c>
      <c r="G795" t="str">
        <f>VLOOKUP(A795,DataSet!$1:$1048576,5,FALSE)</f>
        <v>Reyansh Desai</v>
      </c>
      <c r="H795" s="29">
        <f>INDEX(DataSet!B:B,MATCH('Advanced  Formulas'!A795,DataSet!A:A,0))</f>
        <v>46292</v>
      </c>
      <c r="I795" s="29">
        <f>INDEX(DataSet!C:C,MATCH('Advanced  Formulas'!A795,DataSet!A:A,0))</f>
        <v>46299</v>
      </c>
      <c r="J795" t="str">
        <f t="shared" si="38"/>
        <v>Review</v>
      </c>
      <c r="K795" s="10" t="str">
        <f>CONCATENATE(DataSet!E795,"-",DataSet!G795)</f>
        <v>Reyansh Desai-Lucknow</v>
      </c>
    </row>
    <row r="796" spans="1:11">
      <c r="A796" t="str">
        <v>ORD-2025-00795</v>
      </c>
      <c r="B796" s="2">
        <v>297.5</v>
      </c>
      <c r="C796" s="2">
        <v>60.93</v>
      </c>
      <c r="D796" s="28">
        <v>0.15</v>
      </c>
      <c r="E796" t="str">
        <f t="shared" si="36"/>
        <v>Loss</v>
      </c>
      <c r="F796" t="str">
        <f t="shared" si="37"/>
        <v>Low</v>
      </c>
      <c r="G796" t="str">
        <f>VLOOKUP(A796,DataSet!$1:$1048576,5,FALSE)</f>
        <v>Kiara Joshi</v>
      </c>
      <c r="H796" s="29">
        <f>INDEX(DataSet!B:B,MATCH('Advanced  Formulas'!A796,DataSet!A:A,0))</f>
        <v>46003</v>
      </c>
      <c r="I796" s="29">
        <f>INDEX(DataSet!C:C,MATCH('Advanced  Formulas'!A796,DataSet!A:A,0))</f>
        <v>46006</v>
      </c>
      <c r="J796" t="str">
        <f t="shared" si="38"/>
        <v>Review</v>
      </c>
      <c r="K796" s="10" t="str">
        <f>CONCATENATE(DataSet!E796,"-",DataSet!G796)</f>
        <v>Kiara Joshi-Mumbai</v>
      </c>
    </row>
    <row r="797" spans="1:11">
      <c r="A797" t="str">
        <v>ORD-2024-00796</v>
      </c>
      <c r="B797" s="2">
        <v>52000</v>
      </c>
      <c r="C797" s="2">
        <v>9926.92</v>
      </c>
      <c r="D797" s="28">
        <v>0</v>
      </c>
      <c r="E797" t="str">
        <f t="shared" si="36"/>
        <v>Profit</v>
      </c>
      <c r="F797" t="str">
        <f t="shared" si="37"/>
        <v>High</v>
      </c>
      <c r="G797" t="str">
        <f>VLOOKUP(A797,DataSet!$1:$1048576,5,FALSE)</f>
        <v>Fatima Iyer</v>
      </c>
      <c r="H797" s="29">
        <f>INDEX(DataSet!B:B,MATCH('Advanced  Formulas'!A797,DataSet!A:A,0))</f>
        <v>45545</v>
      </c>
      <c r="I797" s="29">
        <f>INDEX(DataSet!C:C,MATCH('Advanced  Formulas'!A797,DataSet!A:A,0))</f>
        <v>45546</v>
      </c>
      <c r="J797" t="str">
        <f t="shared" si="38"/>
        <v>Good Order</v>
      </c>
      <c r="K797" s="10" t="str">
        <f>CONCATENATE(DataSet!E797,"-",DataSet!G797)</f>
        <v>Fatima Iyer-Bengaluru</v>
      </c>
    </row>
    <row r="798" spans="1:11">
      <c r="A798" t="str">
        <v>ORD-2024-00797</v>
      </c>
      <c r="B798" s="2">
        <v>1188</v>
      </c>
      <c r="C798" s="2">
        <v>273.33999999999997</v>
      </c>
      <c r="D798" s="28">
        <v>0.1</v>
      </c>
      <c r="E798" t="str">
        <f t="shared" si="36"/>
        <v>Profit</v>
      </c>
      <c r="F798" t="str">
        <f t="shared" si="37"/>
        <v>Low</v>
      </c>
      <c r="G798" t="str">
        <f>VLOOKUP(A798,DataSet!$1:$1048576,5,FALSE)</f>
        <v>Aditya Verma</v>
      </c>
      <c r="H798" s="29">
        <f>INDEX(DataSet!B:B,MATCH('Advanced  Formulas'!A798,DataSet!A:A,0))</f>
        <v>45358</v>
      </c>
      <c r="I798" s="29">
        <f>INDEX(DataSet!C:C,MATCH('Advanced  Formulas'!A798,DataSet!A:A,0))</f>
        <v>45360</v>
      </c>
      <c r="J798" t="str">
        <f t="shared" si="38"/>
        <v>Review</v>
      </c>
      <c r="K798" s="10" t="str">
        <f>CONCATENATE(DataSet!E798,"-",DataSet!G798)</f>
        <v>Aditya Verma-Delhi</v>
      </c>
    </row>
    <row r="799" spans="1:11">
      <c r="A799" t="str">
        <v>ORD-2025-00798</v>
      </c>
      <c r="B799" s="2">
        <v>6800</v>
      </c>
      <c r="C799" s="2">
        <v>1722.13</v>
      </c>
      <c r="D799" s="28">
        <v>0.15</v>
      </c>
      <c r="E799" t="str">
        <f t="shared" si="36"/>
        <v>Profit</v>
      </c>
      <c r="F799" t="str">
        <f t="shared" si="37"/>
        <v>High</v>
      </c>
      <c r="G799" t="str">
        <f>VLOOKUP(A799,DataSet!$1:$1048576,5,FALSE)</f>
        <v>Yusuf Kapoor</v>
      </c>
      <c r="H799" s="29">
        <f>INDEX(DataSet!B:B,MATCH('Advanced  Formulas'!A799,DataSet!A:A,0))</f>
        <v>46003</v>
      </c>
      <c r="I799" s="29">
        <f>INDEX(DataSet!C:C,MATCH('Advanced  Formulas'!A799,DataSet!A:A,0))</f>
        <v>46007</v>
      </c>
      <c r="J799" t="str">
        <f t="shared" si="38"/>
        <v>Good Order</v>
      </c>
      <c r="K799" s="10" t="str">
        <f>CONCATENATE(DataSet!E799,"-",DataSet!G799)</f>
        <v>Yusuf Kapoor-Chennai</v>
      </c>
    </row>
    <row r="800" spans="1:11">
      <c r="A800" t="str">
        <v>ORD-2024-00799</v>
      </c>
      <c r="B800" s="2">
        <v>570</v>
      </c>
      <c r="C800" s="2">
        <v>149.34</v>
      </c>
      <c r="D800" s="28">
        <v>0.05</v>
      </c>
      <c r="E800" t="str">
        <f t="shared" si="36"/>
        <v>Loss</v>
      </c>
      <c r="F800" t="str">
        <f t="shared" si="37"/>
        <v>Low</v>
      </c>
      <c r="G800" t="str">
        <f>VLOOKUP(A800,DataSet!$1:$1048576,5,FALSE)</f>
        <v>Yusuf Mehta</v>
      </c>
      <c r="H800" s="29">
        <f>INDEX(DataSet!B:B,MATCH('Advanced  Formulas'!A800,DataSet!A:A,0))</f>
        <v>45516</v>
      </c>
      <c r="I800" s="29">
        <f>INDEX(DataSet!C:C,MATCH('Advanced  Formulas'!A800,DataSet!A:A,0))</f>
        <v>45518</v>
      </c>
      <c r="J800" t="str">
        <f t="shared" si="38"/>
        <v>Review</v>
      </c>
      <c r="K800" s="10" t="str">
        <f>CONCATENATE(DataSet!E800,"-",DataSet!G800)</f>
        <v>Yusuf Mehta-Jaipur</v>
      </c>
    </row>
    <row r="801" spans="1:11">
      <c r="A801" t="str">
        <v>ORD-2025-00800</v>
      </c>
      <c r="B801" s="2">
        <v>9860</v>
      </c>
      <c r="C801" s="2">
        <v>2623.65</v>
      </c>
      <c r="D801" s="28">
        <v>0.15</v>
      </c>
      <c r="E801" t="str">
        <f t="shared" si="36"/>
        <v>Profit</v>
      </c>
      <c r="F801" t="str">
        <f t="shared" si="37"/>
        <v>High</v>
      </c>
      <c r="G801" t="str">
        <f>VLOOKUP(A801,DataSet!$1:$1048576,5,FALSE)</f>
        <v>Diya Khan</v>
      </c>
      <c r="H801" s="29">
        <f>INDEX(DataSet!B:B,MATCH('Advanced  Formulas'!A801,DataSet!A:A,0))</f>
        <v>45855</v>
      </c>
      <c r="I801" s="29">
        <f>INDEX(DataSet!C:C,MATCH('Advanced  Formulas'!A801,DataSet!A:A,0))</f>
        <v>45856</v>
      </c>
      <c r="J801" t="str">
        <f t="shared" si="38"/>
        <v>Good Order</v>
      </c>
      <c r="K801" s="10" t="str">
        <f>CONCATENATE(DataSet!E801,"-",DataSet!G801)</f>
        <v>Diya Khan-Surat</v>
      </c>
    </row>
    <row r="802" spans="1:11">
      <c r="A802" t="str">
        <v>ORD-2024-00801</v>
      </c>
      <c r="B802" s="2">
        <v>10640</v>
      </c>
      <c r="C802" s="2">
        <v>1737.82</v>
      </c>
      <c r="D802" s="28">
        <v>0.05</v>
      </c>
      <c r="E802" t="str">
        <f t="shared" si="36"/>
        <v>Profit</v>
      </c>
      <c r="F802" t="str">
        <f t="shared" si="37"/>
        <v>High</v>
      </c>
      <c r="G802" t="str">
        <f>VLOOKUP(A802,DataSet!$1:$1048576,5,FALSE)</f>
        <v>Arjun Panjwani</v>
      </c>
      <c r="H802" s="29">
        <f>INDEX(DataSet!B:B,MATCH('Advanced  Formulas'!A802,DataSet!A:A,0))</f>
        <v>45636</v>
      </c>
      <c r="I802" s="29">
        <f>INDEX(DataSet!C:C,MATCH('Advanced  Formulas'!A802,DataSet!A:A,0))</f>
        <v>45640</v>
      </c>
      <c r="J802" t="str">
        <f t="shared" si="38"/>
        <v>Good Order</v>
      </c>
      <c r="K802" s="10" t="str">
        <f>CONCATENATE(DataSet!E802,"-",DataSet!G802)</f>
        <v>Arjun Panjwani-Jaipur</v>
      </c>
    </row>
    <row r="803" spans="1:11">
      <c r="A803" t="str">
        <v>ORD-2025-00802</v>
      </c>
      <c r="B803" s="2">
        <v>2755</v>
      </c>
      <c r="C803" s="2">
        <v>422.68</v>
      </c>
      <c r="D803" s="28">
        <v>0.05</v>
      </c>
      <c r="E803" t="str">
        <f t="shared" si="36"/>
        <v>Profit</v>
      </c>
      <c r="F803" t="str">
        <f t="shared" si="37"/>
        <v>Low</v>
      </c>
      <c r="G803" t="str">
        <f>VLOOKUP(A803,DataSet!$1:$1048576,5,FALSE)</f>
        <v>Kiara Kapoor</v>
      </c>
      <c r="H803" s="29">
        <f>INDEX(DataSet!B:B,MATCH('Advanced  Formulas'!A803,DataSet!A:A,0))</f>
        <v>45744</v>
      </c>
      <c r="I803" s="29">
        <f>INDEX(DataSet!C:C,MATCH('Advanced  Formulas'!A803,DataSet!A:A,0))</f>
        <v>45746</v>
      </c>
      <c r="J803" t="str">
        <f t="shared" si="38"/>
        <v>Review</v>
      </c>
      <c r="K803" s="10" t="str">
        <f>CONCATENATE(DataSet!E803,"-",DataSet!G803)</f>
        <v>Kiara Kapoor-Rajkot</v>
      </c>
    </row>
    <row r="804" spans="1:11">
      <c r="A804" t="str">
        <v>ORD-2026-00803</v>
      </c>
      <c r="B804" s="2">
        <v>3900</v>
      </c>
      <c r="C804" s="2">
        <v>928.33</v>
      </c>
      <c r="D804" s="28">
        <v>0</v>
      </c>
      <c r="E804" t="str">
        <f t="shared" si="36"/>
        <v>Profit</v>
      </c>
      <c r="F804" t="str">
        <f t="shared" si="37"/>
        <v>Medium</v>
      </c>
      <c r="G804" t="str">
        <f>VLOOKUP(A804,DataSet!$1:$1048576,5,FALSE)</f>
        <v>Reyansh Kapoor</v>
      </c>
      <c r="H804" s="29">
        <f>INDEX(DataSet!B:B,MATCH('Advanced  Formulas'!A804,DataSet!A:A,0))</f>
        <v>46240</v>
      </c>
      <c r="I804" s="29">
        <f>INDEX(DataSet!C:C,MATCH('Advanced  Formulas'!A804,DataSet!A:A,0))</f>
        <v>46242</v>
      </c>
      <c r="J804" t="str">
        <f t="shared" si="38"/>
        <v>Good Order</v>
      </c>
      <c r="K804" s="10" t="str">
        <f>CONCATENATE(DataSet!E804,"-",DataSet!G804)</f>
        <v>Reyansh Kapoor-Bhavnagar</v>
      </c>
    </row>
    <row r="805" spans="1:11">
      <c r="A805" t="str">
        <v>ORD-2024-00804</v>
      </c>
      <c r="B805" s="2">
        <v>15600</v>
      </c>
      <c r="C805" s="2">
        <v>2459.29</v>
      </c>
      <c r="D805" s="28">
        <v>0.2</v>
      </c>
      <c r="E805" t="str">
        <f t="shared" si="36"/>
        <v>Profit</v>
      </c>
      <c r="F805" t="str">
        <f t="shared" si="37"/>
        <v>High</v>
      </c>
      <c r="G805" t="str">
        <f>VLOOKUP(A805,DataSet!$1:$1048576,5,FALSE)</f>
        <v>Arjun Patel</v>
      </c>
      <c r="H805" s="29">
        <f>INDEX(DataSet!B:B,MATCH('Advanced  Formulas'!A805,DataSet!A:A,0))</f>
        <v>45601</v>
      </c>
      <c r="I805" s="29">
        <f>INDEX(DataSet!C:C,MATCH('Advanced  Formulas'!A805,DataSet!A:A,0))</f>
        <v>45607</v>
      </c>
      <c r="J805" t="str">
        <f t="shared" si="38"/>
        <v>Good Order</v>
      </c>
      <c r="K805" s="10" t="str">
        <f>CONCATENATE(DataSet!E805,"-",DataSet!G805)</f>
        <v>Arjun Patel-Kolkata</v>
      </c>
    </row>
    <row r="806" spans="1:11">
      <c r="A806" t="str">
        <v>ORD-2026-00805</v>
      </c>
      <c r="B806" s="2">
        <v>1440</v>
      </c>
      <c r="C806" s="2">
        <v>280.70999999999998</v>
      </c>
      <c r="D806" s="28">
        <v>0.1</v>
      </c>
      <c r="E806" t="str">
        <f t="shared" si="36"/>
        <v>Profit</v>
      </c>
      <c r="F806" t="str">
        <f t="shared" si="37"/>
        <v>Low</v>
      </c>
      <c r="G806" t="str">
        <f>VLOOKUP(A806,DataSet!$1:$1048576,5,FALSE)</f>
        <v>Vivaan Rao</v>
      </c>
      <c r="H806" s="29">
        <f>INDEX(DataSet!B:B,MATCH('Advanced  Formulas'!A806,DataSet!A:A,0))</f>
        <v>46134</v>
      </c>
      <c r="I806" s="29">
        <f>INDEX(DataSet!C:C,MATCH('Advanced  Formulas'!A806,DataSet!A:A,0))</f>
        <v>46137</v>
      </c>
      <c r="J806" t="str">
        <f t="shared" si="38"/>
        <v>Review</v>
      </c>
      <c r="K806" s="10" t="str">
        <f>CONCATENATE(DataSet!E806,"-",DataSet!G806)</f>
        <v>Vivaan Rao-Hyderabad</v>
      </c>
    </row>
    <row r="807" spans="1:11">
      <c r="A807" t="str">
        <v>ORD-2024-00806</v>
      </c>
      <c r="B807" s="2">
        <v>510</v>
      </c>
      <c r="C807" s="2">
        <v>104.49</v>
      </c>
      <c r="D807" s="28">
        <v>0.15</v>
      </c>
      <c r="E807" t="str">
        <f t="shared" si="36"/>
        <v>Loss</v>
      </c>
      <c r="F807" t="str">
        <f t="shared" si="37"/>
        <v>Low</v>
      </c>
      <c r="G807" t="str">
        <f>VLOOKUP(A807,DataSet!$1:$1048576,5,FALSE)</f>
        <v>Rohan Verma</v>
      </c>
      <c r="H807" s="29">
        <f>INDEX(DataSet!B:B,MATCH('Advanced  Formulas'!A807,DataSet!A:A,0))</f>
        <v>45524</v>
      </c>
      <c r="I807" s="29">
        <f>INDEX(DataSet!C:C,MATCH('Advanced  Formulas'!A807,DataSet!A:A,0))</f>
        <v>45530</v>
      </c>
      <c r="J807" t="str">
        <f t="shared" si="38"/>
        <v>Review</v>
      </c>
      <c r="K807" s="10" t="str">
        <f>CONCATENATE(DataSet!E807,"-",DataSet!G807)</f>
        <v>Rohan Verma-Chennai</v>
      </c>
    </row>
    <row r="808" spans="1:11">
      <c r="A808" t="str">
        <v>ORD-2026-00807</v>
      </c>
      <c r="B808" s="2">
        <v>1050</v>
      </c>
      <c r="C808" s="2">
        <v>279.24</v>
      </c>
      <c r="D808" s="28">
        <v>0</v>
      </c>
      <c r="E808" t="str">
        <f t="shared" si="36"/>
        <v>Profit</v>
      </c>
      <c r="F808" t="str">
        <f t="shared" si="37"/>
        <v>Low</v>
      </c>
      <c r="G808" t="str">
        <f>VLOOKUP(A808,DataSet!$1:$1048576,5,FALSE)</f>
        <v>Kiara Patel</v>
      </c>
      <c r="H808" s="29">
        <f>INDEX(DataSet!B:B,MATCH('Advanced  Formulas'!A808,DataSet!A:A,0))</f>
        <v>46102</v>
      </c>
      <c r="I808" s="29">
        <f>INDEX(DataSet!C:C,MATCH('Advanced  Formulas'!A808,DataSet!A:A,0))</f>
        <v>46103</v>
      </c>
      <c r="J808" t="str">
        <f t="shared" si="38"/>
        <v>Review</v>
      </c>
      <c r="K808" s="10" t="str">
        <f>CONCATENATE(DataSet!E808,"-",DataSet!G808)</f>
        <v>Kiara Patel-Mumbai</v>
      </c>
    </row>
    <row r="809" spans="1:11">
      <c r="A809" t="str">
        <v>ORD-2025-00808</v>
      </c>
      <c r="B809" s="2">
        <v>26880</v>
      </c>
      <c r="C809" s="2">
        <v>3577.25</v>
      </c>
      <c r="D809" s="28">
        <v>0.2</v>
      </c>
      <c r="E809" t="str">
        <f t="shared" si="36"/>
        <v>Profit</v>
      </c>
      <c r="F809" t="str">
        <f t="shared" si="37"/>
        <v>High</v>
      </c>
      <c r="G809" t="str">
        <f>VLOOKUP(A809,DataSet!$1:$1048576,5,FALSE)</f>
        <v>Myra Panjwani</v>
      </c>
      <c r="H809" s="29">
        <f>INDEX(DataSet!B:B,MATCH('Advanced  Formulas'!A809,DataSet!A:A,0))</f>
        <v>45883</v>
      </c>
      <c r="I809" s="29">
        <f>INDEX(DataSet!C:C,MATCH('Advanced  Formulas'!A809,DataSet!A:A,0))</f>
        <v>45890</v>
      </c>
      <c r="J809" t="str">
        <f t="shared" si="38"/>
        <v>Good Order</v>
      </c>
      <c r="K809" s="10" t="str">
        <f>CONCATENATE(DataSet!E809,"-",DataSet!G809)</f>
        <v>Myra Panjwani-Surat</v>
      </c>
    </row>
    <row r="810" spans="1:11">
      <c r="A810" t="str">
        <v>ORD-2026-00809</v>
      </c>
      <c r="B810" s="2">
        <v>2380</v>
      </c>
      <c r="C810" s="2">
        <v>364.87</v>
      </c>
      <c r="D810" s="28">
        <v>0.15</v>
      </c>
      <c r="E810" t="str">
        <f t="shared" si="36"/>
        <v>Profit</v>
      </c>
      <c r="F810" t="str">
        <f t="shared" si="37"/>
        <v>Low</v>
      </c>
      <c r="G810" t="str">
        <f>VLOOKUP(A810,DataSet!$1:$1048576,5,FALSE)</f>
        <v>Vivaan Mehta</v>
      </c>
      <c r="H810" s="29">
        <f>INDEX(DataSet!B:B,MATCH('Advanced  Formulas'!A810,DataSet!A:A,0))</f>
        <v>46073</v>
      </c>
      <c r="I810" s="29">
        <f>INDEX(DataSet!C:C,MATCH('Advanced  Formulas'!A810,DataSet!A:A,0))</f>
        <v>46080</v>
      </c>
      <c r="J810" t="str">
        <f t="shared" si="38"/>
        <v>Review</v>
      </c>
      <c r="K810" s="10" t="str">
        <f>CONCATENATE(DataSet!E810,"-",DataSet!G810)</f>
        <v>Vivaan Mehta-Chennai</v>
      </c>
    </row>
    <row r="811" spans="1:11">
      <c r="A811" t="str">
        <v>ORD-2025-00810</v>
      </c>
      <c r="B811" s="2">
        <v>5760</v>
      </c>
      <c r="C811" s="2">
        <v>2006.99</v>
      </c>
      <c r="D811" s="28">
        <v>0.1</v>
      </c>
      <c r="E811" t="str">
        <f t="shared" si="36"/>
        <v>Profit</v>
      </c>
      <c r="F811" t="str">
        <f t="shared" si="37"/>
        <v>Medium</v>
      </c>
      <c r="G811" t="str">
        <f>VLOOKUP(A811,DataSet!$1:$1048576,5,FALSE)</f>
        <v>Reyansh Khan</v>
      </c>
      <c r="H811" s="29">
        <f>INDEX(DataSet!B:B,MATCH('Advanced  Formulas'!A811,DataSet!A:A,0))</f>
        <v>45936</v>
      </c>
      <c r="I811" s="29">
        <f>INDEX(DataSet!C:C,MATCH('Advanced  Formulas'!A811,DataSet!A:A,0))</f>
        <v>45943</v>
      </c>
      <c r="J811" t="str">
        <f t="shared" si="38"/>
        <v>Good Order</v>
      </c>
      <c r="K811" s="10" t="str">
        <f>CONCATENATE(DataSet!E811,"-",DataSet!G811)</f>
        <v>Reyansh Khan-Lucknow</v>
      </c>
    </row>
    <row r="812" spans="1:11">
      <c r="A812" t="str">
        <v>ORD-2025-00811</v>
      </c>
      <c r="B812" s="2">
        <v>12600</v>
      </c>
      <c r="C812" s="2">
        <v>2577.0700000000002</v>
      </c>
      <c r="D812" s="28">
        <v>0</v>
      </c>
      <c r="E812" t="str">
        <f t="shared" si="36"/>
        <v>Profit</v>
      </c>
      <c r="F812" t="str">
        <f t="shared" si="37"/>
        <v>High</v>
      </c>
      <c r="G812" t="str">
        <f>VLOOKUP(A812,DataSet!$1:$1048576,5,FALSE)</f>
        <v>Diya Rao</v>
      </c>
      <c r="H812" s="29">
        <f>INDEX(DataSet!B:B,MATCH('Advanced  Formulas'!A812,DataSet!A:A,0))</f>
        <v>45875</v>
      </c>
      <c r="I812" s="29">
        <f>INDEX(DataSet!C:C,MATCH('Advanced  Formulas'!A812,DataSet!A:A,0))</f>
        <v>45879</v>
      </c>
      <c r="J812" t="str">
        <f t="shared" si="38"/>
        <v>Good Order</v>
      </c>
      <c r="K812" s="10" t="str">
        <f>CONCATENATE(DataSet!E812,"-",DataSet!G812)</f>
        <v>Diya Rao-Bengaluru</v>
      </c>
    </row>
    <row r="813" spans="1:11">
      <c r="A813" t="str">
        <v>ORD-2025-00812</v>
      </c>
      <c r="B813" s="2">
        <v>1197</v>
      </c>
      <c r="C813" s="2">
        <v>381.8</v>
      </c>
      <c r="D813" s="28">
        <v>0.05</v>
      </c>
      <c r="E813" t="str">
        <f t="shared" si="36"/>
        <v>Profit</v>
      </c>
      <c r="F813" t="str">
        <f t="shared" si="37"/>
        <v>Low</v>
      </c>
      <c r="G813" t="str">
        <f>VLOOKUP(A813,DataSet!$1:$1048576,5,FALSE)</f>
        <v>Dev Shah</v>
      </c>
      <c r="H813" s="29">
        <f>INDEX(DataSet!B:B,MATCH('Advanced  Formulas'!A813,DataSet!A:A,0))</f>
        <v>45792</v>
      </c>
      <c r="I813" s="29">
        <f>INDEX(DataSet!C:C,MATCH('Advanced  Formulas'!A813,DataSet!A:A,0))</f>
        <v>45793</v>
      </c>
      <c r="J813" t="str">
        <f t="shared" si="38"/>
        <v>Review</v>
      </c>
      <c r="K813" s="10" t="str">
        <f>CONCATENATE(DataSet!E813,"-",DataSet!G813)</f>
        <v>Dev Shah-Surat</v>
      </c>
    </row>
    <row r="814" spans="1:11">
      <c r="A814" t="str">
        <v>ORD-2025-00813</v>
      </c>
      <c r="B814" s="2">
        <v>2016</v>
      </c>
      <c r="C814" s="2">
        <v>653.53</v>
      </c>
      <c r="D814" s="28">
        <v>0.1</v>
      </c>
      <c r="E814" t="str">
        <f t="shared" si="36"/>
        <v>Profit</v>
      </c>
      <c r="F814" t="str">
        <f t="shared" si="37"/>
        <v>Low</v>
      </c>
      <c r="G814" t="str">
        <f>VLOOKUP(A814,DataSet!$1:$1048576,5,FALSE)</f>
        <v>Vivaan Soni</v>
      </c>
      <c r="H814" s="29">
        <f>INDEX(DataSet!B:B,MATCH('Advanced  Formulas'!A814,DataSet!A:A,0))</f>
        <v>45669</v>
      </c>
      <c r="I814" s="29">
        <f>INDEX(DataSet!C:C,MATCH('Advanced  Formulas'!A814,DataSet!A:A,0))</f>
        <v>45674</v>
      </c>
      <c r="J814" t="str">
        <f t="shared" si="38"/>
        <v>Review</v>
      </c>
      <c r="K814" s="10" t="str">
        <f>CONCATENATE(DataSet!E814,"-",DataSet!G814)</f>
        <v>Vivaan Soni-Ahmedabad</v>
      </c>
    </row>
    <row r="815" spans="1:11">
      <c r="A815" t="str">
        <v>ORD-2026-00814</v>
      </c>
      <c r="B815" s="2">
        <v>456</v>
      </c>
      <c r="C815" s="2">
        <v>118.62</v>
      </c>
      <c r="D815" s="28">
        <v>0.05</v>
      </c>
      <c r="E815" t="str">
        <f t="shared" si="36"/>
        <v>Loss</v>
      </c>
      <c r="F815" t="str">
        <f t="shared" si="37"/>
        <v>Low</v>
      </c>
      <c r="G815" t="str">
        <f>VLOOKUP(A815,DataSet!$1:$1048576,5,FALSE)</f>
        <v>Fatima Mehta</v>
      </c>
      <c r="H815" s="29">
        <f>INDEX(DataSet!B:B,MATCH('Advanced  Formulas'!A815,DataSet!A:A,0))</f>
        <v>46052</v>
      </c>
      <c r="I815" s="29">
        <f>INDEX(DataSet!C:C,MATCH('Advanced  Formulas'!A815,DataSet!A:A,0))</f>
        <v>46053</v>
      </c>
      <c r="J815" t="str">
        <f t="shared" si="38"/>
        <v>Review</v>
      </c>
      <c r="K815" s="10" t="str">
        <f>CONCATENATE(DataSet!E815,"-",DataSet!G815)</f>
        <v>Fatima Mehta-Pune</v>
      </c>
    </row>
    <row r="816" spans="1:11">
      <c r="A816" t="str">
        <v>ORD-2026-00815</v>
      </c>
      <c r="B816" s="2">
        <v>684</v>
      </c>
      <c r="C816" s="2">
        <v>218.92</v>
      </c>
      <c r="D816" s="28">
        <v>0.05</v>
      </c>
      <c r="E816" t="str">
        <f t="shared" si="36"/>
        <v>Profit</v>
      </c>
      <c r="F816" t="str">
        <f t="shared" si="37"/>
        <v>Low</v>
      </c>
      <c r="G816" t="str">
        <f>VLOOKUP(A816,DataSet!$1:$1048576,5,FALSE)</f>
        <v>Rohan Shah</v>
      </c>
      <c r="H816" s="29">
        <f>INDEX(DataSet!B:B,MATCH('Advanced  Formulas'!A816,DataSet!A:A,0))</f>
        <v>46253</v>
      </c>
      <c r="I816" s="29">
        <f>INDEX(DataSet!C:C,MATCH('Advanced  Formulas'!A816,DataSet!A:A,0))</f>
        <v>46256</v>
      </c>
      <c r="J816" t="str">
        <f t="shared" si="38"/>
        <v>Review</v>
      </c>
      <c r="K816" s="10" t="str">
        <f>CONCATENATE(DataSet!E816,"-",DataSet!G816)</f>
        <v>Rohan Shah-Lucknow</v>
      </c>
    </row>
    <row r="817" spans="1:11">
      <c r="A817" t="str">
        <v>ORD-2026-00816</v>
      </c>
      <c r="B817" s="2">
        <v>22320</v>
      </c>
      <c r="C817" s="2">
        <v>5461.69</v>
      </c>
      <c r="D817" s="28">
        <v>0.1</v>
      </c>
      <c r="E817" t="str">
        <f t="shared" si="36"/>
        <v>Profit</v>
      </c>
      <c r="F817" t="str">
        <f t="shared" si="37"/>
        <v>High</v>
      </c>
      <c r="G817" t="str">
        <f>VLOOKUP(A817,DataSet!$1:$1048576,5,FALSE)</f>
        <v>Kabir Joshi</v>
      </c>
      <c r="H817" s="29">
        <f>INDEX(DataSet!B:B,MATCH('Advanced  Formulas'!A817,DataSet!A:A,0))</f>
        <v>46118</v>
      </c>
      <c r="I817" s="29">
        <f>INDEX(DataSet!C:C,MATCH('Advanced  Formulas'!A817,DataSet!A:A,0))</f>
        <v>46120</v>
      </c>
      <c r="J817" t="str">
        <f t="shared" si="38"/>
        <v>Good Order</v>
      </c>
      <c r="K817" s="10" t="str">
        <f>CONCATENATE(DataSet!E817,"-",DataSet!G817)</f>
        <v>Kabir Joshi-Delhi</v>
      </c>
    </row>
    <row r="818" spans="1:11">
      <c r="A818" t="str">
        <v>ORD-2024-00817</v>
      </c>
      <c r="B818" s="2">
        <v>2025</v>
      </c>
      <c r="C818" s="2">
        <v>607.96</v>
      </c>
      <c r="D818" s="28">
        <v>0.1</v>
      </c>
      <c r="E818" t="str">
        <f t="shared" si="36"/>
        <v>Profit</v>
      </c>
      <c r="F818" t="str">
        <f t="shared" si="37"/>
        <v>Low</v>
      </c>
      <c r="G818" t="str">
        <f>VLOOKUP(A818,DataSet!$1:$1048576,5,FALSE)</f>
        <v>Meera Verma</v>
      </c>
      <c r="H818" s="29">
        <f>INDEX(DataSet!B:B,MATCH('Advanced  Formulas'!A818,DataSet!A:A,0))</f>
        <v>45647</v>
      </c>
      <c r="I818" s="29">
        <f>INDEX(DataSet!C:C,MATCH('Advanced  Formulas'!A818,DataSet!A:A,0))</f>
        <v>45653</v>
      </c>
      <c r="J818" t="str">
        <f t="shared" si="38"/>
        <v>Review</v>
      </c>
      <c r="K818" s="10" t="str">
        <f>CONCATENATE(DataSet!E818,"-",DataSet!G818)</f>
        <v>Meera Verma-Kolkata</v>
      </c>
    </row>
    <row r="819" spans="1:11">
      <c r="A819" t="str">
        <v>ORD-2025-00818</v>
      </c>
      <c r="B819" s="2">
        <v>550</v>
      </c>
      <c r="C819" s="2">
        <v>82.37</v>
      </c>
      <c r="D819" s="28">
        <v>0</v>
      </c>
      <c r="E819" t="str">
        <f t="shared" si="36"/>
        <v>Loss</v>
      </c>
      <c r="F819" t="str">
        <f t="shared" si="37"/>
        <v>Low</v>
      </c>
      <c r="G819" t="str">
        <f>VLOOKUP(A819,DataSet!$1:$1048576,5,FALSE)</f>
        <v>Arjun Sheikh</v>
      </c>
      <c r="H819" s="29">
        <f>INDEX(DataSet!B:B,MATCH('Advanced  Formulas'!A819,DataSet!A:A,0))</f>
        <v>45685</v>
      </c>
      <c r="I819" s="29">
        <f>INDEX(DataSet!C:C,MATCH('Advanced  Formulas'!A819,DataSet!A:A,0))</f>
        <v>45691</v>
      </c>
      <c r="J819" t="str">
        <f t="shared" si="38"/>
        <v>Review</v>
      </c>
      <c r="K819" s="10" t="str">
        <f>CONCATENATE(DataSet!E819,"-",DataSet!G819)</f>
        <v>Arjun Sheikh-Surat</v>
      </c>
    </row>
    <row r="820" spans="1:11">
      <c r="A820" t="str">
        <v>ORD-2024-00819</v>
      </c>
      <c r="B820" s="2">
        <v>6840</v>
      </c>
      <c r="C820" s="2">
        <v>731.73</v>
      </c>
      <c r="D820" s="28">
        <v>0.1</v>
      </c>
      <c r="E820" t="str">
        <f t="shared" si="36"/>
        <v>Profit</v>
      </c>
      <c r="F820" t="str">
        <f t="shared" si="37"/>
        <v>High</v>
      </c>
      <c r="G820" t="str">
        <f>VLOOKUP(A820,DataSet!$1:$1048576,5,FALSE)</f>
        <v>Anaya Trivedi</v>
      </c>
      <c r="H820" s="29">
        <f>INDEX(DataSet!B:B,MATCH('Advanced  Formulas'!A820,DataSet!A:A,0))</f>
        <v>45590</v>
      </c>
      <c r="I820" s="29">
        <f>INDEX(DataSet!C:C,MATCH('Advanced  Formulas'!A820,DataSet!A:A,0))</f>
        <v>45596</v>
      </c>
      <c r="J820" t="str">
        <f t="shared" si="38"/>
        <v>Good Order</v>
      </c>
      <c r="K820" s="10" t="str">
        <f>CONCATENATE(DataSet!E820,"-",DataSet!G820)</f>
        <v>Anaya Trivedi-Indore</v>
      </c>
    </row>
    <row r="821" spans="1:11">
      <c r="A821" t="str">
        <v>ORD-2025-00820</v>
      </c>
      <c r="B821" s="2">
        <v>6000</v>
      </c>
      <c r="C821" s="2">
        <v>1885.68</v>
      </c>
      <c r="D821" s="28">
        <v>0</v>
      </c>
      <c r="E821" t="str">
        <f t="shared" si="36"/>
        <v>Profit</v>
      </c>
      <c r="F821" t="str">
        <f t="shared" si="37"/>
        <v>Medium</v>
      </c>
      <c r="G821" t="str">
        <f>VLOOKUP(A821,DataSet!$1:$1048576,5,FALSE)</f>
        <v>Diya Khan</v>
      </c>
      <c r="H821" s="29">
        <f>INDEX(DataSet!B:B,MATCH('Advanced  Formulas'!A821,DataSet!A:A,0))</f>
        <v>45808</v>
      </c>
      <c r="I821" s="29">
        <f>INDEX(DataSet!C:C,MATCH('Advanced  Formulas'!A821,DataSet!A:A,0))</f>
        <v>45815</v>
      </c>
      <c r="J821" t="str">
        <f t="shared" si="38"/>
        <v>Good Order</v>
      </c>
      <c r="K821" s="10" t="str">
        <f>CONCATENATE(DataSet!E821,"-",DataSet!G821)</f>
        <v>Diya Khan-Hyderabad</v>
      </c>
    </row>
    <row r="822" spans="1:11">
      <c r="A822" t="str">
        <v>ORD-2025-00821</v>
      </c>
      <c r="B822" s="2">
        <v>7680</v>
      </c>
      <c r="C822" s="2">
        <v>1890.59</v>
      </c>
      <c r="D822" s="28">
        <v>0.2</v>
      </c>
      <c r="E822" t="str">
        <f t="shared" si="36"/>
        <v>Profit</v>
      </c>
      <c r="F822" t="str">
        <f t="shared" si="37"/>
        <v>High</v>
      </c>
      <c r="G822" t="str">
        <f>VLOOKUP(A822,DataSet!$1:$1048576,5,FALSE)</f>
        <v>Krish Patel</v>
      </c>
      <c r="H822" s="29">
        <f>INDEX(DataSet!B:B,MATCH('Advanced  Formulas'!A822,DataSet!A:A,0))</f>
        <v>45946</v>
      </c>
      <c r="I822" s="29">
        <f>INDEX(DataSet!C:C,MATCH('Advanced  Formulas'!A822,DataSet!A:A,0))</f>
        <v>45952</v>
      </c>
      <c r="J822" t="str">
        <f t="shared" si="38"/>
        <v>Good Order</v>
      </c>
      <c r="K822" s="10" t="str">
        <f>CONCATENATE(DataSet!E822,"-",DataSet!G822)</f>
        <v>Krish Patel-Bengaluru</v>
      </c>
    </row>
    <row r="823" spans="1:11">
      <c r="A823" t="str">
        <v>ORD-2024-00822</v>
      </c>
      <c r="B823" s="2">
        <v>2304</v>
      </c>
      <c r="C823" s="2">
        <v>564.59</v>
      </c>
      <c r="D823" s="28">
        <v>0.1</v>
      </c>
      <c r="E823" t="str">
        <f t="shared" si="36"/>
        <v>Profit</v>
      </c>
      <c r="F823" t="str">
        <f t="shared" si="37"/>
        <v>Low</v>
      </c>
      <c r="G823" t="str">
        <f>VLOOKUP(A823,DataSet!$1:$1048576,5,FALSE)</f>
        <v>Kiara Kapoor</v>
      </c>
      <c r="H823" s="29">
        <f>INDEX(DataSet!B:B,MATCH('Advanced  Formulas'!A823,DataSet!A:A,0))</f>
        <v>45409</v>
      </c>
      <c r="I823" s="29">
        <f>INDEX(DataSet!C:C,MATCH('Advanced  Formulas'!A823,DataSet!A:A,0))</f>
        <v>45415</v>
      </c>
      <c r="J823" t="str">
        <f t="shared" si="38"/>
        <v>Review</v>
      </c>
      <c r="K823" s="10" t="str">
        <f>CONCATENATE(DataSet!E823,"-",DataSet!G823)</f>
        <v>Kiara Kapoor-Indore</v>
      </c>
    </row>
    <row r="824" spans="1:11">
      <c r="A824" t="str">
        <v>ORD-2024-00823</v>
      </c>
      <c r="B824" s="2">
        <v>19500</v>
      </c>
      <c r="C824" s="2">
        <v>4332.57</v>
      </c>
      <c r="D824" s="28">
        <v>0</v>
      </c>
      <c r="E824" t="str">
        <f t="shared" si="36"/>
        <v>Profit</v>
      </c>
      <c r="F824" t="str">
        <f t="shared" si="37"/>
        <v>High</v>
      </c>
      <c r="G824" t="str">
        <f>VLOOKUP(A824,DataSet!$1:$1048576,5,FALSE)</f>
        <v>Sara Shah</v>
      </c>
      <c r="H824" s="29">
        <f>INDEX(DataSet!B:B,MATCH('Advanced  Formulas'!A824,DataSet!A:A,0))</f>
        <v>45435</v>
      </c>
      <c r="I824" s="29">
        <f>INDEX(DataSet!C:C,MATCH('Advanced  Formulas'!A824,DataSet!A:A,0))</f>
        <v>45439</v>
      </c>
      <c r="J824" t="str">
        <f t="shared" si="38"/>
        <v>Good Order</v>
      </c>
      <c r="K824" s="10" t="str">
        <f>CONCATENATE(DataSet!E824,"-",DataSet!G824)</f>
        <v>Sara Shah-Kolkata</v>
      </c>
    </row>
    <row r="825" spans="1:11">
      <c r="A825" t="str">
        <v>ORD-2024-00824</v>
      </c>
      <c r="B825" s="2">
        <v>3915</v>
      </c>
      <c r="C825" s="2">
        <v>1064.48</v>
      </c>
      <c r="D825" s="28">
        <v>0.1</v>
      </c>
      <c r="E825" t="str">
        <f t="shared" si="36"/>
        <v>Profit</v>
      </c>
      <c r="F825" t="str">
        <f t="shared" si="37"/>
        <v>Medium</v>
      </c>
      <c r="G825" t="str">
        <f>VLOOKUP(A825,DataSet!$1:$1048576,5,FALSE)</f>
        <v>Diya Sheikh</v>
      </c>
      <c r="H825" s="29">
        <f>INDEX(DataSet!B:B,MATCH('Advanced  Formulas'!A825,DataSet!A:A,0))</f>
        <v>45464</v>
      </c>
      <c r="I825" s="29">
        <f>INDEX(DataSet!C:C,MATCH('Advanced  Formulas'!A825,DataSet!A:A,0))</f>
        <v>45465</v>
      </c>
      <c r="J825" t="str">
        <f t="shared" si="38"/>
        <v>Good Order</v>
      </c>
      <c r="K825" s="10" t="str">
        <f>CONCATENATE(DataSet!E825,"-",DataSet!G825)</f>
        <v>Diya Sheikh-Bengaluru</v>
      </c>
    </row>
    <row r="826" spans="1:11">
      <c r="A826" t="str">
        <v>ORD-2024-00825</v>
      </c>
      <c r="B826" s="2">
        <v>15300</v>
      </c>
      <c r="C826" s="2">
        <v>2838.3</v>
      </c>
      <c r="D826" s="28">
        <v>0.1</v>
      </c>
      <c r="E826" t="str">
        <f t="shared" si="36"/>
        <v>Profit</v>
      </c>
      <c r="F826" t="str">
        <f t="shared" si="37"/>
        <v>High</v>
      </c>
      <c r="G826" t="str">
        <f>VLOOKUP(A826,DataSet!$1:$1048576,5,FALSE)</f>
        <v>Diya Dave</v>
      </c>
      <c r="H826" s="29">
        <f>INDEX(DataSet!B:B,MATCH('Advanced  Formulas'!A826,DataSet!A:A,0))</f>
        <v>45513</v>
      </c>
      <c r="I826" s="29">
        <f>INDEX(DataSet!C:C,MATCH('Advanced  Formulas'!A826,DataSet!A:A,0))</f>
        <v>45517</v>
      </c>
      <c r="J826" t="str">
        <f t="shared" si="38"/>
        <v>Good Order</v>
      </c>
      <c r="K826" s="10" t="str">
        <f>CONCATENATE(DataSet!E826,"-",DataSet!G826)</f>
        <v>Diya Dave-Chennai</v>
      </c>
    </row>
    <row r="827" spans="1:11">
      <c r="A827" t="str">
        <v>ORD-2026-00826</v>
      </c>
      <c r="B827" s="2">
        <v>720</v>
      </c>
      <c r="C827" s="2">
        <v>236.16</v>
      </c>
      <c r="D827" s="28">
        <v>0</v>
      </c>
      <c r="E827" t="str">
        <f t="shared" si="36"/>
        <v>Profit</v>
      </c>
      <c r="F827" t="str">
        <f t="shared" si="37"/>
        <v>Low</v>
      </c>
      <c r="G827" t="str">
        <f>VLOOKUP(A827,DataSet!$1:$1048576,5,FALSE)</f>
        <v>Aanya Patel</v>
      </c>
      <c r="H827" s="29">
        <f>INDEX(DataSet!B:B,MATCH('Advanced  Formulas'!A827,DataSet!A:A,0))</f>
        <v>46082</v>
      </c>
      <c r="I827" s="29">
        <f>INDEX(DataSet!C:C,MATCH('Advanced  Formulas'!A827,DataSet!A:A,0))</f>
        <v>46086</v>
      </c>
      <c r="J827" t="str">
        <f t="shared" si="38"/>
        <v>Review</v>
      </c>
      <c r="K827" s="10" t="str">
        <f>CONCATENATE(DataSet!E827,"-",DataSet!G827)</f>
        <v>Aanya Patel-Hyderabad</v>
      </c>
    </row>
    <row r="828" spans="1:11">
      <c r="A828" t="str">
        <v>ORD-2026-00827</v>
      </c>
      <c r="B828" s="2">
        <v>1520</v>
      </c>
      <c r="C828" s="2">
        <v>465.65</v>
      </c>
      <c r="D828" s="28">
        <v>0.2</v>
      </c>
      <c r="E828" t="str">
        <f t="shared" si="36"/>
        <v>Profit</v>
      </c>
      <c r="F828" t="str">
        <f t="shared" si="37"/>
        <v>Low</v>
      </c>
      <c r="G828" t="str">
        <f>VLOOKUP(A828,DataSet!$1:$1048576,5,FALSE)</f>
        <v>Diya Panjwani</v>
      </c>
      <c r="H828" s="29">
        <f>INDEX(DataSet!B:B,MATCH('Advanced  Formulas'!A828,DataSet!A:A,0))</f>
        <v>46132</v>
      </c>
      <c r="I828" s="29">
        <f>INDEX(DataSet!C:C,MATCH('Advanced  Formulas'!A828,DataSet!A:A,0))</f>
        <v>46134</v>
      </c>
      <c r="J828" t="str">
        <f t="shared" si="38"/>
        <v>Review</v>
      </c>
      <c r="K828" s="10" t="str">
        <f>CONCATENATE(DataSet!E828,"-",DataSet!G828)</f>
        <v>Diya Panjwani-Bengaluru</v>
      </c>
    </row>
    <row r="829" spans="1:11">
      <c r="A829" t="str">
        <v>ORD-2026-00828</v>
      </c>
      <c r="B829" s="2">
        <v>306</v>
      </c>
      <c r="C829" s="2">
        <v>77.959999999999994</v>
      </c>
      <c r="D829" s="28">
        <v>0.15</v>
      </c>
      <c r="E829" t="str">
        <f t="shared" si="36"/>
        <v>Loss</v>
      </c>
      <c r="F829" t="str">
        <f t="shared" si="37"/>
        <v>Low</v>
      </c>
      <c r="G829" t="str">
        <f>VLOOKUP(A829,DataSet!$1:$1048576,5,FALSE)</f>
        <v>Anaya Desai</v>
      </c>
      <c r="H829" s="29">
        <f>INDEX(DataSet!B:B,MATCH('Advanced  Formulas'!A829,DataSet!A:A,0))</f>
        <v>46127</v>
      </c>
      <c r="I829" s="29">
        <f>INDEX(DataSet!C:C,MATCH('Advanced  Formulas'!A829,DataSet!A:A,0))</f>
        <v>46130</v>
      </c>
      <c r="J829" t="str">
        <f t="shared" si="38"/>
        <v>Review</v>
      </c>
      <c r="K829" s="10" t="str">
        <f>CONCATENATE(DataSet!E829,"-",DataSet!G829)</f>
        <v>Anaya Desai-Mumbai</v>
      </c>
    </row>
    <row r="830" spans="1:11">
      <c r="A830" t="str">
        <v>ORD-2024-00829</v>
      </c>
      <c r="B830" s="2">
        <v>3300</v>
      </c>
      <c r="C830" s="2">
        <v>920.08</v>
      </c>
      <c r="D830" s="28">
        <v>0</v>
      </c>
      <c r="E830" t="str">
        <f t="shared" si="36"/>
        <v>Profit</v>
      </c>
      <c r="F830" t="str">
        <f t="shared" si="37"/>
        <v>Medium</v>
      </c>
      <c r="G830" t="str">
        <f>VLOOKUP(A830,DataSet!$1:$1048576,5,FALSE)</f>
        <v>Myra Shah</v>
      </c>
      <c r="H830" s="29">
        <f>INDEX(DataSet!B:B,MATCH('Advanced  Formulas'!A830,DataSet!A:A,0))</f>
        <v>45657</v>
      </c>
      <c r="I830" s="29">
        <f>INDEX(DataSet!C:C,MATCH('Advanced  Formulas'!A830,DataSet!A:A,0))</f>
        <v>45660</v>
      </c>
      <c r="J830" t="str">
        <f t="shared" si="38"/>
        <v>Good Order</v>
      </c>
      <c r="K830" s="10" t="str">
        <f>CONCATENATE(DataSet!E830,"-",DataSet!G830)</f>
        <v>Myra Shah-Surat</v>
      </c>
    </row>
    <row r="831" spans="1:11">
      <c r="A831" t="str">
        <v>ORD-2025-00830</v>
      </c>
      <c r="B831" s="2">
        <v>2340</v>
      </c>
      <c r="C831" s="2">
        <v>670.65</v>
      </c>
      <c r="D831" s="28">
        <v>0.1</v>
      </c>
      <c r="E831" t="str">
        <f t="shared" si="36"/>
        <v>Profit</v>
      </c>
      <c r="F831" t="str">
        <f t="shared" si="37"/>
        <v>Low</v>
      </c>
      <c r="G831" t="str">
        <f>VLOOKUP(A831,DataSet!$1:$1048576,5,FALSE)</f>
        <v>Fatima Shah</v>
      </c>
      <c r="H831" s="29">
        <f>INDEX(DataSet!B:B,MATCH('Advanced  Formulas'!A831,DataSet!A:A,0))</f>
        <v>45957</v>
      </c>
      <c r="I831" s="29">
        <f>INDEX(DataSet!C:C,MATCH('Advanced  Formulas'!A831,DataSet!A:A,0))</f>
        <v>45962</v>
      </c>
      <c r="J831" t="str">
        <f t="shared" si="38"/>
        <v>Review</v>
      </c>
      <c r="K831" s="10" t="str">
        <f>CONCATENATE(DataSet!E831,"-",DataSet!G831)</f>
        <v>Fatima Shah-Mumbai</v>
      </c>
    </row>
    <row r="832" spans="1:11">
      <c r="A832" t="str">
        <v>ORD-2026-00831</v>
      </c>
      <c r="B832" s="2">
        <v>544</v>
      </c>
      <c r="C832" s="2">
        <v>148.6</v>
      </c>
      <c r="D832" s="28">
        <v>0.15</v>
      </c>
      <c r="E832" t="str">
        <f t="shared" si="36"/>
        <v>Loss</v>
      </c>
      <c r="F832" t="str">
        <f t="shared" si="37"/>
        <v>Low</v>
      </c>
      <c r="G832" t="str">
        <f>VLOOKUP(A832,DataSet!$1:$1048576,5,FALSE)</f>
        <v>Krish Kapoor</v>
      </c>
      <c r="H832" s="29">
        <f>INDEX(DataSet!B:B,MATCH('Advanced  Formulas'!A832,DataSet!A:A,0))</f>
        <v>46102</v>
      </c>
      <c r="I832" s="29">
        <f>INDEX(DataSet!C:C,MATCH('Advanced  Formulas'!A832,DataSet!A:A,0))</f>
        <v>46109</v>
      </c>
      <c r="J832" t="str">
        <f t="shared" si="38"/>
        <v>Review</v>
      </c>
      <c r="K832" s="10" t="str">
        <f>CONCATENATE(DataSet!E832,"-",DataSet!G832)</f>
        <v>Krish Kapoor-Lucknow</v>
      </c>
    </row>
    <row r="833" spans="1:11">
      <c r="A833" t="str">
        <v>ORD-2024-00832</v>
      </c>
      <c r="B833" s="2">
        <v>1425</v>
      </c>
      <c r="C833" s="2">
        <v>524.27</v>
      </c>
      <c r="D833" s="28">
        <v>0.05</v>
      </c>
      <c r="E833" t="str">
        <f t="shared" si="36"/>
        <v>Profit</v>
      </c>
      <c r="F833" t="str">
        <f t="shared" si="37"/>
        <v>Low</v>
      </c>
      <c r="G833" t="str">
        <f>VLOOKUP(A833,DataSet!$1:$1048576,5,FALSE)</f>
        <v>Yusuf Khan</v>
      </c>
      <c r="H833" s="29">
        <f>INDEX(DataSet!B:B,MATCH('Advanced  Formulas'!A833,DataSet!A:A,0))</f>
        <v>45632</v>
      </c>
      <c r="I833" s="29">
        <f>INDEX(DataSet!C:C,MATCH('Advanced  Formulas'!A833,DataSet!A:A,0))</f>
        <v>45634</v>
      </c>
      <c r="J833" t="str">
        <f t="shared" si="38"/>
        <v>Review</v>
      </c>
      <c r="K833" s="10" t="str">
        <f>CONCATENATE(DataSet!E833,"-",DataSet!G833)</f>
        <v>Yusuf Khan-Bengaluru</v>
      </c>
    </row>
    <row r="834" spans="1:11">
      <c r="A834" t="str">
        <v>ORD-2025-00833</v>
      </c>
      <c r="B834" s="2">
        <v>807.5</v>
      </c>
      <c r="C834" s="2">
        <v>129.34</v>
      </c>
      <c r="D834" s="28">
        <v>0.15</v>
      </c>
      <c r="E834" t="str">
        <f t="shared" si="36"/>
        <v>Loss</v>
      </c>
      <c r="F834" t="str">
        <f t="shared" si="37"/>
        <v>Low</v>
      </c>
      <c r="G834" t="str">
        <f>VLOOKUP(A834,DataSet!$1:$1048576,5,FALSE)</f>
        <v>Sara Desai</v>
      </c>
      <c r="H834" s="29">
        <f>INDEX(DataSet!B:B,MATCH('Advanced  Formulas'!A834,DataSet!A:A,0))</f>
        <v>45947</v>
      </c>
      <c r="I834" s="29">
        <f>INDEX(DataSet!C:C,MATCH('Advanced  Formulas'!A834,DataSet!A:A,0))</f>
        <v>45953</v>
      </c>
      <c r="J834" t="str">
        <f t="shared" si="38"/>
        <v>Review</v>
      </c>
      <c r="K834" s="10" t="str">
        <f>CONCATENATE(DataSet!E834,"-",DataSet!G834)</f>
        <v>Sara Desai-Vadodara</v>
      </c>
    </row>
    <row r="835" spans="1:11">
      <c r="A835" t="str">
        <v>ORD-2026-00834</v>
      </c>
      <c r="B835" s="2">
        <v>1852.5</v>
      </c>
      <c r="C835" s="2">
        <v>449.84</v>
      </c>
      <c r="D835" s="28">
        <v>0.05</v>
      </c>
      <c r="E835" t="str">
        <f t="shared" ref="E835:E898" si="39">IF(C835&gt;200,"Profit","Loss")</f>
        <v>Profit</v>
      </c>
      <c r="F835" t="str">
        <f t="shared" ref="F835:F898" si="40">IF(B835&gt;6000,"High",IF(B835&gt;=3000,"Medium",IF(B835&lt;3000,"Low")))</f>
        <v>Low</v>
      </c>
      <c r="G835" t="str">
        <f>VLOOKUP(A835,DataSet!$1:$1048576,5,FALSE)</f>
        <v>Vivaan Panjwani</v>
      </c>
      <c r="H835" s="29">
        <f>INDEX(DataSet!B:B,MATCH('Advanced  Formulas'!A835,DataSet!A:A,0))</f>
        <v>46067</v>
      </c>
      <c r="I835" s="29">
        <f>INDEX(DataSet!C:C,MATCH('Advanced  Formulas'!A835,DataSet!A:A,0))</f>
        <v>46069</v>
      </c>
      <c r="J835" t="str">
        <f t="shared" ref="J835:J898" si="41">IF(AND(B835&gt;3000,C835&gt;0),"Good Order","Review")</f>
        <v>Review</v>
      </c>
      <c r="K835" s="10" t="str">
        <f>CONCATENATE(DataSet!E835,"-",DataSet!G835)</f>
        <v>Vivaan Panjwani-Lucknow</v>
      </c>
    </row>
    <row r="836" spans="1:11">
      <c r="A836" t="str">
        <v>ORD-2024-00835</v>
      </c>
      <c r="B836" s="2">
        <v>5415</v>
      </c>
      <c r="C836" s="2">
        <v>1570.02</v>
      </c>
      <c r="D836" s="28">
        <v>0.05</v>
      </c>
      <c r="E836" t="str">
        <f t="shared" si="39"/>
        <v>Profit</v>
      </c>
      <c r="F836" t="str">
        <f t="shared" si="40"/>
        <v>Medium</v>
      </c>
      <c r="G836" t="str">
        <f>VLOOKUP(A836,DataSet!$1:$1048576,5,FALSE)</f>
        <v>Diya Soni</v>
      </c>
      <c r="H836" s="29">
        <f>INDEX(DataSet!B:B,MATCH('Advanced  Formulas'!A836,DataSet!A:A,0))</f>
        <v>45535</v>
      </c>
      <c r="I836" s="29">
        <f>INDEX(DataSet!C:C,MATCH('Advanced  Formulas'!A836,DataSet!A:A,0))</f>
        <v>45541</v>
      </c>
      <c r="J836" t="str">
        <f t="shared" si="41"/>
        <v>Good Order</v>
      </c>
      <c r="K836" s="10" t="str">
        <f>CONCATENATE(DataSet!E836,"-",DataSet!G836)</f>
        <v>Diya Soni-Lucknow</v>
      </c>
    </row>
    <row r="837" spans="1:11">
      <c r="A837" t="str">
        <v>ORD-2026-00836</v>
      </c>
      <c r="B837" s="2">
        <v>11200</v>
      </c>
      <c r="C837" s="2">
        <v>2685.52</v>
      </c>
      <c r="D837" s="28">
        <v>0</v>
      </c>
      <c r="E837" t="str">
        <f t="shared" si="39"/>
        <v>Profit</v>
      </c>
      <c r="F837" t="str">
        <f t="shared" si="40"/>
        <v>High</v>
      </c>
      <c r="G837" t="str">
        <f>VLOOKUP(A837,DataSet!$1:$1048576,5,FALSE)</f>
        <v>Myra Iyer</v>
      </c>
      <c r="H837" s="29">
        <f>INDEX(DataSet!B:B,MATCH('Advanced  Formulas'!A837,DataSet!A:A,0))</f>
        <v>46060</v>
      </c>
      <c r="I837" s="29">
        <f>INDEX(DataSet!C:C,MATCH('Advanced  Formulas'!A837,DataSet!A:A,0))</f>
        <v>46061</v>
      </c>
      <c r="J837" t="str">
        <f t="shared" si="41"/>
        <v>Good Order</v>
      </c>
      <c r="K837" s="10" t="str">
        <f>CONCATENATE(DataSet!E837,"-",DataSet!G837)</f>
        <v>Myra Iyer-Vadodara</v>
      </c>
    </row>
    <row r="838" spans="1:11">
      <c r="A838" t="str">
        <v>ORD-2025-00837</v>
      </c>
      <c r="B838" s="2">
        <v>41600</v>
      </c>
      <c r="C838" s="2">
        <v>14494.64</v>
      </c>
      <c r="D838" s="28">
        <v>0.2</v>
      </c>
      <c r="E838" t="str">
        <f t="shared" si="39"/>
        <v>Profit</v>
      </c>
      <c r="F838" t="str">
        <f t="shared" si="40"/>
        <v>High</v>
      </c>
      <c r="G838" t="str">
        <f>VLOOKUP(A838,DataSet!$1:$1048576,5,FALSE)</f>
        <v>Fatima Shah</v>
      </c>
      <c r="H838" s="29">
        <f>INDEX(DataSet!B:B,MATCH('Advanced  Formulas'!A838,DataSet!A:A,0))</f>
        <v>45914</v>
      </c>
      <c r="I838" s="29">
        <f>INDEX(DataSet!C:C,MATCH('Advanced  Formulas'!A838,DataSet!A:A,0))</f>
        <v>45921</v>
      </c>
      <c r="J838" t="str">
        <f t="shared" si="41"/>
        <v>Good Order</v>
      </c>
      <c r="K838" s="10" t="str">
        <f>CONCATENATE(DataSet!E838,"-",DataSet!G838)</f>
        <v>Fatima Shah-Pune</v>
      </c>
    </row>
    <row r="839" spans="1:11">
      <c r="A839" t="str">
        <v>ORD-2025-00838</v>
      </c>
      <c r="B839" s="2">
        <v>459</v>
      </c>
      <c r="C839" s="2">
        <v>98.59</v>
      </c>
      <c r="D839" s="28">
        <v>0.15</v>
      </c>
      <c r="E839" t="str">
        <f t="shared" si="39"/>
        <v>Loss</v>
      </c>
      <c r="F839" t="str">
        <f t="shared" si="40"/>
        <v>Low</v>
      </c>
      <c r="G839" t="str">
        <f>VLOOKUP(A839,DataSet!$1:$1048576,5,FALSE)</f>
        <v>Reyansh Desai</v>
      </c>
      <c r="H839" s="29">
        <f>INDEX(DataSet!B:B,MATCH('Advanced  Formulas'!A839,DataSet!A:A,0))</f>
        <v>45941</v>
      </c>
      <c r="I839" s="29">
        <f>INDEX(DataSet!C:C,MATCH('Advanced  Formulas'!A839,DataSet!A:A,0))</f>
        <v>45943</v>
      </c>
      <c r="J839" t="str">
        <f t="shared" si="41"/>
        <v>Review</v>
      </c>
      <c r="K839" s="10" t="str">
        <f>CONCATENATE(DataSet!E839,"-",DataSet!G839)</f>
        <v>Reyansh Desai-Vadodara</v>
      </c>
    </row>
    <row r="840" spans="1:11">
      <c r="A840" t="str">
        <v>ORD-2025-00839</v>
      </c>
      <c r="B840" s="2">
        <v>26000</v>
      </c>
      <c r="C840" s="2">
        <v>7013.65</v>
      </c>
      <c r="D840" s="28">
        <v>0</v>
      </c>
      <c r="E840" t="str">
        <f t="shared" si="39"/>
        <v>Profit</v>
      </c>
      <c r="F840" t="str">
        <f t="shared" si="40"/>
        <v>High</v>
      </c>
      <c r="G840" t="str">
        <f>VLOOKUP(A840,DataSet!$1:$1048576,5,FALSE)</f>
        <v>Myra Joshi</v>
      </c>
      <c r="H840" s="29">
        <f>INDEX(DataSet!B:B,MATCH('Advanced  Formulas'!A840,DataSet!A:A,0))</f>
        <v>45728</v>
      </c>
      <c r="I840" s="29">
        <f>INDEX(DataSet!C:C,MATCH('Advanced  Formulas'!A840,DataSet!A:A,0))</f>
        <v>45734</v>
      </c>
      <c r="J840" t="str">
        <f t="shared" si="41"/>
        <v>Good Order</v>
      </c>
      <c r="K840" s="10" t="str">
        <f>CONCATENATE(DataSet!E840,"-",DataSet!G840)</f>
        <v>Myra Joshi-Jaipur</v>
      </c>
    </row>
    <row r="841" spans="1:11">
      <c r="A841" t="str">
        <v>ORD-2025-00840</v>
      </c>
      <c r="B841" s="2">
        <v>1425</v>
      </c>
      <c r="C841" s="2">
        <v>383.26</v>
      </c>
      <c r="D841" s="28">
        <v>0.05</v>
      </c>
      <c r="E841" t="str">
        <f t="shared" si="39"/>
        <v>Profit</v>
      </c>
      <c r="F841" t="str">
        <f t="shared" si="40"/>
        <v>Low</v>
      </c>
      <c r="G841" t="str">
        <f>VLOOKUP(A841,DataSet!$1:$1048576,5,FALSE)</f>
        <v>Fatima Khan</v>
      </c>
      <c r="H841" s="29">
        <f>INDEX(DataSet!B:B,MATCH('Advanced  Formulas'!A841,DataSet!A:A,0))</f>
        <v>45751</v>
      </c>
      <c r="I841" s="29">
        <f>INDEX(DataSet!C:C,MATCH('Advanced  Formulas'!A841,DataSet!A:A,0))</f>
        <v>45757</v>
      </c>
      <c r="J841" t="str">
        <f t="shared" si="41"/>
        <v>Review</v>
      </c>
      <c r="K841" s="10" t="str">
        <f>CONCATENATE(DataSet!E841,"-",DataSet!G841)</f>
        <v>Fatima Khan-Vadodara</v>
      </c>
    </row>
    <row r="842" spans="1:11">
      <c r="A842" t="str">
        <v>ORD-2025-00841</v>
      </c>
      <c r="B842" s="2">
        <v>135</v>
      </c>
      <c r="C842" s="2">
        <v>34.270000000000003</v>
      </c>
      <c r="D842" s="28">
        <v>0.1</v>
      </c>
      <c r="E842" t="str">
        <f t="shared" si="39"/>
        <v>Loss</v>
      </c>
      <c r="F842" t="str">
        <f t="shared" si="40"/>
        <v>Low</v>
      </c>
      <c r="G842" t="str">
        <f>VLOOKUP(A842,DataSet!$1:$1048576,5,FALSE)</f>
        <v>Sara Dave</v>
      </c>
      <c r="H842" s="29">
        <f>INDEX(DataSet!B:B,MATCH('Advanced  Formulas'!A842,DataSet!A:A,0))</f>
        <v>45916</v>
      </c>
      <c r="I842" s="29">
        <f>INDEX(DataSet!C:C,MATCH('Advanced  Formulas'!A842,DataSet!A:A,0))</f>
        <v>45922</v>
      </c>
      <c r="J842" t="str">
        <f t="shared" si="41"/>
        <v>Review</v>
      </c>
      <c r="K842" s="10" t="str">
        <f>CONCATENATE(DataSet!E842,"-",DataSet!G842)</f>
        <v>Sara Dave-Pune</v>
      </c>
    </row>
    <row r="843" spans="1:11">
      <c r="A843" t="str">
        <v>ORD-2025-00842</v>
      </c>
      <c r="B843" s="2">
        <v>5700</v>
      </c>
      <c r="C843" s="2">
        <v>1451.01</v>
      </c>
      <c r="D843" s="28">
        <v>0.05</v>
      </c>
      <c r="E843" t="str">
        <f t="shared" si="39"/>
        <v>Profit</v>
      </c>
      <c r="F843" t="str">
        <f t="shared" si="40"/>
        <v>Medium</v>
      </c>
      <c r="G843" t="str">
        <f>VLOOKUP(A843,DataSet!$1:$1048576,5,FALSE)</f>
        <v>Kiara Dave</v>
      </c>
      <c r="H843" s="29">
        <f>INDEX(DataSet!B:B,MATCH('Advanced  Formulas'!A843,DataSet!A:A,0))</f>
        <v>45858</v>
      </c>
      <c r="I843" s="29">
        <f>INDEX(DataSet!C:C,MATCH('Advanced  Formulas'!A843,DataSet!A:A,0))</f>
        <v>45864</v>
      </c>
      <c r="J843" t="str">
        <f t="shared" si="41"/>
        <v>Good Order</v>
      </c>
      <c r="K843" s="10" t="str">
        <f>CONCATENATE(DataSet!E843,"-",DataSet!G843)</f>
        <v>Kiara Dave-Surat</v>
      </c>
    </row>
    <row r="844" spans="1:11">
      <c r="A844" t="str">
        <v>ORD-2024-00843</v>
      </c>
      <c r="B844" s="2">
        <v>1050</v>
      </c>
      <c r="C844" s="2">
        <v>397.86</v>
      </c>
      <c r="D844" s="28">
        <v>0</v>
      </c>
      <c r="E844" t="str">
        <f t="shared" si="39"/>
        <v>Profit</v>
      </c>
      <c r="F844" t="str">
        <f t="shared" si="40"/>
        <v>Low</v>
      </c>
      <c r="G844" t="str">
        <f>VLOOKUP(A844,DataSet!$1:$1048576,5,FALSE)</f>
        <v>Dev Verma</v>
      </c>
      <c r="H844" s="29">
        <f>INDEX(DataSet!B:B,MATCH('Advanced  Formulas'!A844,DataSet!A:A,0))</f>
        <v>45633</v>
      </c>
      <c r="I844" s="29">
        <f>INDEX(DataSet!C:C,MATCH('Advanced  Formulas'!A844,DataSet!A:A,0))</f>
        <v>45635</v>
      </c>
      <c r="J844" t="str">
        <f t="shared" si="41"/>
        <v>Review</v>
      </c>
      <c r="K844" s="10" t="str">
        <f>CONCATENATE(DataSet!E844,"-",DataSet!G844)</f>
        <v>Dev Verma-Chennai</v>
      </c>
    </row>
    <row r="845" spans="1:11">
      <c r="A845" t="str">
        <v>ORD-2025-00844</v>
      </c>
      <c r="B845" s="2">
        <v>8640</v>
      </c>
      <c r="C845" s="2">
        <v>2053.87</v>
      </c>
      <c r="D845" s="28">
        <v>0.1</v>
      </c>
      <c r="E845" t="str">
        <f t="shared" si="39"/>
        <v>Profit</v>
      </c>
      <c r="F845" t="str">
        <f t="shared" si="40"/>
        <v>High</v>
      </c>
      <c r="G845" t="str">
        <f>VLOOKUP(A845,DataSet!$1:$1048576,5,FALSE)</f>
        <v>Yusuf Shah</v>
      </c>
      <c r="H845" s="29">
        <f>INDEX(DataSet!B:B,MATCH('Advanced  Formulas'!A845,DataSet!A:A,0))</f>
        <v>45795</v>
      </c>
      <c r="I845" s="29">
        <f>INDEX(DataSet!C:C,MATCH('Advanced  Formulas'!A845,DataSet!A:A,0))</f>
        <v>45799</v>
      </c>
      <c r="J845" t="str">
        <f t="shared" si="41"/>
        <v>Good Order</v>
      </c>
      <c r="K845" s="10" t="str">
        <f>CONCATENATE(DataSet!E845,"-",DataSet!G845)</f>
        <v>Yusuf Shah-Indore</v>
      </c>
    </row>
    <row r="846" spans="1:11">
      <c r="A846" t="str">
        <v>ORD-2026-00845</v>
      </c>
      <c r="B846" s="2">
        <v>798</v>
      </c>
      <c r="C846" s="2">
        <v>137.22999999999999</v>
      </c>
      <c r="D846" s="28">
        <v>0.05</v>
      </c>
      <c r="E846" t="str">
        <f t="shared" si="39"/>
        <v>Loss</v>
      </c>
      <c r="F846" t="str">
        <f t="shared" si="40"/>
        <v>Low</v>
      </c>
      <c r="G846" t="str">
        <f>VLOOKUP(A846,DataSet!$1:$1048576,5,FALSE)</f>
        <v>Zoya Soni</v>
      </c>
      <c r="H846" s="29">
        <f>INDEX(DataSet!B:B,MATCH('Advanced  Formulas'!A846,DataSet!A:A,0))</f>
        <v>46235</v>
      </c>
      <c r="I846" s="29">
        <f>INDEX(DataSet!C:C,MATCH('Advanced  Formulas'!A846,DataSet!A:A,0))</f>
        <v>46236</v>
      </c>
      <c r="J846" t="str">
        <f t="shared" si="41"/>
        <v>Review</v>
      </c>
      <c r="K846" s="10" t="str">
        <f>CONCATENATE(DataSet!E846,"-",DataSet!G846)</f>
        <v>Zoya Soni-Pune</v>
      </c>
    </row>
    <row r="847" spans="1:11">
      <c r="A847" t="str">
        <v>ORD-2025-00846</v>
      </c>
      <c r="B847" s="2">
        <v>3080</v>
      </c>
      <c r="C847" s="2">
        <v>880.37</v>
      </c>
      <c r="D847" s="28">
        <v>0.2</v>
      </c>
      <c r="E847" t="str">
        <f t="shared" si="39"/>
        <v>Profit</v>
      </c>
      <c r="F847" t="str">
        <f t="shared" si="40"/>
        <v>Medium</v>
      </c>
      <c r="G847" t="str">
        <f>VLOOKUP(A847,DataSet!$1:$1048576,5,FALSE)</f>
        <v>Diya Sheikh</v>
      </c>
      <c r="H847" s="29">
        <f>INDEX(DataSet!B:B,MATCH('Advanced  Formulas'!A847,DataSet!A:A,0))</f>
        <v>45942</v>
      </c>
      <c r="I847" s="29">
        <f>INDEX(DataSet!C:C,MATCH('Advanced  Formulas'!A847,DataSet!A:A,0))</f>
        <v>45948</v>
      </c>
      <c r="J847" t="str">
        <f t="shared" si="41"/>
        <v>Good Order</v>
      </c>
      <c r="K847" s="10" t="str">
        <f>CONCATENATE(DataSet!E847,"-",DataSet!G847)</f>
        <v>Diya Sheikh-Mumbai</v>
      </c>
    </row>
    <row r="848" spans="1:11">
      <c r="A848" t="str">
        <v>ORD-2025-00847</v>
      </c>
      <c r="B848" s="2">
        <v>2048</v>
      </c>
      <c r="C848" s="2">
        <v>638.33000000000004</v>
      </c>
      <c r="D848" s="28">
        <v>0.2</v>
      </c>
      <c r="E848" t="str">
        <f t="shared" si="39"/>
        <v>Profit</v>
      </c>
      <c r="F848" t="str">
        <f t="shared" si="40"/>
        <v>Low</v>
      </c>
      <c r="G848" t="str">
        <f>VLOOKUP(A848,DataSet!$1:$1048576,5,FALSE)</f>
        <v>Meera Dave</v>
      </c>
      <c r="H848" s="29">
        <f>INDEX(DataSet!B:B,MATCH('Advanced  Formulas'!A848,DataSet!A:A,0))</f>
        <v>46006</v>
      </c>
      <c r="I848" s="29">
        <f>INDEX(DataSet!C:C,MATCH('Advanced  Formulas'!A848,DataSet!A:A,0))</f>
        <v>46012</v>
      </c>
      <c r="J848" t="str">
        <f t="shared" si="41"/>
        <v>Review</v>
      </c>
      <c r="K848" s="10" t="str">
        <f>CONCATENATE(DataSet!E848,"-",DataSet!G848)</f>
        <v>Meera Dave-Bengaluru</v>
      </c>
    </row>
    <row r="849" spans="1:11">
      <c r="A849" t="str">
        <v>ORD-2024-00848</v>
      </c>
      <c r="B849" s="2">
        <v>3080</v>
      </c>
      <c r="C849" s="2">
        <v>608.6</v>
      </c>
      <c r="D849" s="28">
        <v>0.2</v>
      </c>
      <c r="E849" t="str">
        <f t="shared" si="39"/>
        <v>Profit</v>
      </c>
      <c r="F849" t="str">
        <f t="shared" si="40"/>
        <v>Medium</v>
      </c>
      <c r="G849" t="str">
        <f>VLOOKUP(A849,DataSet!$1:$1048576,5,FALSE)</f>
        <v>Kabir Soni</v>
      </c>
      <c r="H849" s="29">
        <f>INDEX(DataSet!B:B,MATCH('Advanced  Formulas'!A849,DataSet!A:A,0))</f>
        <v>45304</v>
      </c>
      <c r="I849" s="29">
        <f>INDEX(DataSet!C:C,MATCH('Advanced  Formulas'!A849,DataSet!A:A,0))</f>
        <v>45305</v>
      </c>
      <c r="J849" t="str">
        <f t="shared" si="41"/>
        <v>Good Order</v>
      </c>
      <c r="K849" s="10" t="str">
        <f>CONCATENATE(DataSet!E849,"-",DataSet!G849)</f>
        <v>Kabir Soni-Hyderabad</v>
      </c>
    </row>
    <row r="850" spans="1:11">
      <c r="A850" t="str">
        <v>ORD-2024-00849</v>
      </c>
      <c r="B850" s="2">
        <v>16660</v>
      </c>
      <c r="C850" s="2">
        <v>4621.91</v>
      </c>
      <c r="D850" s="28">
        <v>0.15</v>
      </c>
      <c r="E850" t="str">
        <f t="shared" si="39"/>
        <v>Profit</v>
      </c>
      <c r="F850" t="str">
        <f t="shared" si="40"/>
        <v>High</v>
      </c>
      <c r="G850" t="str">
        <f>VLOOKUP(A850,DataSet!$1:$1048576,5,FALSE)</f>
        <v>Kabir Shah</v>
      </c>
      <c r="H850" s="29">
        <f>INDEX(DataSet!B:B,MATCH('Advanced  Formulas'!A850,DataSet!A:A,0))</f>
        <v>45461</v>
      </c>
      <c r="I850" s="29">
        <f>INDEX(DataSet!C:C,MATCH('Advanced  Formulas'!A850,DataSet!A:A,0))</f>
        <v>45468</v>
      </c>
      <c r="J850" t="str">
        <f t="shared" si="41"/>
        <v>Good Order</v>
      </c>
      <c r="K850" s="10" t="str">
        <f>CONCATENATE(DataSet!E850,"-",DataSet!G850)</f>
        <v>Kabir Shah-Pune</v>
      </c>
    </row>
    <row r="851" spans="1:11">
      <c r="A851" t="str">
        <v>ORD-2026-00850</v>
      </c>
      <c r="B851" s="2">
        <v>1024</v>
      </c>
      <c r="C851" s="2">
        <v>252.44</v>
      </c>
      <c r="D851" s="28">
        <v>0.2</v>
      </c>
      <c r="E851" t="str">
        <f t="shared" si="39"/>
        <v>Profit</v>
      </c>
      <c r="F851" t="str">
        <f t="shared" si="40"/>
        <v>Low</v>
      </c>
      <c r="G851" t="str">
        <f>VLOOKUP(A851,DataSet!$1:$1048576,5,FALSE)</f>
        <v>Aarav Mehta</v>
      </c>
      <c r="H851" s="29">
        <f>INDEX(DataSet!B:B,MATCH('Advanced  Formulas'!A851,DataSet!A:A,0))</f>
        <v>46087</v>
      </c>
      <c r="I851" s="29">
        <f>INDEX(DataSet!C:C,MATCH('Advanced  Formulas'!A851,DataSet!A:A,0))</f>
        <v>46094</v>
      </c>
      <c r="J851" t="str">
        <f t="shared" si="41"/>
        <v>Review</v>
      </c>
      <c r="K851" s="10" t="str">
        <f>CONCATENATE(DataSet!E851,"-",DataSet!G851)</f>
        <v>Aarav Mehta-Mumbai</v>
      </c>
    </row>
    <row r="852" spans="1:11">
      <c r="A852" t="str">
        <v>ORD-2024-00851</v>
      </c>
      <c r="B852" s="2">
        <v>1232</v>
      </c>
      <c r="C852" s="2">
        <v>338.84</v>
      </c>
      <c r="D852" s="28">
        <v>0.2</v>
      </c>
      <c r="E852" t="str">
        <f t="shared" si="39"/>
        <v>Profit</v>
      </c>
      <c r="F852" t="str">
        <f t="shared" si="40"/>
        <v>Low</v>
      </c>
      <c r="G852" t="str">
        <f>VLOOKUP(A852,DataSet!$1:$1048576,5,FALSE)</f>
        <v>Isha Mehta</v>
      </c>
      <c r="H852" s="29">
        <f>INDEX(DataSet!B:B,MATCH('Advanced  Formulas'!A852,DataSet!A:A,0))</f>
        <v>45391</v>
      </c>
      <c r="I852" s="29">
        <f>INDEX(DataSet!C:C,MATCH('Advanced  Formulas'!A852,DataSet!A:A,0))</f>
        <v>45392</v>
      </c>
      <c r="J852" t="str">
        <f t="shared" si="41"/>
        <v>Review</v>
      </c>
      <c r="K852" s="10" t="str">
        <f>CONCATENATE(DataSet!E852,"-",DataSet!G852)</f>
        <v>Isha Mehta-Hyderabad</v>
      </c>
    </row>
    <row r="853" spans="1:11">
      <c r="A853" t="str">
        <v>ORD-2025-00852</v>
      </c>
      <c r="B853" s="2">
        <v>630</v>
      </c>
      <c r="C853" s="2">
        <v>137.06</v>
      </c>
      <c r="D853" s="28">
        <v>0.1</v>
      </c>
      <c r="E853" t="str">
        <f t="shared" si="39"/>
        <v>Loss</v>
      </c>
      <c r="F853" t="str">
        <f t="shared" si="40"/>
        <v>Low</v>
      </c>
      <c r="G853" t="str">
        <f>VLOOKUP(A853,DataSet!$1:$1048576,5,FALSE)</f>
        <v>Isha Desai</v>
      </c>
      <c r="H853" s="29">
        <f>INDEX(DataSet!B:B,MATCH('Advanced  Formulas'!A853,DataSet!A:A,0))</f>
        <v>46012</v>
      </c>
      <c r="I853" s="29">
        <f>INDEX(DataSet!C:C,MATCH('Advanced  Formulas'!A853,DataSet!A:A,0))</f>
        <v>46014</v>
      </c>
      <c r="J853" t="str">
        <f t="shared" si="41"/>
        <v>Review</v>
      </c>
      <c r="K853" s="10" t="str">
        <f>CONCATENATE(DataSet!E853,"-",DataSet!G853)</f>
        <v>Isha Desai-Vadodara</v>
      </c>
    </row>
    <row r="854" spans="1:11">
      <c r="A854" t="str">
        <v>ORD-2026-00853</v>
      </c>
      <c r="B854" s="2">
        <v>4800</v>
      </c>
      <c r="C854" s="2">
        <v>540.61</v>
      </c>
      <c r="D854" s="28">
        <v>0.2</v>
      </c>
      <c r="E854" t="str">
        <f t="shared" si="39"/>
        <v>Profit</v>
      </c>
      <c r="F854" t="str">
        <f t="shared" si="40"/>
        <v>Medium</v>
      </c>
      <c r="G854" t="str">
        <f>VLOOKUP(A854,DataSet!$1:$1048576,5,FALSE)</f>
        <v>Isha Shah</v>
      </c>
      <c r="H854" s="29">
        <f>INDEX(DataSet!B:B,MATCH('Advanced  Formulas'!A854,DataSet!A:A,0))</f>
        <v>46120</v>
      </c>
      <c r="I854" s="29">
        <f>INDEX(DataSet!C:C,MATCH('Advanced  Formulas'!A854,DataSet!A:A,0))</f>
        <v>46127</v>
      </c>
      <c r="J854" t="str">
        <f t="shared" si="41"/>
        <v>Good Order</v>
      </c>
      <c r="K854" s="10" t="str">
        <f>CONCATENATE(DataSet!E854,"-",DataSet!G854)</f>
        <v>Isha Shah-Vadodara</v>
      </c>
    </row>
    <row r="855" spans="1:11">
      <c r="A855" t="str">
        <v>ORD-2025-00854</v>
      </c>
      <c r="B855" s="2">
        <v>1232.5</v>
      </c>
      <c r="C855" s="2">
        <v>365.38</v>
      </c>
      <c r="D855" s="28">
        <v>0.15</v>
      </c>
      <c r="E855" t="str">
        <f t="shared" si="39"/>
        <v>Profit</v>
      </c>
      <c r="F855" t="str">
        <f t="shared" si="40"/>
        <v>Low</v>
      </c>
      <c r="G855" t="str">
        <f>VLOOKUP(A855,DataSet!$1:$1048576,5,FALSE)</f>
        <v>Anaya Patel</v>
      </c>
      <c r="H855" s="29">
        <f>INDEX(DataSet!B:B,MATCH('Advanced  Formulas'!A855,DataSet!A:A,0))</f>
        <v>45678</v>
      </c>
      <c r="I855" s="29">
        <f>INDEX(DataSet!C:C,MATCH('Advanced  Formulas'!A855,DataSet!A:A,0))</f>
        <v>45679</v>
      </c>
      <c r="J855" t="str">
        <f t="shared" si="41"/>
        <v>Review</v>
      </c>
      <c r="K855" s="10" t="str">
        <f>CONCATENATE(DataSet!E855,"-",DataSet!G855)</f>
        <v>Anaya Patel-Rajkot</v>
      </c>
    </row>
    <row r="856" spans="1:11">
      <c r="A856" t="str">
        <v>ORD-2026-00855</v>
      </c>
      <c r="B856" s="2">
        <v>2210</v>
      </c>
      <c r="C856" s="2">
        <v>335.11</v>
      </c>
      <c r="D856" s="28">
        <v>0.15</v>
      </c>
      <c r="E856" t="str">
        <f t="shared" si="39"/>
        <v>Profit</v>
      </c>
      <c r="F856" t="str">
        <f t="shared" si="40"/>
        <v>Low</v>
      </c>
      <c r="G856" t="str">
        <f>VLOOKUP(A856,DataSet!$1:$1048576,5,FALSE)</f>
        <v>Meera Soni</v>
      </c>
      <c r="H856" s="29">
        <f>INDEX(DataSet!B:B,MATCH('Advanced  Formulas'!A856,DataSet!A:A,0))</f>
        <v>46061</v>
      </c>
      <c r="I856" s="29">
        <f>INDEX(DataSet!C:C,MATCH('Advanced  Formulas'!A856,DataSet!A:A,0))</f>
        <v>46062</v>
      </c>
      <c r="J856" t="str">
        <f t="shared" si="41"/>
        <v>Review</v>
      </c>
      <c r="K856" s="10" t="str">
        <f>CONCATENATE(DataSet!E856,"-",DataSet!G856)</f>
        <v>Meera Soni-Bengaluru</v>
      </c>
    </row>
    <row r="857" spans="1:11">
      <c r="A857" t="str">
        <v>ORD-2025-00856</v>
      </c>
      <c r="B857" s="2">
        <v>9120</v>
      </c>
      <c r="C857" s="2">
        <v>1081.27</v>
      </c>
      <c r="D857" s="28">
        <v>0.2</v>
      </c>
      <c r="E857" t="str">
        <f t="shared" si="39"/>
        <v>Profit</v>
      </c>
      <c r="F857" t="str">
        <f t="shared" si="40"/>
        <v>High</v>
      </c>
      <c r="G857" t="str">
        <f>VLOOKUP(A857,DataSet!$1:$1048576,5,FALSE)</f>
        <v>Myra Trivedi</v>
      </c>
      <c r="H857" s="29">
        <f>INDEX(DataSet!B:B,MATCH('Advanced  Formulas'!A857,DataSet!A:A,0))</f>
        <v>45776</v>
      </c>
      <c r="I857" s="29">
        <f>INDEX(DataSet!C:C,MATCH('Advanced  Formulas'!A857,DataSet!A:A,0))</f>
        <v>45783</v>
      </c>
      <c r="J857" t="str">
        <f t="shared" si="41"/>
        <v>Good Order</v>
      </c>
      <c r="K857" s="10" t="str">
        <f>CONCATENATE(DataSet!E857,"-",DataSet!G857)</f>
        <v>Myra Trivedi-Mumbai</v>
      </c>
    </row>
    <row r="858" spans="1:11">
      <c r="A858" t="str">
        <v>ORD-2025-00857</v>
      </c>
      <c r="B858" s="2">
        <v>5600</v>
      </c>
      <c r="C858" s="2">
        <v>1462.73</v>
      </c>
      <c r="D858" s="28">
        <v>0</v>
      </c>
      <c r="E858" t="str">
        <f t="shared" si="39"/>
        <v>Profit</v>
      </c>
      <c r="F858" t="str">
        <f t="shared" si="40"/>
        <v>Medium</v>
      </c>
      <c r="G858" t="str">
        <f>VLOOKUP(A858,DataSet!$1:$1048576,5,FALSE)</f>
        <v>Krish Verma</v>
      </c>
      <c r="H858" s="29">
        <f>INDEX(DataSet!B:B,MATCH('Advanced  Formulas'!A858,DataSet!A:A,0))</f>
        <v>45679</v>
      </c>
      <c r="I858" s="29">
        <f>INDEX(DataSet!C:C,MATCH('Advanced  Formulas'!A858,DataSet!A:A,0))</f>
        <v>45684</v>
      </c>
      <c r="J858" t="str">
        <f t="shared" si="41"/>
        <v>Good Order</v>
      </c>
      <c r="K858" s="10" t="str">
        <f>CONCATENATE(DataSet!E858,"-",DataSet!G858)</f>
        <v>Krish Verma-Ahmedabad</v>
      </c>
    </row>
    <row r="859" spans="1:11">
      <c r="A859" t="str">
        <v>ORD-2025-00858</v>
      </c>
      <c r="B859" s="2">
        <v>35100</v>
      </c>
      <c r="C859" s="2">
        <v>7168.42</v>
      </c>
      <c r="D859" s="28">
        <v>0.1</v>
      </c>
      <c r="E859" t="str">
        <f t="shared" si="39"/>
        <v>Profit</v>
      </c>
      <c r="F859" t="str">
        <f t="shared" si="40"/>
        <v>High</v>
      </c>
      <c r="G859" t="str">
        <f>VLOOKUP(A859,DataSet!$1:$1048576,5,FALSE)</f>
        <v>Fatima Soni</v>
      </c>
      <c r="H859" s="29">
        <f>INDEX(DataSet!B:B,MATCH('Advanced  Formulas'!A859,DataSet!A:A,0))</f>
        <v>45908</v>
      </c>
      <c r="I859" s="29">
        <f>INDEX(DataSet!C:C,MATCH('Advanced  Formulas'!A859,DataSet!A:A,0))</f>
        <v>45909</v>
      </c>
      <c r="J859" t="str">
        <f t="shared" si="41"/>
        <v>Good Order</v>
      </c>
      <c r="K859" s="10" t="str">
        <f>CONCATENATE(DataSet!E859,"-",DataSet!G859)</f>
        <v>Fatima Soni-Kolkata</v>
      </c>
    </row>
    <row r="860" spans="1:11">
      <c r="A860" t="str">
        <v>ORD-2024-00859</v>
      </c>
      <c r="B860" s="2">
        <v>25200</v>
      </c>
      <c r="C860" s="2">
        <v>3223.2</v>
      </c>
      <c r="D860" s="28">
        <v>0</v>
      </c>
      <c r="E860" t="str">
        <f t="shared" si="39"/>
        <v>Profit</v>
      </c>
      <c r="F860" t="str">
        <f t="shared" si="40"/>
        <v>High</v>
      </c>
      <c r="G860" t="str">
        <f>VLOOKUP(A860,DataSet!$1:$1048576,5,FALSE)</f>
        <v>Aditya Kapoor</v>
      </c>
      <c r="H860" s="29">
        <f>INDEX(DataSet!B:B,MATCH('Advanced  Formulas'!A860,DataSet!A:A,0))</f>
        <v>45295</v>
      </c>
      <c r="I860" s="29">
        <f>INDEX(DataSet!C:C,MATCH('Advanced  Formulas'!A860,DataSet!A:A,0))</f>
        <v>45301</v>
      </c>
      <c r="J860" t="str">
        <f t="shared" si="41"/>
        <v>Good Order</v>
      </c>
      <c r="K860" s="10" t="str">
        <f>CONCATENATE(DataSet!E860,"-",DataSet!G860)</f>
        <v>Aditya Kapoor-Kolkata</v>
      </c>
    </row>
    <row r="861" spans="1:11">
      <c r="A861" t="str">
        <v>ORD-2025-00860</v>
      </c>
      <c r="B861" s="2">
        <v>9135</v>
      </c>
      <c r="C861" s="2">
        <v>990.36</v>
      </c>
      <c r="D861" s="28">
        <v>0.1</v>
      </c>
      <c r="E861" t="str">
        <f t="shared" si="39"/>
        <v>Profit</v>
      </c>
      <c r="F861" t="str">
        <f t="shared" si="40"/>
        <v>High</v>
      </c>
      <c r="G861" t="str">
        <f>VLOOKUP(A861,DataSet!$1:$1048576,5,FALSE)</f>
        <v>Anaya Verma</v>
      </c>
      <c r="H861" s="29">
        <f>INDEX(DataSet!B:B,MATCH('Advanced  Formulas'!A861,DataSet!A:A,0))</f>
        <v>45913</v>
      </c>
      <c r="I861" s="29">
        <f>INDEX(DataSet!C:C,MATCH('Advanced  Formulas'!A861,DataSet!A:A,0))</f>
        <v>45917</v>
      </c>
      <c r="J861" t="str">
        <f t="shared" si="41"/>
        <v>Good Order</v>
      </c>
      <c r="K861" s="10" t="str">
        <f>CONCATENATE(DataSet!E861,"-",DataSet!G861)</f>
        <v>Anaya Verma-Pune</v>
      </c>
    </row>
    <row r="862" spans="1:11">
      <c r="A862" t="str">
        <v>ORD-2025-00861</v>
      </c>
      <c r="B862" s="2">
        <v>90</v>
      </c>
      <c r="C862" s="2">
        <v>22.55</v>
      </c>
      <c r="D862" s="28">
        <v>0</v>
      </c>
      <c r="E862" t="str">
        <f t="shared" si="39"/>
        <v>Loss</v>
      </c>
      <c r="F862" t="str">
        <f t="shared" si="40"/>
        <v>Low</v>
      </c>
      <c r="G862" t="str">
        <f>VLOOKUP(A862,DataSet!$1:$1048576,5,FALSE)</f>
        <v>Sara Rao</v>
      </c>
      <c r="H862" s="29">
        <f>INDEX(DataSet!B:B,MATCH('Advanced  Formulas'!A862,DataSet!A:A,0))</f>
        <v>45913</v>
      </c>
      <c r="I862" s="29">
        <f>INDEX(DataSet!C:C,MATCH('Advanced  Formulas'!A862,DataSet!A:A,0))</f>
        <v>45915</v>
      </c>
      <c r="J862" t="str">
        <f t="shared" si="41"/>
        <v>Review</v>
      </c>
      <c r="K862" s="10" t="str">
        <f>CONCATENATE(DataSet!E862,"-",DataSet!G862)</f>
        <v>Sara Rao-Chennai</v>
      </c>
    </row>
    <row r="863" spans="1:11">
      <c r="A863" t="str">
        <v>ORD-2026-00862</v>
      </c>
      <c r="B863" s="2">
        <v>7040</v>
      </c>
      <c r="C863" s="2">
        <v>1474.36</v>
      </c>
      <c r="D863" s="28">
        <v>0.2</v>
      </c>
      <c r="E863" t="str">
        <f t="shared" si="39"/>
        <v>Profit</v>
      </c>
      <c r="F863" t="str">
        <f t="shared" si="40"/>
        <v>High</v>
      </c>
      <c r="G863" t="str">
        <f>VLOOKUP(A863,DataSet!$1:$1048576,5,FALSE)</f>
        <v>Reyansh Mehta</v>
      </c>
      <c r="H863" s="29">
        <f>INDEX(DataSet!B:B,MATCH('Advanced  Formulas'!A863,DataSet!A:A,0))</f>
        <v>46187</v>
      </c>
      <c r="I863" s="29">
        <f>INDEX(DataSet!C:C,MATCH('Advanced  Formulas'!A863,DataSet!A:A,0))</f>
        <v>46191</v>
      </c>
      <c r="J863" t="str">
        <f t="shared" si="41"/>
        <v>Good Order</v>
      </c>
      <c r="K863" s="10" t="str">
        <f>CONCATENATE(DataSet!E863,"-",DataSet!G863)</f>
        <v>Reyansh Mehta-Surat</v>
      </c>
    </row>
    <row r="864" spans="1:11">
      <c r="A864" t="str">
        <v>ORD-2024-00863</v>
      </c>
      <c r="B864" s="2">
        <v>5130</v>
      </c>
      <c r="C864" s="2">
        <v>850.35</v>
      </c>
      <c r="D864" s="28">
        <v>0.1</v>
      </c>
      <c r="E864" t="str">
        <f t="shared" si="39"/>
        <v>Profit</v>
      </c>
      <c r="F864" t="str">
        <f t="shared" si="40"/>
        <v>Medium</v>
      </c>
      <c r="G864" t="str">
        <f>VLOOKUP(A864,DataSet!$1:$1048576,5,FALSE)</f>
        <v>Arjun Kapoor</v>
      </c>
      <c r="H864" s="29">
        <f>INDEX(DataSet!B:B,MATCH('Advanced  Formulas'!A864,DataSet!A:A,0))</f>
        <v>45400</v>
      </c>
      <c r="I864" s="29">
        <f>INDEX(DataSet!C:C,MATCH('Advanced  Formulas'!A864,DataSet!A:A,0))</f>
        <v>45404</v>
      </c>
      <c r="J864" t="str">
        <f t="shared" si="41"/>
        <v>Good Order</v>
      </c>
      <c r="K864" s="10" t="str">
        <f>CONCATENATE(DataSet!E864,"-",DataSet!G864)</f>
        <v>Arjun Kapoor-Chennai</v>
      </c>
    </row>
    <row r="865" spans="1:11">
      <c r="A865" t="str">
        <v>ORD-2025-00864</v>
      </c>
      <c r="B865" s="2">
        <v>6600</v>
      </c>
      <c r="C865" s="2">
        <v>909.07</v>
      </c>
      <c r="D865" s="28">
        <v>0</v>
      </c>
      <c r="E865" t="str">
        <f t="shared" si="39"/>
        <v>Profit</v>
      </c>
      <c r="F865" t="str">
        <f t="shared" si="40"/>
        <v>High</v>
      </c>
      <c r="G865" t="str">
        <f>VLOOKUP(A865,DataSet!$1:$1048576,5,FALSE)</f>
        <v>Meera Shah</v>
      </c>
      <c r="H865" s="29">
        <f>INDEX(DataSet!B:B,MATCH('Advanced  Formulas'!A865,DataSet!A:A,0))</f>
        <v>45973</v>
      </c>
      <c r="I865" s="29">
        <f>INDEX(DataSet!C:C,MATCH('Advanced  Formulas'!A865,DataSet!A:A,0))</f>
        <v>45975</v>
      </c>
      <c r="J865" t="str">
        <f t="shared" si="41"/>
        <v>Good Order</v>
      </c>
      <c r="K865" s="10" t="str">
        <f>CONCATENATE(DataSet!E865,"-",DataSet!G865)</f>
        <v>Meera Shah-Indore</v>
      </c>
    </row>
    <row r="866" spans="1:11">
      <c r="A866" t="str">
        <v>ORD-2025-00865</v>
      </c>
      <c r="B866" s="2">
        <v>1540</v>
      </c>
      <c r="C866" s="2">
        <v>495.69</v>
      </c>
      <c r="D866" s="28">
        <v>0</v>
      </c>
      <c r="E866" t="str">
        <f t="shared" si="39"/>
        <v>Profit</v>
      </c>
      <c r="F866" t="str">
        <f t="shared" si="40"/>
        <v>Low</v>
      </c>
      <c r="G866" t="str">
        <f>VLOOKUP(A866,DataSet!$1:$1048576,5,FALSE)</f>
        <v>Sara Shah</v>
      </c>
      <c r="H866" s="29">
        <f>INDEX(DataSet!B:B,MATCH('Advanced  Formulas'!A866,DataSet!A:A,0))</f>
        <v>45678</v>
      </c>
      <c r="I866" s="29">
        <f>INDEX(DataSet!C:C,MATCH('Advanced  Formulas'!A866,DataSet!A:A,0))</f>
        <v>45684</v>
      </c>
      <c r="J866" t="str">
        <f t="shared" si="41"/>
        <v>Review</v>
      </c>
      <c r="K866" s="10" t="str">
        <f>CONCATENATE(DataSet!E866,"-",DataSet!G866)</f>
        <v>Sara Shah-Chennai</v>
      </c>
    </row>
    <row r="867" spans="1:11">
      <c r="A867" t="str">
        <v>ORD-2024-00866</v>
      </c>
      <c r="B867" s="2">
        <v>1080</v>
      </c>
      <c r="C867" s="2">
        <v>170.78</v>
      </c>
      <c r="D867" s="28">
        <v>0</v>
      </c>
      <c r="E867" t="str">
        <f t="shared" si="39"/>
        <v>Loss</v>
      </c>
      <c r="F867" t="str">
        <f t="shared" si="40"/>
        <v>Low</v>
      </c>
      <c r="G867" t="str">
        <f>VLOOKUP(A867,DataSet!$1:$1048576,5,FALSE)</f>
        <v>Krish Dave</v>
      </c>
      <c r="H867" s="29">
        <f>INDEX(DataSet!B:B,MATCH('Advanced  Formulas'!A867,DataSet!A:A,0))</f>
        <v>45640</v>
      </c>
      <c r="I867" s="29">
        <f>INDEX(DataSet!C:C,MATCH('Advanced  Formulas'!A867,DataSet!A:A,0))</f>
        <v>45646</v>
      </c>
      <c r="J867" t="str">
        <f t="shared" si="41"/>
        <v>Review</v>
      </c>
      <c r="K867" s="10" t="str">
        <f>CONCATENATE(DataSet!E867,"-",DataSet!G867)</f>
        <v>Krish Dave-Lucknow</v>
      </c>
    </row>
    <row r="868" spans="1:11">
      <c r="A868" t="str">
        <v>ORD-2024-00867</v>
      </c>
      <c r="B868" s="2">
        <v>997.5</v>
      </c>
      <c r="C868" s="2">
        <v>171.54</v>
      </c>
      <c r="D868" s="28">
        <v>0.05</v>
      </c>
      <c r="E868" t="str">
        <f t="shared" si="39"/>
        <v>Loss</v>
      </c>
      <c r="F868" t="str">
        <f t="shared" si="40"/>
        <v>Low</v>
      </c>
      <c r="G868" t="str">
        <f>VLOOKUP(A868,DataSet!$1:$1048576,5,FALSE)</f>
        <v>Vivaan Soni</v>
      </c>
      <c r="H868" s="29">
        <f>INDEX(DataSet!B:B,MATCH('Advanced  Formulas'!A868,DataSet!A:A,0))</f>
        <v>45610</v>
      </c>
      <c r="I868" s="29">
        <f>INDEX(DataSet!C:C,MATCH('Advanced  Formulas'!A868,DataSet!A:A,0))</f>
        <v>45611</v>
      </c>
      <c r="J868" t="str">
        <f t="shared" si="41"/>
        <v>Review</v>
      </c>
      <c r="K868" s="10" t="str">
        <f>CONCATENATE(DataSet!E868,"-",DataSet!G868)</f>
        <v>Vivaan Soni-Lucknow</v>
      </c>
    </row>
    <row r="869" spans="1:11">
      <c r="A869" t="str">
        <v>ORD-2025-00868</v>
      </c>
      <c r="B869" s="2">
        <v>8360</v>
      </c>
      <c r="C869" s="2">
        <v>2799.58</v>
      </c>
      <c r="D869" s="28">
        <v>0.05</v>
      </c>
      <c r="E869" t="str">
        <f t="shared" si="39"/>
        <v>Profit</v>
      </c>
      <c r="F869" t="str">
        <f t="shared" si="40"/>
        <v>High</v>
      </c>
      <c r="G869" t="str">
        <f>VLOOKUP(A869,DataSet!$1:$1048576,5,FALSE)</f>
        <v>Sara Rao</v>
      </c>
      <c r="H869" s="29">
        <f>INDEX(DataSet!B:B,MATCH('Advanced  Formulas'!A869,DataSet!A:A,0))</f>
        <v>45896</v>
      </c>
      <c r="I869" s="29">
        <f>INDEX(DataSet!C:C,MATCH('Advanced  Formulas'!A869,DataSet!A:A,0))</f>
        <v>45898</v>
      </c>
      <c r="J869" t="str">
        <f t="shared" si="41"/>
        <v>Good Order</v>
      </c>
      <c r="K869" s="10" t="str">
        <f>CONCATENATE(DataSet!E869,"-",DataSet!G869)</f>
        <v>Sara Rao-Bhavnagar</v>
      </c>
    </row>
    <row r="870" spans="1:11">
      <c r="A870" t="str">
        <v>ORD-2025-00869</v>
      </c>
      <c r="B870" s="2">
        <v>5525</v>
      </c>
      <c r="C870" s="2">
        <v>1515.31</v>
      </c>
      <c r="D870" s="28">
        <v>0.15</v>
      </c>
      <c r="E870" t="str">
        <f t="shared" si="39"/>
        <v>Profit</v>
      </c>
      <c r="F870" t="str">
        <f t="shared" si="40"/>
        <v>Medium</v>
      </c>
      <c r="G870" t="str">
        <f>VLOOKUP(A870,DataSet!$1:$1048576,5,FALSE)</f>
        <v>Anaya Joshi</v>
      </c>
      <c r="H870" s="29">
        <f>INDEX(DataSet!B:B,MATCH('Advanced  Formulas'!A870,DataSet!A:A,0))</f>
        <v>45988</v>
      </c>
      <c r="I870" s="29">
        <f>INDEX(DataSet!C:C,MATCH('Advanced  Formulas'!A870,DataSet!A:A,0))</f>
        <v>45992</v>
      </c>
      <c r="J870" t="str">
        <f t="shared" si="41"/>
        <v>Good Order</v>
      </c>
      <c r="K870" s="10" t="str">
        <f>CONCATENATE(DataSet!E870,"-",DataSet!G870)</f>
        <v>Anaya Joshi-Surat</v>
      </c>
    </row>
    <row r="871" spans="1:11">
      <c r="A871" t="str">
        <v>ORD-2025-00870</v>
      </c>
      <c r="B871" s="2">
        <v>600</v>
      </c>
      <c r="C871" s="2">
        <v>59.23</v>
      </c>
      <c r="D871" s="28">
        <v>0.2</v>
      </c>
      <c r="E871" t="str">
        <f t="shared" si="39"/>
        <v>Loss</v>
      </c>
      <c r="F871" t="str">
        <f t="shared" si="40"/>
        <v>Low</v>
      </c>
      <c r="G871" t="str">
        <f>VLOOKUP(A871,DataSet!$1:$1048576,5,FALSE)</f>
        <v>Aditya Mehta</v>
      </c>
      <c r="H871" s="29">
        <f>INDEX(DataSet!B:B,MATCH('Advanced  Formulas'!A871,DataSet!A:A,0))</f>
        <v>45781</v>
      </c>
      <c r="I871" s="29">
        <f>INDEX(DataSet!C:C,MATCH('Advanced  Formulas'!A871,DataSet!A:A,0))</f>
        <v>45787</v>
      </c>
      <c r="J871" t="str">
        <f t="shared" si="41"/>
        <v>Review</v>
      </c>
      <c r="K871" s="10" t="str">
        <f>CONCATENATE(DataSet!E871,"-",DataSet!G871)</f>
        <v>Aditya Mehta-Kolkata</v>
      </c>
    </row>
    <row r="872" spans="1:11">
      <c r="A872" t="str">
        <v>ORD-2026-00871</v>
      </c>
      <c r="B872" s="2">
        <v>486</v>
      </c>
      <c r="C872" s="2">
        <v>85.48</v>
      </c>
      <c r="D872" s="28">
        <v>0.1</v>
      </c>
      <c r="E872" t="str">
        <f t="shared" si="39"/>
        <v>Loss</v>
      </c>
      <c r="F872" t="str">
        <f t="shared" si="40"/>
        <v>Low</v>
      </c>
      <c r="G872" t="str">
        <f>VLOOKUP(A872,DataSet!$1:$1048576,5,FALSE)</f>
        <v>Isha Patel</v>
      </c>
      <c r="H872" s="29">
        <f>INDEX(DataSet!B:B,MATCH('Advanced  Formulas'!A872,DataSet!A:A,0))</f>
        <v>46160</v>
      </c>
      <c r="I872" s="29">
        <f>INDEX(DataSet!C:C,MATCH('Advanced  Formulas'!A872,DataSet!A:A,0))</f>
        <v>46166</v>
      </c>
      <c r="J872" t="str">
        <f t="shared" si="41"/>
        <v>Review</v>
      </c>
      <c r="K872" s="10" t="str">
        <f>CONCATENATE(DataSet!E872,"-",DataSet!G872)</f>
        <v>Isha Patel-Indore</v>
      </c>
    </row>
    <row r="873" spans="1:11">
      <c r="A873" t="str">
        <v>ORD-2024-00872</v>
      </c>
      <c r="B873" s="2">
        <v>11970</v>
      </c>
      <c r="C873" s="2">
        <v>4145.5200000000004</v>
      </c>
      <c r="D873" s="28">
        <v>0.1</v>
      </c>
      <c r="E873" t="str">
        <f t="shared" si="39"/>
        <v>Profit</v>
      </c>
      <c r="F873" t="str">
        <f t="shared" si="40"/>
        <v>High</v>
      </c>
      <c r="G873" t="str">
        <f>VLOOKUP(A873,DataSet!$1:$1048576,5,FALSE)</f>
        <v>Sara Joshi</v>
      </c>
      <c r="H873" s="29">
        <f>INDEX(DataSet!B:B,MATCH('Advanced  Formulas'!A873,DataSet!A:A,0))</f>
        <v>45637</v>
      </c>
      <c r="I873" s="29">
        <f>INDEX(DataSet!C:C,MATCH('Advanced  Formulas'!A873,DataSet!A:A,0))</f>
        <v>45641</v>
      </c>
      <c r="J873" t="str">
        <f t="shared" si="41"/>
        <v>Good Order</v>
      </c>
      <c r="K873" s="10" t="str">
        <f>CONCATENATE(DataSet!E873,"-",DataSet!G873)</f>
        <v>Sara Joshi-Bengaluru</v>
      </c>
    </row>
    <row r="874" spans="1:11">
      <c r="A874" t="str">
        <v>ORD-2025-00873</v>
      </c>
      <c r="B874" s="2">
        <v>3135</v>
      </c>
      <c r="C874" s="2">
        <v>554.62</v>
      </c>
      <c r="D874" s="28">
        <v>0.05</v>
      </c>
      <c r="E874" t="str">
        <f t="shared" si="39"/>
        <v>Profit</v>
      </c>
      <c r="F874" t="str">
        <f t="shared" si="40"/>
        <v>Medium</v>
      </c>
      <c r="G874" t="str">
        <f>VLOOKUP(A874,DataSet!$1:$1048576,5,FALSE)</f>
        <v>Diya Rao</v>
      </c>
      <c r="H874" s="29">
        <f>INDEX(DataSet!B:B,MATCH('Advanced  Formulas'!A874,DataSet!A:A,0))</f>
        <v>46009</v>
      </c>
      <c r="I874" s="29">
        <f>INDEX(DataSet!C:C,MATCH('Advanced  Formulas'!A874,DataSet!A:A,0))</f>
        <v>46016</v>
      </c>
      <c r="J874" t="str">
        <f t="shared" si="41"/>
        <v>Good Order</v>
      </c>
      <c r="K874" s="10" t="str">
        <f>CONCATENATE(DataSet!E874,"-",DataSet!G874)</f>
        <v>Diya Rao-Delhi</v>
      </c>
    </row>
    <row r="875" spans="1:11">
      <c r="A875" t="str">
        <v>ORD-2025-00874</v>
      </c>
      <c r="B875" s="2">
        <v>1140</v>
      </c>
      <c r="C875" s="2">
        <v>158.71</v>
      </c>
      <c r="D875" s="28">
        <v>0.05</v>
      </c>
      <c r="E875" t="str">
        <f t="shared" si="39"/>
        <v>Loss</v>
      </c>
      <c r="F875" t="str">
        <f t="shared" si="40"/>
        <v>Low</v>
      </c>
      <c r="G875" t="str">
        <f>VLOOKUP(A875,DataSet!$1:$1048576,5,FALSE)</f>
        <v>Reyansh Iyer</v>
      </c>
      <c r="H875" s="29">
        <f>INDEX(DataSet!B:B,MATCH('Advanced  Formulas'!A875,DataSet!A:A,0))</f>
        <v>45760</v>
      </c>
      <c r="I875" s="29">
        <f>INDEX(DataSet!C:C,MATCH('Advanced  Formulas'!A875,DataSet!A:A,0))</f>
        <v>45766</v>
      </c>
      <c r="J875" t="str">
        <f t="shared" si="41"/>
        <v>Review</v>
      </c>
      <c r="K875" s="10" t="str">
        <f>CONCATENATE(DataSet!E875,"-",DataSet!G875)</f>
        <v>Reyansh Iyer-Surat</v>
      </c>
    </row>
    <row r="876" spans="1:11">
      <c r="A876" t="str">
        <v>ORD-2026-00875</v>
      </c>
      <c r="B876" s="2">
        <v>4960</v>
      </c>
      <c r="C876" s="2">
        <v>723.02</v>
      </c>
      <c r="D876" s="28">
        <v>0.2</v>
      </c>
      <c r="E876" t="str">
        <f t="shared" si="39"/>
        <v>Profit</v>
      </c>
      <c r="F876" t="str">
        <f t="shared" si="40"/>
        <v>Medium</v>
      </c>
      <c r="G876" t="str">
        <f>VLOOKUP(A876,DataSet!$1:$1048576,5,FALSE)</f>
        <v>Vivaan Panjwani</v>
      </c>
      <c r="H876" s="29">
        <f>INDEX(DataSet!B:B,MATCH('Advanced  Formulas'!A876,DataSet!A:A,0))</f>
        <v>46044</v>
      </c>
      <c r="I876" s="29">
        <f>INDEX(DataSet!C:C,MATCH('Advanced  Formulas'!A876,DataSet!A:A,0))</f>
        <v>46050</v>
      </c>
      <c r="J876" t="str">
        <f t="shared" si="41"/>
        <v>Good Order</v>
      </c>
      <c r="K876" s="10" t="str">
        <f>CONCATENATE(DataSet!E876,"-",DataSet!G876)</f>
        <v>Vivaan Panjwani-Ahmedabad</v>
      </c>
    </row>
    <row r="877" spans="1:11">
      <c r="A877" t="str">
        <v>ORD-2026-00876</v>
      </c>
      <c r="B877" s="2">
        <v>2250</v>
      </c>
      <c r="C877" s="2">
        <v>786.35</v>
      </c>
      <c r="D877" s="28">
        <v>0</v>
      </c>
      <c r="E877" t="str">
        <f t="shared" si="39"/>
        <v>Profit</v>
      </c>
      <c r="F877" t="str">
        <f t="shared" si="40"/>
        <v>Low</v>
      </c>
      <c r="G877" t="str">
        <f>VLOOKUP(A877,DataSet!$1:$1048576,5,FALSE)</f>
        <v>Aditya Dave</v>
      </c>
      <c r="H877" s="29">
        <f>INDEX(DataSet!B:B,MATCH('Advanced  Formulas'!A877,DataSet!A:A,0))</f>
        <v>46240</v>
      </c>
      <c r="I877" s="29">
        <f>INDEX(DataSet!C:C,MATCH('Advanced  Formulas'!A877,DataSet!A:A,0))</f>
        <v>46241</v>
      </c>
      <c r="J877" t="str">
        <f t="shared" si="41"/>
        <v>Review</v>
      </c>
      <c r="K877" s="10" t="str">
        <f>CONCATENATE(DataSet!E877,"-",DataSet!G877)</f>
        <v>Aditya Dave-Bhavnagar</v>
      </c>
    </row>
    <row r="878" spans="1:11">
      <c r="A878" t="str">
        <v>ORD-2025-00877</v>
      </c>
      <c r="B878" s="2">
        <v>360</v>
      </c>
      <c r="C878" s="2">
        <v>99.67</v>
      </c>
      <c r="D878" s="28">
        <v>0</v>
      </c>
      <c r="E878" t="str">
        <f t="shared" si="39"/>
        <v>Loss</v>
      </c>
      <c r="F878" t="str">
        <f t="shared" si="40"/>
        <v>Low</v>
      </c>
      <c r="G878" t="str">
        <f>VLOOKUP(A878,DataSet!$1:$1048576,5,FALSE)</f>
        <v>Meera Mehta</v>
      </c>
      <c r="H878" s="29">
        <f>INDEX(DataSet!B:B,MATCH('Advanced  Formulas'!A878,DataSet!A:A,0))</f>
        <v>45934</v>
      </c>
      <c r="I878" s="29">
        <f>INDEX(DataSet!C:C,MATCH('Advanced  Formulas'!A878,DataSet!A:A,0))</f>
        <v>45940</v>
      </c>
      <c r="J878" t="str">
        <f t="shared" si="41"/>
        <v>Review</v>
      </c>
      <c r="K878" s="10" t="str">
        <f>CONCATENATE(DataSet!E878,"-",DataSet!G878)</f>
        <v>Meera Mehta-Pune</v>
      </c>
    </row>
    <row r="879" spans="1:11">
      <c r="A879" t="str">
        <v>ORD-2026-00878</v>
      </c>
      <c r="B879" s="2">
        <v>3657.5</v>
      </c>
      <c r="C879" s="2">
        <v>761.1</v>
      </c>
      <c r="D879" s="28">
        <v>0.05</v>
      </c>
      <c r="E879" t="str">
        <f t="shared" si="39"/>
        <v>Profit</v>
      </c>
      <c r="F879" t="str">
        <f t="shared" si="40"/>
        <v>Medium</v>
      </c>
      <c r="G879" t="str">
        <f>VLOOKUP(A879,DataSet!$1:$1048576,5,FALSE)</f>
        <v>Zoya Patel</v>
      </c>
      <c r="H879" s="29">
        <f>INDEX(DataSet!B:B,MATCH('Advanced  Formulas'!A879,DataSet!A:A,0))</f>
        <v>46086</v>
      </c>
      <c r="I879" s="29">
        <f>INDEX(DataSet!C:C,MATCH('Advanced  Formulas'!A879,DataSet!A:A,0))</f>
        <v>46092</v>
      </c>
      <c r="J879" t="str">
        <f t="shared" si="41"/>
        <v>Good Order</v>
      </c>
      <c r="K879" s="10" t="str">
        <f>CONCATENATE(DataSet!E879,"-",DataSet!G879)</f>
        <v>Zoya Patel-Hyderabad</v>
      </c>
    </row>
    <row r="880" spans="1:11">
      <c r="A880" t="str">
        <v>ORD-2024-00879</v>
      </c>
      <c r="B880" s="2">
        <v>1368</v>
      </c>
      <c r="C880" s="2">
        <v>262.83999999999997</v>
      </c>
      <c r="D880" s="28">
        <v>0.05</v>
      </c>
      <c r="E880" t="str">
        <f t="shared" si="39"/>
        <v>Profit</v>
      </c>
      <c r="F880" t="str">
        <f t="shared" si="40"/>
        <v>Low</v>
      </c>
      <c r="G880" t="str">
        <f>VLOOKUP(A880,DataSet!$1:$1048576,5,FALSE)</f>
        <v>Yusuf Mehta</v>
      </c>
      <c r="H880" s="29">
        <f>INDEX(DataSet!B:B,MATCH('Advanced  Formulas'!A880,DataSet!A:A,0))</f>
        <v>45376</v>
      </c>
      <c r="I880" s="29">
        <f>INDEX(DataSet!C:C,MATCH('Advanced  Formulas'!A880,DataSet!A:A,0))</f>
        <v>45377</v>
      </c>
      <c r="J880" t="str">
        <f t="shared" si="41"/>
        <v>Review</v>
      </c>
      <c r="K880" s="10" t="str">
        <f>CONCATENATE(DataSet!E880,"-",DataSet!G880)</f>
        <v>Yusuf Mehta-Jaipur</v>
      </c>
    </row>
    <row r="881" spans="1:11">
      <c r="A881" t="str">
        <v>ORD-2025-00880</v>
      </c>
      <c r="B881" s="2">
        <v>9300</v>
      </c>
      <c r="C881" s="2">
        <v>2747.6</v>
      </c>
      <c r="D881" s="28">
        <v>0</v>
      </c>
      <c r="E881" t="str">
        <f t="shared" si="39"/>
        <v>Profit</v>
      </c>
      <c r="F881" t="str">
        <f t="shared" si="40"/>
        <v>High</v>
      </c>
      <c r="G881" t="str">
        <f>VLOOKUP(A881,DataSet!$1:$1048576,5,FALSE)</f>
        <v>Kiara Mehta</v>
      </c>
      <c r="H881" s="29">
        <f>INDEX(DataSet!B:B,MATCH('Advanced  Formulas'!A881,DataSet!A:A,0))</f>
        <v>45952</v>
      </c>
      <c r="I881" s="29">
        <f>INDEX(DataSet!C:C,MATCH('Advanced  Formulas'!A881,DataSet!A:A,0))</f>
        <v>45958</v>
      </c>
      <c r="J881" t="str">
        <f t="shared" si="41"/>
        <v>Good Order</v>
      </c>
      <c r="K881" s="10" t="str">
        <f>CONCATENATE(DataSet!E881,"-",DataSet!G881)</f>
        <v>Kiara Mehta-Pune</v>
      </c>
    </row>
    <row r="882" spans="1:11">
      <c r="A882" t="str">
        <v>ORD-2025-00881</v>
      </c>
      <c r="B882" s="2">
        <v>2200</v>
      </c>
      <c r="C882" s="2">
        <v>283.63</v>
      </c>
      <c r="D882" s="28">
        <v>0</v>
      </c>
      <c r="E882" t="str">
        <f t="shared" si="39"/>
        <v>Profit</v>
      </c>
      <c r="F882" t="str">
        <f t="shared" si="40"/>
        <v>Low</v>
      </c>
      <c r="G882" t="str">
        <f>VLOOKUP(A882,DataSet!$1:$1048576,5,FALSE)</f>
        <v>Anaya Mehta</v>
      </c>
      <c r="H882" s="29">
        <f>INDEX(DataSet!B:B,MATCH('Advanced  Formulas'!A882,DataSet!A:A,0))</f>
        <v>45695</v>
      </c>
      <c r="I882" s="29">
        <f>INDEX(DataSet!C:C,MATCH('Advanced  Formulas'!A882,DataSet!A:A,0))</f>
        <v>45700</v>
      </c>
      <c r="J882" t="str">
        <f t="shared" si="41"/>
        <v>Review</v>
      </c>
      <c r="K882" s="10" t="str">
        <f>CONCATENATE(DataSet!E882,"-",DataSet!G882)</f>
        <v>Anaya Mehta-Kolkata</v>
      </c>
    </row>
    <row r="883" spans="1:11">
      <c r="A883" t="str">
        <v>ORD-2024-00882</v>
      </c>
      <c r="B883" s="2">
        <v>4200</v>
      </c>
      <c r="C883" s="2">
        <v>968.01</v>
      </c>
      <c r="D883" s="28">
        <v>0</v>
      </c>
      <c r="E883" t="str">
        <f t="shared" si="39"/>
        <v>Profit</v>
      </c>
      <c r="F883" t="str">
        <f t="shared" si="40"/>
        <v>Medium</v>
      </c>
      <c r="G883" t="str">
        <f>VLOOKUP(A883,DataSet!$1:$1048576,5,FALSE)</f>
        <v>Isha Shah</v>
      </c>
      <c r="H883" s="29">
        <f>INDEX(DataSet!B:B,MATCH('Advanced  Formulas'!A883,DataSet!A:A,0))</f>
        <v>45297</v>
      </c>
      <c r="I883" s="29">
        <f>INDEX(DataSet!C:C,MATCH('Advanced  Formulas'!A883,DataSet!A:A,0))</f>
        <v>45302</v>
      </c>
      <c r="J883" t="str">
        <f t="shared" si="41"/>
        <v>Good Order</v>
      </c>
      <c r="K883" s="10" t="str">
        <f>CONCATENATE(DataSet!E883,"-",DataSet!G883)</f>
        <v>Isha Shah-Jaipur</v>
      </c>
    </row>
    <row r="884" spans="1:11">
      <c r="A884" t="str">
        <v>ORD-2026-00883</v>
      </c>
      <c r="B884" s="2">
        <v>3087.5</v>
      </c>
      <c r="C884" s="2">
        <v>374.42</v>
      </c>
      <c r="D884" s="28">
        <v>0.05</v>
      </c>
      <c r="E884" t="str">
        <f t="shared" si="39"/>
        <v>Profit</v>
      </c>
      <c r="F884" t="str">
        <f t="shared" si="40"/>
        <v>Medium</v>
      </c>
      <c r="G884" t="str">
        <f>VLOOKUP(A884,DataSet!$1:$1048576,5,FALSE)</f>
        <v>Aanya Kapoor</v>
      </c>
      <c r="H884" s="29">
        <f>INDEX(DataSet!B:B,MATCH('Advanced  Formulas'!A884,DataSet!A:A,0))</f>
        <v>46163</v>
      </c>
      <c r="I884" s="29">
        <f>INDEX(DataSet!C:C,MATCH('Advanced  Formulas'!A884,DataSet!A:A,0))</f>
        <v>46170</v>
      </c>
      <c r="J884" t="str">
        <f t="shared" si="41"/>
        <v>Good Order</v>
      </c>
      <c r="K884" s="10" t="str">
        <f>CONCATENATE(DataSet!E884,"-",DataSet!G884)</f>
        <v>Aanya Kapoor-Ahmedabad</v>
      </c>
    </row>
    <row r="885" spans="1:11">
      <c r="A885" t="str">
        <v>ORD-2024-00884</v>
      </c>
      <c r="B885" s="2">
        <v>24800</v>
      </c>
      <c r="C885" s="2">
        <v>5703.04</v>
      </c>
      <c r="D885" s="28">
        <v>0</v>
      </c>
      <c r="E885" t="str">
        <f t="shared" si="39"/>
        <v>Profit</v>
      </c>
      <c r="F885" t="str">
        <f t="shared" si="40"/>
        <v>High</v>
      </c>
      <c r="G885" t="str">
        <f>VLOOKUP(A885,DataSet!$1:$1048576,5,FALSE)</f>
        <v>Aditya Soni</v>
      </c>
      <c r="H885" s="29">
        <f>INDEX(DataSet!B:B,MATCH('Advanced  Formulas'!A885,DataSet!A:A,0))</f>
        <v>45599</v>
      </c>
      <c r="I885" s="29">
        <f>INDEX(DataSet!C:C,MATCH('Advanced  Formulas'!A885,DataSet!A:A,0))</f>
        <v>45600</v>
      </c>
      <c r="J885" t="str">
        <f t="shared" si="41"/>
        <v>Good Order</v>
      </c>
      <c r="K885" s="10" t="str">
        <f>CONCATENATE(DataSet!E885,"-",DataSet!G885)</f>
        <v>Aditya Soni-Delhi</v>
      </c>
    </row>
    <row r="886" spans="1:11">
      <c r="A886" t="str">
        <v>ORD-2025-00885</v>
      </c>
      <c r="B886" s="2">
        <v>2600</v>
      </c>
      <c r="C886" s="2">
        <v>860.86</v>
      </c>
      <c r="D886" s="28">
        <v>0</v>
      </c>
      <c r="E886" t="str">
        <f t="shared" si="39"/>
        <v>Profit</v>
      </c>
      <c r="F886" t="str">
        <f t="shared" si="40"/>
        <v>Low</v>
      </c>
      <c r="G886" t="str">
        <f>VLOOKUP(A886,DataSet!$1:$1048576,5,FALSE)</f>
        <v>Reyansh Mehta</v>
      </c>
      <c r="H886" s="29">
        <f>INDEX(DataSet!B:B,MATCH('Advanced  Formulas'!A886,DataSet!A:A,0))</f>
        <v>45843</v>
      </c>
      <c r="I886" s="29">
        <f>INDEX(DataSet!C:C,MATCH('Advanced  Formulas'!A886,DataSet!A:A,0))</f>
        <v>45848</v>
      </c>
      <c r="J886" t="str">
        <f t="shared" si="41"/>
        <v>Review</v>
      </c>
      <c r="K886" s="10" t="str">
        <f>CONCATENATE(DataSet!E886,"-",DataSet!G886)</f>
        <v>Reyansh Mehta-Vadodara</v>
      </c>
    </row>
    <row r="887" spans="1:11">
      <c r="A887" t="str">
        <v>ORD-2024-00886</v>
      </c>
      <c r="B887" s="2">
        <v>45500</v>
      </c>
      <c r="C887" s="2">
        <v>10785.29</v>
      </c>
      <c r="D887" s="28">
        <v>0</v>
      </c>
      <c r="E887" t="str">
        <f t="shared" si="39"/>
        <v>Profit</v>
      </c>
      <c r="F887" t="str">
        <f t="shared" si="40"/>
        <v>High</v>
      </c>
      <c r="G887" t="str">
        <f>VLOOKUP(A887,DataSet!$1:$1048576,5,FALSE)</f>
        <v>Krish Kapoor</v>
      </c>
      <c r="H887" s="29">
        <f>INDEX(DataSet!B:B,MATCH('Advanced  Formulas'!A887,DataSet!A:A,0))</f>
        <v>45513</v>
      </c>
      <c r="I887" s="29">
        <f>INDEX(DataSet!C:C,MATCH('Advanced  Formulas'!A887,DataSet!A:A,0))</f>
        <v>45518</v>
      </c>
      <c r="J887" t="str">
        <f t="shared" si="41"/>
        <v>Good Order</v>
      </c>
      <c r="K887" s="10" t="str">
        <f>CONCATENATE(DataSet!E887,"-",DataSet!G887)</f>
        <v>Krish Kapoor-Mumbai</v>
      </c>
    </row>
    <row r="888" spans="1:11">
      <c r="A888" t="str">
        <v>ORD-2025-00887</v>
      </c>
      <c r="B888" s="2">
        <v>1400</v>
      </c>
      <c r="C888" s="2">
        <v>302.83999999999997</v>
      </c>
      <c r="D888" s="28">
        <v>0</v>
      </c>
      <c r="E888" t="str">
        <f t="shared" si="39"/>
        <v>Profit</v>
      </c>
      <c r="F888" t="str">
        <f t="shared" si="40"/>
        <v>Low</v>
      </c>
      <c r="G888" t="str">
        <f>VLOOKUP(A888,DataSet!$1:$1048576,5,FALSE)</f>
        <v>Reyansh Verma</v>
      </c>
      <c r="H888" s="29">
        <f>INDEX(DataSet!B:B,MATCH('Advanced  Formulas'!A888,DataSet!A:A,0))</f>
        <v>45759</v>
      </c>
      <c r="I888" s="29">
        <f>INDEX(DataSet!C:C,MATCH('Advanced  Formulas'!A888,DataSet!A:A,0))</f>
        <v>45760</v>
      </c>
      <c r="J888" t="str">
        <f t="shared" si="41"/>
        <v>Review</v>
      </c>
      <c r="K888" s="10" t="str">
        <f>CONCATENATE(DataSet!E888,"-",DataSet!G888)</f>
        <v>Reyansh Verma-Rajkot</v>
      </c>
    </row>
    <row r="889" spans="1:11">
      <c r="A889" t="str">
        <v>ORD-2025-00888</v>
      </c>
      <c r="B889" s="2">
        <v>427.5</v>
      </c>
      <c r="C889" s="2">
        <v>48.93</v>
      </c>
      <c r="D889" s="28">
        <v>0.05</v>
      </c>
      <c r="E889" t="str">
        <f t="shared" si="39"/>
        <v>Loss</v>
      </c>
      <c r="F889" t="str">
        <f t="shared" si="40"/>
        <v>Low</v>
      </c>
      <c r="G889" t="str">
        <f>VLOOKUP(A889,DataSet!$1:$1048576,5,FALSE)</f>
        <v>Krish Patel</v>
      </c>
      <c r="H889" s="29">
        <f>INDEX(DataSet!B:B,MATCH('Advanced  Formulas'!A889,DataSet!A:A,0))</f>
        <v>45965</v>
      </c>
      <c r="I889" s="29">
        <f>INDEX(DataSet!C:C,MATCH('Advanced  Formulas'!A889,DataSet!A:A,0))</f>
        <v>45971</v>
      </c>
      <c r="J889" t="str">
        <f t="shared" si="41"/>
        <v>Review</v>
      </c>
      <c r="K889" s="10" t="str">
        <f>CONCATENATE(DataSet!E889,"-",DataSet!G889)</f>
        <v>Krish Patel-Kolkata</v>
      </c>
    </row>
    <row r="890" spans="1:11">
      <c r="A890" t="str">
        <v>ORD-2024-00889</v>
      </c>
      <c r="B890" s="2">
        <v>59500</v>
      </c>
      <c r="C890" s="2">
        <v>17514.84</v>
      </c>
      <c r="D890" s="28">
        <v>0</v>
      </c>
      <c r="E890" t="str">
        <f t="shared" si="39"/>
        <v>Profit</v>
      </c>
      <c r="F890" t="str">
        <f t="shared" si="40"/>
        <v>High</v>
      </c>
      <c r="G890" t="str">
        <f>VLOOKUP(A890,DataSet!$1:$1048576,5,FALSE)</f>
        <v>Zoya Sheikh</v>
      </c>
      <c r="H890" s="29">
        <f>INDEX(DataSet!B:B,MATCH('Advanced  Formulas'!A890,DataSet!A:A,0))</f>
        <v>45371</v>
      </c>
      <c r="I890" s="29">
        <f>INDEX(DataSet!C:C,MATCH('Advanced  Formulas'!A890,DataSet!A:A,0))</f>
        <v>45374</v>
      </c>
      <c r="J890" t="str">
        <f t="shared" si="41"/>
        <v>Good Order</v>
      </c>
      <c r="K890" s="10" t="str">
        <f>CONCATENATE(DataSet!E890,"-",DataSet!G890)</f>
        <v>Zoya Sheikh-Bhavnagar</v>
      </c>
    </row>
    <row r="891" spans="1:11">
      <c r="A891" t="str">
        <v>ORD-2024-00890</v>
      </c>
      <c r="B891" s="2">
        <v>320</v>
      </c>
      <c r="C891" s="2">
        <v>90.22</v>
      </c>
      <c r="D891" s="28">
        <v>0</v>
      </c>
      <c r="E891" t="str">
        <f t="shared" si="39"/>
        <v>Loss</v>
      </c>
      <c r="F891" t="str">
        <f t="shared" si="40"/>
        <v>Low</v>
      </c>
      <c r="G891" t="str">
        <f>VLOOKUP(A891,DataSet!$1:$1048576,5,FALSE)</f>
        <v>Myra Panjwani</v>
      </c>
      <c r="H891" s="29">
        <f>INDEX(DataSet!B:B,MATCH('Advanced  Formulas'!A891,DataSet!A:A,0))</f>
        <v>45441</v>
      </c>
      <c r="I891" s="29">
        <f>INDEX(DataSet!C:C,MATCH('Advanced  Formulas'!A891,DataSet!A:A,0))</f>
        <v>45448</v>
      </c>
      <c r="J891" t="str">
        <f t="shared" si="41"/>
        <v>Review</v>
      </c>
      <c r="K891" s="10" t="str">
        <f>CONCATENATE(DataSet!E891,"-",DataSet!G891)</f>
        <v>Myra Panjwani-Hyderabad</v>
      </c>
    </row>
    <row r="892" spans="1:11">
      <c r="A892" t="str">
        <v>ORD-2024-00891</v>
      </c>
      <c r="B892" s="2">
        <v>24800</v>
      </c>
      <c r="C892" s="2">
        <v>6013.27</v>
      </c>
      <c r="D892" s="28">
        <v>0</v>
      </c>
      <c r="E892" t="str">
        <f t="shared" si="39"/>
        <v>Profit</v>
      </c>
      <c r="F892" t="str">
        <f t="shared" si="40"/>
        <v>High</v>
      </c>
      <c r="G892" t="str">
        <f>VLOOKUP(A892,DataSet!$1:$1048576,5,FALSE)</f>
        <v>Yusuf Rao</v>
      </c>
      <c r="H892" s="29">
        <f>INDEX(DataSet!B:B,MATCH('Advanced  Formulas'!A892,DataSet!A:A,0))</f>
        <v>45471</v>
      </c>
      <c r="I892" s="29">
        <f>INDEX(DataSet!C:C,MATCH('Advanced  Formulas'!A892,DataSet!A:A,0))</f>
        <v>45476</v>
      </c>
      <c r="J892" t="str">
        <f t="shared" si="41"/>
        <v>Good Order</v>
      </c>
      <c r="K892" s="10" t="str">
        <f>CONCATENATE(DataSet!E892,"-",DataSet!G892)</f>
        <v>Yusuf Rao-Chennai</v>
      </c>
    </row>
    <row r="893" spans="1:11">
      <c r="A893" t="str">
        <v>ORD-2024-00892</v>
      </c>
      <c r="B893" s="2">
        <v>5130</v>
      </c>
      <c r="C893" s="2">
        <v>1631.47</v>
      </c>
      <c r="D893" s="28">
        <v>0.1</v>
      </c>
      <c r="E893" t="str">
        <f t="shared" si="39"/>
        <v>Profit</v>
      </c>
      <c r="F893" t="str">
        <f t="shared" si="40"/>
        <v>Medium</v>
      </c>
      <c r="G893" t="str">
        <f>VLOOKUP(A893,DataSet!$1:$1048576,5,FALSE)</f>
        <v>Kiara Soni</v>
      </c>
      <c r="H893" s="29">
        <f>INDEX(DataSet!B:B,MATCH('Advanced  Formulas'!A893,DataSet!A:A,0))</f>
        <v>45569</v>
      </c>
      <c r="I893" s="29">
        <f>INDEX(DataSet!C:C,MATCH('Advanced  Formulas'!A893,DataSet!A:A,0))</f>
        <v>45574</v>
      </c>
      <c r="J893" t="str">
        <f t="shared" si="41"/>
        <v>Good Order</v>
      </c>
      <c r="K893" s="10" t="str">
        <f>CONCATENATE(DataSet!E893,"-",DataSet!G893)</f>
        <v>Kiara Soni-Bhavnagar</v>
      </c>
    </row>
    <row r="894" spans="1:11">
      <c r="A894" t="str">
        <v>ORD-2025-00893</v>
      </c>
      <c r="B894" s="2">
        <v>10080</v>
      </c>
      <c r="C894" s="2">
        <v>3196.81</v>
      </c>
      <c r="D894" s="28">
        <v>0.2</v>
      </c>
      <c r="E894" t="str">
        <f t="shared" si="39"/>
        <v>Profit</v>
      </c>
      <c r="F894" t="str">
        <f t="shared" si="40"/>
        <v>High</v>
      </c>
      <c r="G894" t="str">
        <f>VLOOKUP(A894,DataSet!$1:$1048576,5,FALSE)</f>
        <v>Yusuf Verma</v>
      </c>
      <c r="H894" s="29">
        <f>INDEX(DataSet!B:B,MATCH('Advanced  Formulas'!A894,DataSet!A:A,0))</f>
        <v>45780</v>
      </c>
      <c r="I894" s="29">
        <f>INDEX(DataSet!C:C,MATCH('Advanced  Formulas'!A894,DataSet!A:A,0))</f>
        <v>45785</v>
      </c>
      <c r="J894" t="str">
        <f t="shared" si="41"/>
        <v>Good Order</v>
      </c>
      <c r="K894" s="10" t="str">
        <f>CONCATENATE(DataSet!E894,"-",DataSet!G894)</f>
        <v>Yusuf Verma-Surat</v>
      </c>
    </row>
    <row r="895" spans="1:11">
      <c r="A895" t="str">
        <v>ORD-2026-00894</v>
      </c>
      <c r="B895" s="2">
        <v>36400</v>
      </c>
      <c r="C895" s="2">
        <v>8407.51</v>
      </c>
      <c r="D895" s="28">
        <v>0.2</v>
      </c>
      <c r="E895" t="str">
        <f t="shared" si="39"/>
        <v>Profit</v>
      </c>
      <c r="F895" t="str">
        <f t="shared" si="40"/>
        <v>High</v>
      </c>
      <c r="G895" t="str">
        <f>VLOOKUP(A895,DataSet!$1:$1048576,5,FALSE)</f>
        <v>Zoya Iyer</v>
      </c>
      <c r="H895" s="29">
        <f>INDEX(DataSet!B:B,MATCH('Advanced  Formulas'!A895,DataSet!A:A,0))</f>
        <v>46232</v>
      </c>
      <c r="I895" s="29">
        <f>INDEX(DataSet!C:C,MATCH('Advanced  Formulas'!A895,DataSet!A:A,0))</f>
        <v>46238</v>
      </c>
      <c r="J895" t="str">
        <f t="shared" si="41"/>
        <v>Good Order</v>
      </c>
      <c r="K895" s="10" t="str">
        <f>CONCATENATE(DataSet!E895,"-",DataSet!G895)</f>
        <v>Zoya Iyer-Bengaluru</v>
      </c>
    </row>
    <row r="896" spans="1:11">
      <c r="A896" t="str">
        <v>ORD-2024-00895</v>
      </c>
      <c r="B896" s="2">
        <v>608</v>
      </c>
      <c r="C896" s="2">
        <v>162.22</v>
      </c>
      <c r="D896" s="28">
        <v>0.05</v>
      </c>
      <c r="E896" t="str">
        <f t="shared" si="39"/>
        <v>Loss</v>
      </c>
      <c r="F896" t="str">
        <f t="shared" si="40"/>
        <v>Low</v>
      </c>
      <c r="G896" t="str">
        <f>VLOOKUP(A896,DataSet!$1:$1048576,5,FALSE)</f>
        <v>Kabir Kapoor</v>
      </c>
      <c r="H896" s="29">
        <f>INDEX(DataSet!B:B,MATCH('Advanced  Formulas'!A896,DataSet!A:A,0))</f>
        <v>45585</v>
      </c>
      <c r="I896" s="29">
        <f>INDEX(DataSet!C:C,MATCH('Advanced  Formulas'!A896,DataSet!A:A,0))</f>
        <v>45588</v>
      </c>
      <c r="J896" t="str">
        <f t="shared" si="41"/>
        <v>Review</v>
      </c>
      <c r="K896" s="10" t="str">
        <f>CONCATENATE(DataSet!E896,"-",DataSet!G896)</f>
        <v>Kabir Kapoor-Pune</v>
      </c>
    </row>
    <row r="897" spans="1:11">
      <c r="A897" t="str">
        <v>ORD-2026-00896</v>
      </c>
      <c r="B897" s="2">
        <v>90</v>
      </c>
      <c r="C897" s="2">
        <v>16.8</v>
      </c>
      <c r="D897" s="28">
        <v>0</v>
      </c>
      <c r="E897" t="str">
        <f t="shared" si="39"/>
        <v>Loss</v>
      </c>
      <c r="F897" t="str">
        <f t="shared" si="40"/>
        <v>Low</v>
      </c>
      <c r="G897" t="str">
        <f>VLOOKUP(A897,DataSet!$1:$1048576,5,FALSE)</f>
        <v>Fatima Iyer</v>
      </c>
      <c r="H897" s="29">
        <f>INDEX(DataSet!B:B,MATCH('Advanced  Formulas'!A897,DataSet!A:A,0))</f>
        <v>46039</v>
      </c>
      <c r="I897" s="29">
        <f>INDEX(DataSet!C:C,MATCH('Advanced  Formulas'!A897,DataSet!A:A,0))</f>
        <v>46041</v>
      </c>
      <c r="J897" t="str">
        <f t="shared" si="41"/>
        <v>Review</v>
      </c>
      <c r="K897" s="10" t="str">
        <f>CONCATENATE(DataSet!E897,"-",DataSet!G897)</f>
        <v>Fatima Iyer-Bhavnagar</v>
      </c>
    </row>
    <row r="898" spans="1:11">
      <c r="A898" t="str">
        <v>ORD-2025-00897</v>
      </c>
      <c r="B898" s="2">
        <v>1020</v>
      </c>
      <c r="C898" s="2">
        <v>182.96</v>
      </c>
      <c r="D898" s="28">
        <v>0.15</v>
      </c>
      <c r="E898" t="str">
        <f t="shared" si="39"/>
        <v>Loss</v>
      </c>
      <c r="F898" t="str">
        <f t="shared" si="40"/>
        <v>Low</v>
      </c>
      <c r="G898" t="str">
        <f>VLOOKUP(A898,DataSet!$1:$1048576,5,FALSE)</f>
        <v>Kiara Verma</v>
      </c>
      <c r="H898" s="29">
        <f>INDEX(DataSet!B:B,MATCH('Advanced  Formulas'!A898,DataSet!A:A,0))</f>
        <v>45985</v>
      </c>
      <c r="I898" s="29">
        <f>INDEX(DataSet!C:C,MATCH('Advanced  Formulas'!A898,DataSet!A:A,0))</f>
        <v>45990</v>
      </c>
      <c r="J898" t="str">
        <f t="shared" si="41"/>
        <v>Review</v>
      </c>
      <c r="K898" s="10" t="str">
        <f>CONCATENATE(DataSet!E898,"-",DataSet!G898)</f>
        <v>Kiara Verma-Indore</v>
      </c>
    </row>
    <row r="899" spans="1:11">
      <c r="A899" t="str">
        <v>ORD-2024-00898</v>
      </c>
      <c r="B899" s="2">
        <v>3300</v>
      </c>
      <c r="C899" s="2">
        <v>400.96</v>
      </c>
      <c r="D899" s="28">
        <v>0</v>
      </c>
      <c r="E899" t="str">
        <f t="shared" ref="E899:E962" si="42">IF(C899&gt;200,"Profit","Loss")</f>
        <v>Profit</v>
      </c>
      <c r="F899" t="str">
        <f t="shared" ref="F899:F962" si="43">IF(B899&gt;6000,"High",IF(B899&gt;=3000,"Medium",IF(B899&lt;3000,"Low")))</f>
        <v>Medium</v>
      </c>
      <c r="G899" t="str">
        <f>VLOOKUP(A899,DataSet!$1:$1048576,5,FALSE)</f>
        <v>Dev Kapoor</v>
      </c>
      <c r="H899" s="29">
        <f>INDEX(DataSet!B:B,MATCH('Advanced  Formulas'!A899,DataSet!A:A,0))</f>
        <v>45306</v>
      </c>
      <c r="I899" s="29">
        <f>INDEX(DataSet!C:C,MATCH('Advanced  Formulas'!A899,DataSet!A:A,0))</f>
        <v>45311</v>
      </c>
      <c r="J899" t="str">
        <f t="shared" ref="J899:J962" si="44">IF(AND(B899&gt;3000,C899&gt;0),"Good Order","Review")</f>
        <v>Good Order</v>
      </c>
      <c r="K899" s="10" t="str">
        <f>CONCATENATE(DataSet!E899,"-",DataSet!G899)</f>
        <v>Dev Kapoor-Vadodara</v>
      </c>
    </row>
    <row r="900" spans="1:11">
      <c r="A900" t="str">
        <v>ORD-2025-00899</v>
      </c>
      <c r="B900" s="2">
        <v>228</v>
      </c>
      <c r="C900" s="2">
        <v>35.17</v>
      </c>
      <c r="D900" s="28">
        <v>0.05</v>
      </c>
      <c r="E900" t="str">
        <f t="shared" si="42"/>
        <v>Loss</v>
      </c>
      <c r="F900" t="str">
        <f t="shared" si="43"/>
        <v>Low</v>
      </c>
      <c r="G900" t="str">
        <f>VLOOKUP(A900,DataSet!$1:$1048576,5,FALSE)</f>
        <v>Zoya Patel</v>
      </c>
      <c r="H900" s="29">
        <f>INDEX(DataSet!B:B,MATCH('Advanced  Formulas'!A900,DataSet!A:A,0))</f>
        <v>45913</v>
      </c>
      <c r="I900" s="29">
        <f>INDEX(DataSet!C:C,MATCH('Advanced  Formulas'!A900,DataSet!A:A,0))</f>
        <v>45917</v>
      </c>
      <c r="J900" t="str">
        <f t="shared" si="44"/>
        <v>Review</v>
      </c>
      <c r="K900" s="10" t="str">
        <f>CONCATENATE(DataSet!E900,"-",DataSet!G900)</f>
        <v>Zoya Patel-Surat</v>
      </c>
    </row>
    <row r="901" spans="1:11">
      <c r="A901" t="str">
        <v>ORD-2025-00900</v>
      </c>
      <c r="B901" s="2">
        <v>4930</v>
      </c>
      <c r="C901" s="2">
        <v>671.95</v>
      </c>
      <c r="D901" s="28">
        <v>0.15</v>
      </c>
      <c r="E901" t="str">
        <f t="shared" si="42"/>
        <v>Profit</v>
      </c>
      <c r="F901" t="str">
        <f t="shared" si="43"/>
        <v>Medium</v>
      </c>
      <c r="G901" t="str">
        <f>VLOOKUP(A901,DataSet!$1:$1048576,5,FALSE)</f>
        <v>Anaya Joshi</v>
      </c>
      <c r="H901" s="29">
        <f>INDEX(DataSet!B:B,MATCH('Advanced  Formulas'!A901,DataSet!A:A,0))</f>
        <v>45680</v>
      </c>
      <c r="I901" s="29">
        <f>INDEX(DataSet!C:C,MATCH('Advanced  Formulas'!A901,DataSet!A:A,0))</f>
        <v>45682</v>
      </c>
      <c r="J901" t="str">
        <f t="shared" si="44"/>
        <v>Good Order</v>
      </c>
      <c r="K901" s="10" t="str">
        <f>CONCATENATE(DataSet!E901,"-",DataSet!G901)</f>
        <v>Anaya Joshi-Mumbai</v>
      </c>
    </row>
    <row r="902" spans="1:11">
      <c r="A902" t="str">
        <v>ORD-2024-00901</v>
      </c>
      <c r="B902" s="2">
        <v>59500</v>
      </c>
      <c r="C902" s="2">
        <v>8330.32</v>
      </c>
      <c r="D902" s="28">
        <v>0</v>
      </c>
      <c r="E902" t="str">
        <f t="shared" si="42"/>
        <v>Profit</v>
      </c>
      <c r="F902" t="str">
        <f t="shared" si="43"/>
        <v>High</v>
      </c>
      <c r="G902" t="str">
        <f>VLOOKUP(A902,DataSet!$1:$1048576,5,FALSE)</f>
        <v>Dev Rao</v>
      </c>
      <c r="H902" s="29">
        <f>INDEX(DataSet!B:B,MATCH('Advanced  Formulas'!A902,DataSet!A:A,0))</f>
        <v>45592</v>
      </c>
      <c r="I902" s="29">
        <f>INDEX(DataSet!C:C,MATCH('Advanced  Formulas'!A902,DataSet!A:A,0))</f>
        <v>45595</v>
      </c>
      <c r="J902" t="str">
        <f t="shared" si="44"/>
        <v>Good Order</v>
      </c>
      <c r="K902" s="10" t="str">
        <f>CONCATENATE(DataSet!E902,"-",DataSet!G902)</f>
        <v>Dev Rao-Vadodara</v>
      </c>
    </row>
    <row r="903" spans="1:11">
      <c r="A903" t="str">
        <v>ORD-2026-00902</v>
      </c>
      <c r="B903" s="2">
        <v>6600</v>
      </c>
      <c r="C903" s="2">
        <v>1451.75</v>
      </c>
      <c r="D903" s="28">
        <v>0</v>
      </c>
      <c r="E903" t="str">
        <f t="shared" si="42"/>
        <v>Profit</v>
      </c>
      <c r="F903" t="str">
        <f t="shared" si="43"/>
        <v>High</v>
      </c>
      <c r="G903" t="str">
        <f>VLOOKUP(A903,DataSet!$1:$1048576,5,FALSE)</f>
        <v>Sara Trivedi</v>
      </c>
      <c r="H903" s="29">
        <f>INDEX(DataSet!B:B,MATCH('Advanced  Formulas'!A903,DataSet!A:A,0))</f>
        <v>46205</v>
      </c>
      <c r="I903" s="29">
        <f>INDEX(DataSet!C:C,MATCH('Advanced  Formulas'!A903,DataSet!A:A,0))</f>
        <v>46210</v>
      </c>
      <c r="J903" t="str">
        <f t="shared" si="44"/>
        <v>Good Order</v>
      </c>
      <c r="K903" s="10" t="str">
        <f>CONCATENATE(DataSet!E903,"-",DataSet!G903)</f>
        <v>Sara Trivedi-Kolkata</v>
      </c>
    </row>
    <row r="904" spans="1:11">
      <c r="A904" t="str">
        <v>ORD-2024-00903</v>
      </c>
      <c r="B904" s="2">
        <v>1900</v>
      </c>
      <c r="C904" s="2">
        <v>509.18</v>
      </c>
      <c r="D904" s="28">
        <v>0</v>
      </c>
      <c r="E904" t="str">
        <f t="shared" si="42"/>
        <v>Profit</v>
      </c>
      <c r="F904" t="str">
        <f t="shared" si="43"/>
        <v>Low</v>
      </c>
      <c r="G904" t="str">
        <f>VLOOKUP(A904,DataSet!$1:$1048576,5,FALSE)</f>
        <v>Kabir Soni</v>
      </c>
      <c r="H904" s="29">
        <f>INDEX(DataSet!B:B,MATCH('Advanced  Formulas'!A904,DataSet!A:A,0))</f>
        <v>45650</v>
      </c>
      <c r="I904" s="29">
        <f>INDEX(DataSet!C:C,MATCH('Advanced  Formulas'!A904,DataSet!A:A,0))</f>
        <v>45656</v>
      </c>
      <c r="J904" t="str">
        <f t="shared" si="44"/>
        <v>Review</v>
      </c>
      <c r="K904" s="10" t="str">
        <f>CONCATENATE(DataSet!E904,"-",DataSet!G904)</f>
        <v>Kabir Soni-Surat</v>
      </c>
    </row>
    <row r="905" spans="1:11">
      <c r="A905" t="str">
        <v>ORD-2025-00904</v>
      </c>
      <c r="B905" s="2">
        <v>2640</v>
      </c>
      <c r="C905" s="2">
        <v>752.31</v>
      </c>
      <c r="D905" s="28">
        <v>0.2</v>
      </c>
      <c r="E905" t="str">
        <f t="shared" si="42"/>
        <v>Profit</v>
      </c>
      <c r="F905" t="str">
        <f t="shared" si="43"/>
        <v>Low</v>
      </c>
      <c r="G905" t="str">
        <f>VLOOKUP(A905,DataSet!$1:$1048576,5,FALSE)</f>
        <v>Krish Trivedi</v>
      </c>
      <c r="H905" s="29">
        <f>INDEX(DataSet!B:B,MATCH('Advanced  Formulas'!A905,DataSet!A:A,0))</f>
        <v>45712</v>
      </c>
      <c r="I905" s="29">
        <f>INDEX(DataSet!C:C,MATCH('Advanced  Formulas'!A905,DataSet!A:A,0))</f>
        <v>45713</v>
      </c>
      <c r="J905" t="str">
        <f t="shared" si="44"/>
        <v>Review</v>
      </c>
      <c r="K905" s="10" t="str">
        <f>CONCATENATE(DataSet!E905,"-",DataSet!G905)</f>
        <v>Krish Trivedi-Indore</v>
      </c>
    </row>
    <row r="906" spans="1:11">
      <c r="A906" t="str">
        <v>ORD-2025-00905</v>
      </c>
      <c r="B906" s="2">
        <v>26880</v>
      </c>
      <c r="C906" s="2">
        <v>3541.9</v>
      </c>
      <c r="D906" s="28">
        <v>0.2</v>
      </c>
      <c r="E906" t="str">
        <f t="shared" si="42"/>
        <v>Profit</v>
      </c>
      <c r="F906" t="str">
        <f t="shared" si="43"/>
        <v>High</v>
      </c>
      <c r="G906" t="str">
        <f>VLOOKUP(A906,DataSet!$1:$1048576,5,FALSE)</f>
        <v>Vivaan Trivedi</v>
      </c>
      <c r="H906" s="29">
        <f>INDEX(DataSet!B:B,MATCH('Advanced  Formulas'!A906,DataSet!A:A,0))</f>
        <v>45730</v>
      </c>
      <c r="I906" s="29">
        <f>INDEX(DataSet!C:C,MATCH('Advanced  Formulas'!A906,DataSet!A:A,0))</f>
        <v>45732</v>
      </c>
      <c r="J906" t="str">
        <f t="shared" si="44"/>
        <v>Good Order</v>
      </c>
      <c r="K906" s="10" t="str">
        <f>CONCATENATE(DataSet!E906,"-",DataSet!G906)</f>
        <v>Vivaan Trivedi-Delhi</v>
      </c>
    </row>
    <row r="907" spans="1:11">
      <c r="A907" t="str">
        <v>ORD-2024-00906</v>
      </c>
      <c r="B907" s="2">
        <v>684</v>
      </c>
      <c r="C907" s="2">
        <v>247.63</v>
      </c>
      <c r="D907" s="28">
        <v>0.05</v>
      </c>
      <c r="E907" t="str">
        <f t="shared" si="42"/>
        <v>Profit</v>
      </c>
      <c r="F907" t="str">
        <f t="shared" si="43"/>
        <v>Low</v>
      </c>
      <c r="G907" t="str">
        <f>VLOOKUP(A907,DataSet!$1:$1048576,5,FALSE)</f>
        <v>Aanya Verma</v>
      </c>
      <c r="H907" s="29">
        <f>INDEX(DataSet!B:B,MATCH('Advanced  Formulas'!A907,DataSet!A:A,0))</f>
        <v>45297</v>
      </c>
      <c r="I907" s="29">
        <f>INDEX(DataSet!C:C,MATCH('Advanced  Formulas'!A907,DataSet!A:A,0))</f>
        <v>45300</v>
      </c>
      <c r="J907" t="str">
        <f t="shared" si="44"/>
        <v>Review</v>
      </c>
      <c r="K907" s="10" t="str">
        <f>CONCATENATE(DataSet!E907,"-",DataSet!G907)</f>
        <v>Aanya Verma-Indore</v>
      </c>
    </row>
    <row r="908" spans="1:11">
      <c r="A908" t="str">
        <v>ORD-2024-00907</v>
      </c>
      <c r="B908" s="2">
        <v>3420</v>
      </c>
      <c r="C908" s="2">
        <v>813.42</v>
      </c>
      <c r="D908" s="28">
        <v>0.1</v>
      </c>
      <c r="E908" t="str">
        <f t="shared" si="42"/>
        <v>Profit</v>
      </c>
      <c r="F908" t="str">
        <f t="shared" si="43"/>
        <v>Medium</v>
      </c>
      <c r="G908" t="str">
        <f>VLOOKUP(A908,DataSet!$1:$1048576,5,FALSE)</f>
        <v>Vivaan Trivedi</v>
      </c>
      <c r="H908" s="29">
        <f>INDEX(DataSet!B:B,MATCH('Advanced  Formulas'!A908,DataSet!A:A,0))</f>
        <v>45456</v>
      </c>
      <c r="I908" s="29">
        <f>INDEX(DataSet!C:C,MATCH('Advanced  Formulas'!A908,DataSet!A:A,0))</f>
        <v>45462</v>
      </c>
      <c r="J908" t="str">
        <f t="shared" si="44"/>
        <v>Good Order</v>
      </c>
      <c r="K908" s="10" t="str">
        <f>CONCATENATE(DataSet!E908,"-",DataSet!G908)</f>
        <v>Vivaan Trivedi-Vadodara</v>
      </c>
    </row>
    <row r="909" spans="1:11">
      <c r="A909" t="str">
        <v>ORD-2026-00908</v>
      </c>
      <c r="B909" s="2">
        <v>700</v>
      </c>
      <c r="C909" s="2">
        <v>121.73</v>
      </c>
      <c r="D909" s="28">
        <v>0</v>
      </c>
      <c r="E909" t="str">
        <f t="shared" si="42"/>
        <v>Loss</v>
      </c>
      <c r="F909" t="str">
        <f t="shared" si="43"/>
        <v>Low</v>
      </c>
      <c r="G909" t="str">
        <f>VLOOKUP(A909,DataSet!$1:$1048576,5,FALSE)</f>
        <v>Vivaan Trivedi</v>
      </c>
      <c r="H909" s="29">
        <f>INDEX(DataSet!B:B,MATCH('Advanced  Formulas'!A909,DataSet!A:A,0))</f>
        <v>46035</v>
      </c>
      <c r="I909" s="29">
        <f>INDEX(DataSet!C:C,MATCH('Advanced  Formulas'!A909,DataSet!A:A,0))</f>
        <v>46041</v>
      </c>
      <c r="J909" t="str">
        <f t="shared" si="44"/>
        <v>Review</v>
      </c>
      <c r="K909" s="10" t="str">
        <f>CONCATENATE(DataSet!E909,"-",DataSet!G909)</f>
        <v>Vivaan Trivedi-Kolkata</v>
      </c>
    </row>
    <row r="910" spans="1:11">
      <c r="A910" t="str">
        <v>ORD-2026-00909</v>
      </c>
      <c r="B910" s="2">
        <v>8627.5</v>
      </c>
      <c r="C910" s="2">
        <v>1430.16</v>
      </c>
      <c r="D910" s="28">
        <v>0.15</v>
      </c>
      <c r="E910" t="str">
        <f t="shared" si="42"/>
        <v>Profit</v>
      </c>
      <c r="F910" t="str">
        <f t="shared" si="43"/>
        <v>High</v>
      </c>
      <c r="G910" t="str">
        <f>VLOOKUP(A910,DataSet!$1:$1048576,5,FALSE)</f>
        <v>Fatima Joshi</v>
      </c>
      <c r="H910" s="29">
        <f>INDEX(DataSet!B:B,MATCH('Advanced  Formulas'!A910,DataSet!A:A,0))</f>
        <v>46077</v>
      </c>
      <c r="I910" s="29">
        <f>INDEX(DataSet!C:C,MATCH('Advanced  Formulas'!A910,DataSet!A:A,0))</f>
        <v>46083</v>
      </c>
      <c r="J910" t="str">
        <f t="shared" si="44"/>
        <v>Good Order</v>
      </c>
      <c r="K910" s="10" t="str">
        <f>CONCATENATE(DataSet!E910,"-",DataSet!G910)</f>
        <v>Fatima Joshi-Vadodara</v>
      </c>
    </row>
    <row r="911" spans="1:11">
      <c r="A911" t="str">
        <v>ORD-2024-00910</v>
      </c>
      <c r="B911" s="2">
        <v>216</v>
      </c>
      <c r="C911" s="2">
        <v>46.89</v>
      </c>
      <c r="D911" s="28">
        <v>0.2</v>
      </c>
      <c r="E911" t="str">
        <f t="shared" si="42"/>
        <v>Loss</v>
      </c>
      <c r="F911" t="str">
        <f t="shared" si="43"/>
        <v>Low</v>
      </c>
      <c r="G911" t="str">
        <f>VLOOKUP(A911,DataSet!$1:$1048576,5,FALSE)</f>
        <v>Arjun Iyer</v>
      </c>
      <c r="H911" s="29">
        <f>INDEX(DataSet!B:B,MATCH('Advanced  Formulas'!A911,DataSet!A:A,0))</f>
        <v>45376</v>
      </c>
      <c r="I911" s="29">
        <f>INDEX(DataSet!C:C,MATCH('Advanced  Formulas'!A911,DataSet!A:A,0))</f>
        <v>45383</v>
      </c>
      <c r="J911" t="str">
        <f t="shared" si="44"/>
        <v>Review</v>
      </c>
      <c r="K911" s="10" t="str">
        <f>CONCATENATE(DataSet!E911,"-",DataSet!G911)</f>
        <v>Arjun Iyer-Pune</v>
      </c>
    </row>
    <row r="912" spans="1:11">
      <c r="A912" t="str">
        <v>ORD-2025-00911</v>
      </c>
      <c r="B912" s="2">
        <v>2240</v>
      </c>
      <c r="C912" s="2">
        <v>328.15</v>
      </c>
      <c r="D912" s="28">
        <v>0.2</v>
      </c>
      <c r="E912" t="str">
        <f t="shared" si="42"/>
        <v>Profit</v>
      </c>
      <c r="F912" t="str">
        <f t="shared" si="43"/>
        <v>Low</v>
      </c>
      <c r="G912" t="str">
        <f>VLOOKUP(A912,DataSet!$1:$1048576,5,FALSE)</f>
        <v>Dev Dave</v>
      </c>
      <c r="H912" s="29">
        <f>INDEX(DataSet!B:B,MATCH('Advanced  Formulas'!A912,DataSet!A:A,0))</f>
        <v>46009</v>
      </c>
      <c r="I912" s="29">
        <f>INDEX(DataSet!C:C,MATCH('Advanced  Formulas'!A912,DataSet!A:A,0))</f>
        <v>46011</v>
      </c>
      <c r="J912" t="str">
        <f t="shared" si="44"/>
        <v>Review</v>
      </c>
      <c r="K912" s="10" t="str">
        <f>CONCATENATE(DataSet!E912,"-",DataSet!G912)</f>
        <v>Dev Dave-Bengaluru</v>
      </c>
    </row>
    <row r="913" spans="1:11">
      <c r="A913" t="str">
        <v>ORD-2026-00912</v>
      </c>
      <c r="B913" s="2">
        <v>240</v>
      </c>
      <c r="C913" s="2">
        <v>66.16</v>
      </c>
      <c r="D913" s="28">
        <v>0</v>
      </c>
      <c r="E913" t="str">
        <f t="shared" si="42"/>
        <v>Loss</v>
      </c>
      <c r="F913" t="str">
        <f t="shared" si="43"/>
        <v>Low</v>
      </c>
      <c r="G913" t="str">
        <f>VLOOKUP(A913,DataSet!$1:$1048576,5,FALSE)</f>
        <v>Reyansh Sheikh</v>
      </c>
      <c r="H913" s="29">
        <f>INDEX(DataSet!B:B,MATCH('Advanced  Formulas'!A913,DataSet!A:A,0))</f>
        <v>46167</v>
      </c>
      <c r="I913" s="29">
        <f>INDEX(DataSet!C:C,MATCH('Advanced  Formulas'!A913,DataSet!A:A,0))</f>
        <v>46172</v>
      </c>
      <c r="J913" t="str">
        <f t="shared" si="44"/>
        <v>Review</v>
      </c>
      <c r="K913" s="10" t="str">
        <f>CONCATENATE(DataSet!E913,"-",DataSet!G913)</f>
        <v>Reyansh Sheikh-Bengaluru</v>
      </c>
    </row>
    <row r="914" spans="1:11">
      <c r="A914" t="str">
        <v>ORD-2024-00913</v>
      </c>
      <c r="B914" s="2">
        <v>4095</v>
      </c>
      <c r="C914" s="2">
        <v>935.74</v>
      </c>
      <c r="D914" s="28">
        <v>0.1</v>
      </c>
      <c r="E914" t="str">
        <f t="shared" si="42"/>
        <v>Profit</v>
      </c>
      <c r="F914" t="str">
        <f t="shared" si="43"/>
        <v>Medium</v>
      </c>
      <c r="G914" t="str">
        <f>VLOOKUP(A914,DataSet!$1:$1048576,5,FALSE)</f>
        <v>Myra Desai</v>
      </c>
      <c r="H914" s="29">
        <f>INDEX(DataSet!B:B,MATCH('Advanced  Formulas'!A914,DataSet!A:A,0))</f>
        <v>45310</v>
      </c>
      <c r="I914" s="29">
        <f>INDEX(DataSet!C:C,MATCH('Advanced  Formulas'!A914,DataSet!A:A,0))</f>
        <v>45315</v>
      </c>
      <c r="J914" t="str">
        <f t="shared" si="44"/>
        <v>Good Order</v>
      </c>
      <c r="K914" s="10" t="str">
        <f>CONCATENATE(DataSet!E914,"-",DataSet!G914)</f>
        <v>Myra Desai-Vadodara</v>
      </c>
    </row>
    <row r="915" spans="1:11">
      <c r="A915" t="str">
        <v>ORD-2025-00914</v>
      </c>
      <c r="B915" s="2">
        <v>5500</v>
      </c>
      <c r="C915" s="2">
        <v>1704.98</v>
      </c>
      <c r="D915" s="28">
        <v>0</v>
      </c>
      <c r="E915" t="str">
        <f t="shared" si="42"/>
        <v>Profit</v>
      </c>
      <c r="F915" t="str">
        <f t="shared" si="43"/>
        <v>Medium</v>
      </c>
      <c r="G915" t="str">
        <f>VLOOKUP(A915,DataSet!$1:$1048576,5,FALSE)</f>
        <v>Zoya Verma</v>
      </c>
      <c r="H915" s="29">
        <f>INDEX(DataSet!B:B,MATCH('Advanced  Formulas'!A915,DataSet!A:A,0))</f>
        <v>45782</v>
      </c>
      <c r="I915" s="29">
        <f>INDEX(DataSet!C:C,MATCH('Advanced  Formulas'!A915,DataSet!A:A,0))</f>
        <v>45783</v>
      </c>
      <c r="J915" t="str">
        <f t="shared" si="44"/>
        <v>Good Order</v>
      </c>
      <c r="K915" s="10" t="str">
        <f>CONCATENATE(DataSet!E915,"-",DataSet!G915)</f>
        <v>Zoya Verma-Delhi</v>
      </c>
    </row>
    <row r="916" spans="1:11">
      <c r="A916" t="str">
        <v>ORD-2024-00915</v>
      </c>
      <c r="B916" s="2">
        <v>520</v>
      </c>
      <c r="C916" s="2">
        <v>81.31</v>
      </c>
      <c r="D916" s="28">
        <v>0.2</v>
      </c>
      <c r="E916" t="str">
        <f t="shared" si="42"/>
        <v>Loss</v>
      </c>
      <c r="F916" t="str">
        <f t="shared" si="43"/>
        <v>Low</v>
      </c>
      <c r="G916" t="str">
        <f>VLOOKUP(A916,DataSet!$1:$1048576,5,FALSE)</f>
        <v>Sara Khan</v>
      </c>
      <c r="H916" s="29">
        <f>INDEX(DataSet!B:B,MATCH('Advanced  Formulas'!A916,DataSet!A:A,0))</f>
        <v>45619</v>
      </c>
      <c r="I916" s="29">
        <f>INDEX(DataSet!C:C,MATCH('Advanced  Formulas'!A916,DataSet!A:A,0))</f>
        <v>45620</v>
      </c>
      <c r="J916" t="str">
        <f t="shared" si="44"/>
        <v>Review</v>
      </c>
      <c r="K916" s="10" t="str">
        <f>CONCATENATE(DataSet!E916,"-",DataSet!G916)</f>
        <v>Sara Khan-Surat</v>
      </c>
    </row>
    <row r="917" spans="1:11">
      <c r="A917" t="str">
        <v>ORD-2024-00916</v>
      </c>
      <c r="B917" s="2">
        <v>4275</v>
      </c>
      <c r="C917" s="2">
        <v>1254.1500000000001</v>
      </c>
      <c r="D917" s="28">
        <v>0.05</v>
      </c>
      <c r="E917" t="str">
        <f t="shared" si="42"/>
        <v>Profit</v>
      </c>
      <c r="F917" t="str">
        <f t="shared" si="43"/>
        <v>Medium</v>
      </c>
      <c r="G917" t="str">
        <f>VLOOKUP(A917,DataSet!$1:$1048576,5,FALSE)</f>
        <v>Aarav Kapoor</v>
      </c>
      <c r="H917" s="29">
        <f>INDEX(DataSet!B:B,MATCH('Advanced  Formulas'!A917,DataSet!A:A,0))</f>
        <v>45395</v>
      </c>
      <c r="I917" s="29">
        <f>INDEX(DataSet!C:C,MATCH('Advanced  Formulas'!A917,DataSet!A:A,0))</f>
        <v>45399</v>
      </c>
      <c r="J917" t="str">
        <f t="shared" si="44"/>
        <v>Good Order</v>
      </c>
      <c r="K917" s="10" t="str">
        <f>CONCATENATE(DataSet!E917,"-",DataSet!G917)</f>
        <v>Aarav Kapoor-Surat</v>
      </c>
    </row>
    <row r="918" spans="1:11">
      <c r="A918" t="str">
        <v>ORD-2024-00917</v>
      </c>
      <c r="B918" s="2">
        <v>18600</v>
      </c>
      <c r="C918" s="2">
        <v>3923.4</v>
      </c>
      <c r="D918" s="28">
        <v>0</v>
      </c>
      <c r="E918" t="str">
        <f t="shared" si="42"/>
        <v>Profit</v>
      </c>
      <c r="F918" t="str">
        <f t="shared" si="43"/>
        <v>High</v>
      </c>
      <c r="G918" t="str">
        <f>VLOOKUP(A918,DataSet!$1:$1048576,5,FALSE)</f>
        <v>Yusuf Panjwani</v>
      </c>
      <c r="H918" s="29">
        <f>INDEX(DataSet!B:B,MATCH('Advanced  Formulas'!A918,DataSet!A:A,0))</f>
        <v>45631</v>
      </c>
      <c r="I918" s="29">
        <f>INDEX(DataSet!C:C,MATCH('Advanced  Formulas'!A918,DataSet!A:A,0))</f>
        <v>45634</v>
      </c>
      <c r="J918" t="str">
        <f t="shared" si="44"/>
        <v>Good Order</v>
      </c>
      <c r="K918" s="10" t="str">
        <f>CONCATENATE(DataSet!E918,"-",DataSet!G918)</f>
        <v>Yusuf Panjwani-Chennai</v>
      </c>
    </row>
    <row r="919" spans="1:11">
      <c r="A919" t="str">
        <v>ORD-2024-00918</v>
      </c>
      <c r="B919" s="2">
        <v>2600</v>
      </c>
      <c r="C919" s="2">
        <v>511.65</v>
      </c>
      <c r="D919" s="28">
        <v>0</v>
      </c>
      <c r="E919" t="str">
        <f t="shared" si="42"/>
        <v>Profit</v>
      </c>
      <c r="F919" t="str">
        <f t="shared" si="43"/>
        <v>Low</v>
      </c>
      <c r="G919" t="str">
        <f>VLOOKUP(A919,DataSet!$1:$1048576,5,FALSE)</f>
        <v>Anaya Shah</v>
      </c>
      <c r="H919" s="29">
        <f>INDEX(DataSet!B:B,MATCH('Advanced  Formulas'!A919,DataSet!A:A,0))</f>
        <v>45425</v>
      </c>
      <c r="I919" s="29">
        <f>INDEX(DataSet!C:C,MATCH('Advanced  Formulas'!A919,DataSet!A:A,0))</f>
        <v>45431</v>
      </c>
      <c r="J919" t="str">
        <f t="shared" si="44"/>
        <v>Review</v>
      </c>
      <c r="K919" s="10" t="str">
        <f>CONCATENATE(DataSet!E919,"-",DataSet!G919)</f>
        <v>Anaya Shah-Chennai</v>
      </c>
    </row>
    <row r="920" spans="1:11">
      <c r="A920" t="str">
        <v>ORD-2024-00919</v>
      </c>
      <c r="B920" s="2">
        <v>1050</v>
      </c>
      <c r="C920" s="2">
        <v>364.1</v>
      </c>
      <c r="D920" s="28">
        <v>0</v>
      </c>
      <c r="E920" t="str">
        <f t="shared" si="42"/>
        <v>Profit</v>
      </c>
      <c r="F920" t="str">
        <f t="shared" si="43"/>
        <v>Low</v>
      </c>
      <c r="G920" t="str">
        <f>VLOOKUP(A920,DataSet!$1:$1048576,5,FALSE)</f>
        <v>Kiara Verma</v>
      </c>
      <c r="H920" s="29">
        <f>INDEX(DataSet!B:B,MATCH('Advanced  Formulas'!A920,DataSet!A:A,0))</f>
        <v>45643</v>
      </c>
      <c r="I920" s="29">
        <f>INDEX(DataSet!C:C,MATCH('Advanced  Formulas'!A920,DataSet!A:A,0))</f>
        <v>45646</v>
      </c>
      <c r="J920" t="str">
        <f t="shared" si="44"/>
        <v>Review</v>
      </c>
      <c r="K920" s="10" t="str">
        <f>CONCATENATE(DataSet!E920,"-",DataSet!G920)</f>
        <v>Kiara Verma-Chennai</v>
      </c>
    </row>
    <row r="921" spans="1:11">
      <c r="A921" t="str">
        <v>ORD-2026-00920</v>
      </c>
      <c r="B921" s="2">
        <v>1350</v>
      </c>
      <c r="C921" s="2">
        <v>468.98</v>
      </c>
      <c r="D921" s="28">
        <v>0.1</v>
      </c>
      <c r="E921" t="str">
        <f t="shared" si="42"/>
        <v>Profit</v>
      </c>
      <c r="F921" t="str">
        <f t="shared" si="43"/>
        <v>Low</v>
      </c>
      <c r="G921" t="str">
        <f>VLOOKUP(A921,DataSet!$1:$1048576,5,FALSE)</f>
        <v>Dev Sheikh</v>
      </c>
      <c r="H921" s="29">
        <f>INDEX(DataSet!B:B,MATCH('Advanced  Formulas'!A921,DataSet!A:A,0))</f>
        <v>46290</v>
      </c>
      <c r="I921" s="29">
        <f>INDEX(DataSet!C:C,MATCH('Advanced  Formulas'!A921,DataSet!A:A,0))</f>
        <v>46293</v>
      </c>
      <c r="J921" t="str">
        <f t="shared" si="44"/>
        <v>Review</v>
      </c>
      <c r="K921" s="10" t="str">
        <f>CONCATENATE(DataSet!E921,"-",DataSet!G921)</f>
        <v>Dev Sheikh-Indore</v>
      </c>
    </row>
    <row r="922" spans="1:11">
      <c r="A922" t="str">
        <v>ORD-2024-00921</v>
      </c>
      <c r="B922" s="2">
        <v>272</v>
      </c>
      <c r="C922" s="2">
        <v>92.94</v>
      </c>
      <c r="D922" s="28">
        <v>0.15</v>
      </c>
      <c r="E922" t="str">
        <f t="shared" si="42"/>
        <v>Loss</v>
      </c>
      <c r="F922" t="str">
        <f t="shared" si="43"/>
        <v>Low</v>
      </c>
      <c r="G922" t="str">
        <f>VLOOKUP(A922,DataSet!$1:$1048576,5,FALSE)</f>
        <v>Reyansh Verma</v>
      </c>
      <c r="H922" s="29">
        <f>INDEX(DataSet!B:B,MATCH('Advanced  Formulas'!A922,DataSet!A:A,0))</f>
        <v>45462</v>
      </c>
      <c r="I922" s="29">
        <f>INDEX(DataSet!C:C,MATCH('Advanced  Formulas'!A922,DataSet!A:A,0))</f>
        <v>45467</v>
      </c>
      <c r="J922" t="str">
        <f t="shared" si="44"/>
        <v>Review</v>
      </c>
      <c r="K922" s="10" t="str">
        <f>CONCATENATE(DataSet!E922,"-",DataSet!G922)</f>
        <v>Reyansh Verma-Rajkot</v>
      </c>
    </row>
    <row r="923" spans="1:11">
      <c r="A923" t="str">
        <v>ORD-2025-00922</v>
      </c>
      <c r="B923" s="2">
        <v>6460</v>
      </c>
      <c r="C923" s="2">
        <v>1664.23</v>
      </c>
      <c r="D923" s="28">
        <v>0.15</v>
      </c>
      <c r="E923" t="str">
        <f t="shared" si="42"/>
        <v>Profit</v>
      </c>
      <c r="F923" t="str">
        <f t="shared" si="43"/>
        <v>High</v>
      </c>
      <c r="G923" t="str">
        <f>VLOOKUP(A923,DataSet!$1:$1048576,5,FALSE)</f>
        <v>Krish Panjwani</v>
      </c>
      <c r="H923" s="29">
        <f>INDEX(DataSet!B:B,MATCH('Advanced  Formulas'!A923,DataSet!A:A,0))</f>
        <v>45993</v>
      </c>
      <c r="I923" s="29">
        <f>INDEX(DataSet!C:C,MATCH('Advanced  Formulas'!A923,DataSet!A:A,0))</f>
        <v>45998</v>
      </c>
      <c r="J923" t="str">
        <f t="shared" si="44"/>
        <v>Good Order</v>
      </c>
      <c r="K923" s="10" t="str">
        <f>CONCATENATE(DataSet!E923,"-",DataSet!G923)</f>
        <v>Krish Panjwani-Kolkata</v>
      </c>
    </row>
    <row r="924" spans="1:11">
      <c r="A924" t="str">
        <v>ORD-2024-00923</v>
      </c>
      <c r="B924" s="2">
        <v>306</v>
      </c>
      <c r="C924" s="2">
        <v>53.96</v>
      </c>
      <c r="D924" s="28">
        <v>0.15</v>
      </c>
      <c r="E924" t="str">
        <f t="shared" si="42"/>
        <v>Loss</v>
      </c>
      <c r="F924" t="str">
        <f t="shared" si="43"/>
        <v>Low</v>
      </c>
      <c r="G924" t="str">
        <f>VLOOKUP(A924,DataSet!$1:$1048576,5,FALSE)</f>
        <v>Dev Khan</v>
      </c>
      <c r="H924" s="29">
        <f>INDEX(DataSet!B:B,MATCH('Advanced  Formulas'!A924,DataSet!A:A,0))</f>
        <v>45503</v>
      </c>
      <c r="I924" s="29">
        <f>INDEX(DataSet!C:C,MATCH('Advanced  Formulas'!A924,DataSet!A:A,0))</f>
        <v>45505</v>
      </c>
      <c r="J924" t="str">
        <f t="shared" si="44"/>
        <v>Review</v>
      </c>
      <c r="K924" s="10" t="str">
        <f>CONCATENATE(DataSet!E924,"-",DataSet!G924)</f>
        <v>Dev Khan-Ahmedabad</v>
      </c>
    </row>
    <row r="925" spans="1:11">
      <c r="A925" t="str">
        <v>ORD-2024-00924</v>
      </c>
      <c r="B925" s="2">
        <v>1360</v>
      </c>
      <c r="C925" s="2">
        <v>444.09</v>
      </c>
      <c r="D925" s="28">
        <v>0.15</v>
      </c>
      <c r="E925" t="str">
        <f t="shared" si="42"/>
        <v>Profit</v>
      </c>
      <c r="F925" t="str">
        <f t="shared" si="43"/>
        <v>Low</v>
      </c>
      <c r="G925" t="str">
        <f>VLOOKUP(A925,DataSet!$1:$1048576,5,FALSE)</f>
        <v>Diya Soni</v>
      </c>
      <c r="H925" s="29">
        <f>INDEX(DataSet!B:B,MATCH('Advanced  Formulas'!A925,DataSet!A:A,0))</f>
        <v>45557</v>
      </c>
      <c r="I925" s="29">
        <f>INDEX(DataSet!C:C,MATCH('Advanced  Formulas'!A925,DataSet!A:A,0))</f>
        <v>45560</v>
      </c>
      <c r="J925" t="str">
        <f t="shared" si="44"/>
        <v>Review</v>
      </c>
      <c r="K925" s="10" t="str">
        <f>CONCATENATE(DataSet!E925,"-",DataSet!G925)</f>
        <v>Diya Soni-Kolkata</v>
      </c>
    </row>
    <row r="926" spans="1:11">
      <c r="A926" t="str">
        <v>ORD-2024-00925</v>
      </c>
      <c r="B926" s="2">
        <v>32500</v>
      </c>
      <c r="C926" s="2">
        <v>6921.61</v>
      </c>
      <c r="D926" s="28">
        <v>0</v>
      </c>
      <c r="E926" t="str">
        <f t="shared" si="42"/>
        <v>Profit</v>
      </c>
      <c r="F926" t="str">
        <f t="shared" si="43"/>
        <v>High</v>
      </c>
      <c r="G926" t="str">
        <f>VLOOKUP(A926,DataSet!$1:$1048576,5,FALSE)</f>
        <v>Reyansh Soni</v>
      </c>
      <c r="H926" s="29">
        <f>INDEX(DataSet!B:B,MATCH('Advanced  Formulas'!A926,DataSet!A:A,0))</f>
        <v>45332</v>
      </c>
      <c r="I926" s="29">
        <f>INDEX(DataSet!C:C,MATCH('Advanced  Formulas'!A926,DataSet!A:A,0))</f>
        <v>45338</v>
      </c>
      <c r="J926" t="str">
        <f t="shared" si="44"/>
        <v>Good Order</v>
      </c>
      <c r="K926" s="10" t="str">
        <f>CONCATENATE(DataSet!E926,"-",DataSet!G926)</f>
        <v>Reyansh Soni-Surat</v>
      </c>
    </row>
    <row r="927" spans="1:11">
      <c r="A927" t="str">
        <v>ORD-2025-00926</v>
      </c>
      <c r="B927" s="2">
        <v>4480</v>
      </c>
      <c r="C927" s="2">
        <v>538.33000000000004</v>
      </c>
      <c r="D927" s="28">
        <v>0.2</v>
      </c>
      <c r="E927" t="str">
        <f t="shared" si="42"/>
        <v>Profit</v>
      </c>
      <c r="F927" t="str">
        <f t="shared" si="43"/>
        <v>Medium</v>
      </c>
      <c r="G927" t="str">
        <f>VLOOKUP(A927,DataSet!$1:$1048576,5,FALSE)</f>
        <v>Vivaan Panjwani</v>
      </c>
      <c r="H927" s="29">
        <f>INDEX(DataSet!B:B,MATCH('Advanced  Formulas'!A927,DataSet!A:A,0))</f>
        <v>45956</v>
      </c>
      <c r="I927" s="29">
        <f>INDEX(DataSet!C:C,MATCH('Advanced  Formulas'!A927,DataSet!A:A,0))</f>
        <v>45959</v>
      </c>
      <c r="J927" t="str">
        <f t="shared" si="44"/>
        <v>Good Order</v>
      </c>
      <c r="K927" s="10" t="str">
        <f>CONCATENATE(DataSet!E927,"-",DataSet!G927)</f>
        <v>Vivaan Panjwani-Bengaluru</v>
      </c>
    </row>
    <row r="928" spans="1:11">
      <c r="A928" t="str">
        <v>ORD-2024-00927</v>
      </c>
      <c r="B928" s="2">
        <v>4640</v>
      </c>
      <c r="C928" s="2">
        <v>459.55</v>
      </c>
      <c r="D928" s="28">
        <v>0.2</v>
      </c>
      <c r="E928" t="str">
        <f t="shared" si="42"/>
        <v>Profit</v>
      </c>
      <c r="F928" t="str">
        <f t="shared" si="43"/>
        <v>Medium</v>
      </c>
      <c r="G928" t="str">
        <f>VLOOKUP(A928,DataSet!$1:$1048576,5,FALSE)</f>
        <v>Arjun Patel</v>
      </c>
      <c r="H928" s="29">
        <f>INDEX(DataSet!B:B,MATCH('Advanced  Formulas'!A928,DataSet!A:A,0))</f>
        <v>45624</v>
      </c>
      <c r="I928" s="29">
        <f>INDEX(DataSet!C:C,MATCH('Advanced  Formulas'!A928,DataSet!A:A,0))</f>
        <v>45625</v>
      </c>
      <c r="J928" t="str">
        <f t="shared" si="44"/>
        <v>Good Order</v>
      </c>
      <c r="K928" s="10" t="str">
        <f>CONCATENATE(DataSet!E928,"-",DataSet!G928)</f>
        <v>Arjun Patel-Bengaluru</v>
      </c>
    </row>
    <row r="929" spans="1:11">
      <c r="A929" t="str">
        <v>ORD-2024-00928</v>
      </c>
      <c r="B929" s="2">
        <v>6840</v>
      </c>
      <c r="C929" s="2">
        <v>2104.2199999999998</v>
      </c>
      <c r="D929" s="28">
        <v>0.1</v>
      </c>
      <c r="E929" t="str">
        <f t="shared" si="42"/>
        <v>Profit</v>
      </c>
      <c r="F929" t="str">
        <f t="shared" si="43"/>
        <v>High</v>
      </c>
      <c r="G929" t="str">
        <f>VLOOKUP(A929,DataSet!$1:$1048576,5,FALSE)</f>
        <v>Reyansh Dave</v>
      </c>
      <c r="H929" s="29">
        <f>INDEX(DataSet!B:B,MATCH('Advanced  Formulas'!A929,DataSet!A:A,0))</f>
        <v>45400</v>
      </c>
      <c r="I929" s="29">
        <f>INDEX(DataSet!C:C,MATCH('Advanced  Formulas'!A929,DataSet!A:A,0))</f>
        <v>45406</v>
      </c>
      <c r="J929" t="str">
        <f t="shared" si="44"/>
        <v>Good Order</v>
      </c>
      <c r="K929" s="10" t="str">
        <f>CONCATENATE(DataSet!E929,"-",DataSet!G929)</f>
        <v>Reyansh Dave-Chennai</v>
      </c>
    </row>
    <row r="930" spans="1:11">
      <c r="A930" t="str">
        <v>ORD-2024-00929</v>
      </c>
      <c r="B930" s="2">
        <v>5130</v>
      </c>
      <c r="C930" s="2">
        <v>1747.48</v>
      </c>
      <c r="D930" s="28">
        <v>0.1</v>
      </c>
      <c r="E930" t="str">
        <f t="shared" si="42"/>
        <v>Profit</v>
      </c>
      <c r="F930" t="str">
        <f t="shared" si="43"/>
        <v>Medium</v>
      </c>
      <c r="G930" t="str">
        <f>VLOOKUP(A930,DataSet!$1:$1048576,5,FALSE)</f>
        <v>Rohan Mehta</v>
      </c>
      <c r="H930" s="29">
        <f>INDEX(DataSet!B:B,MATCH('Advanced  Formulas'!A930,DataSet!A:A,0))</f>
        <v>45451</v>
      </c>
      <c r="I930" s="29">
        <f>INDEX(DataSet!C:C,MATCH('Advanced  Formulas'!A930,DataSet!A:A,0))</f>
        <v>45455</v>
      </c>
      <c r="J930" t="str">
        <f t="shared" si="44"/>
        <v>Good Order</v>
      </c>
      <c r="K930" s="10" t="str">
        <f>CONCATENATE(DataSet!E930,"-",DataSet!G930)</f>
        <v>Rohan Mehta-Vadodara</v>
      </c>
    </row>
    <row r="931" spans="1:11">
      <c r="A931" t="str">
        <v>ORD-2025-00930</v>
      </c>
      <c r="B931" s="2">
        <v>304</v>
      </c>
      <c r="C931" s="2">
        <v>100.36</v>
      </c>
      <c r="D931" s="28">
        <v>0.05</v>
      </c>
      <c r="E931" t="str">
        <f t="shared" si="42"/>
        <v>Loss</v>
      </c>
      <c r="F931" t="str">
        <f t="shared" si="43"/>
        <v>Low</v>
      </c>
      <c r="G931" t="str">
        <f>VLOOKUP(A931,DataSet!$1:$1048576,5,FALSE)</f>
        <v>Krish Kapoor</v>
      </c>
      <c r="H931" s="29">
        <f>INDEX(DataSet!B:B,MATCH('Advanced  Formulas'!A931,DataSet!A:A,0))</f>
        <v>45875</v>
      </c>
      <c r="I931" s="29">
        <f>INDEX(DataSet!C:C,MATCH('Advanced  Formulas'!A931,DataSet!A:A,0))</f>
        <v>45879</v>
      </c>
      <c r="J931" t="str">
        <f t="shared" si="44"/>
        <v>Review</v>
      </c>
      <c r="K931" s="10" t="str">
        <f>CONCATENATE(DataSet!E931,"-",DataSet!G931)</f>
        <v>Krish Kapoor-Chennai</v>
      </c>
    </row>
    <row r="932" spans="1:11">
      <c r="A932" t="str">
        <v>ORD-2024-00931</v>
      </c>
      <c r="B932" s="2">
        <v>2240</v>
      </c>
      <c r="C932" s="2">
        <v>218.85</v>
      </c>
      <c r="D932" s="28">
        <v>0.2</v>
      </c>
      <c r="E932" t="str">
        <f t="shared" si="42"/>
        <v>Profit</v>
      </c>
      <c r="F932" t="str">
        <f t="shared" si="43"/>
        <v>Low</v>
      </c>
      <c r="G932" t="str">
        <f>VLOOKUP(A932,DataSet!$1:$1048576,5,FALSE)</f>
        <v>Dev Mehta</v>
      </c>
      <c r="H932" s="29">
        <f>INDEX(DataSet!B:B,MATCH('Advanced  Formulas'!A932,DataSet!A:A,0))</f>
        <v>45363</v>
      </c>
      <c r="I932" s="29">
        <f>INDEX(DataSet!C:C,MATCH('Advanced  Formulas'!A932,DataSet!A:A,0))</f>
        <v>45365</v>
      </c>
      <c r="J932" t="str">
        <f t="shared" si="44"/>
        <v>Review</v>
      </c>
      <c r="K932" s="10" t="str">
        <f>CONCATENATE(DataSet!E932,"-",DataSet!G932)</f>
        <v>Dev Mehta-Bhavnagar</v>
      </c>
    </row>
    <row r="933" spans="1:11">
      <c r="A933" t="str">
        <v>ORD-2025-00932</v>
      </c>
      <c r="B933" s="2">
        <v>2200</v>
      </c>
      <c r="C933" s="2">
        <v>399.31</v>
      </c>
      <c r="D933" s="28">
        <v>0</v>
      </c>
      <c r="E933" t="str">
        <f t="shared" si="42"/>
        <v>Profit</v>
      </c>
      <c r="F933" t="str">
        <f t="shared" si="43"/>
        <v>Low</v>
      </c>
      <c r="G933" t="str">
        <f>VLOOKUP(A933,DataSet!$1:$1048576,5,FALSE)</f>
        <v>Diya Mehta</v>
      </c>
      <c r="H933" s="29">
        <f>INDEX(DataSet!B:B,MATCH('Advanced  Formulas'!A933,DataSet!A:A,0))</f>
        <v>45909</v>
      </c>
      <c r="I933" s="29">
        <f>INDEX(DataSet!C:C,MATCH('Advanced  Formulas'!A933,DataSet!A:A,0))</f>
        <v>45910</v>
      </c>
      <c r="J933" t="str">
        <f t="shared" si="44"/>
        <v>Review</v>
      </c>
      <c r="K933" s="10" t="str">
        <f>CONCATENATE(DataSet!E933,"-",DataSet!G933)</f>
        <v>Diya Mehta-Pune</v>
      </c>
    </row>
    <row r="934" spans="1:11">
      <c r="A934" t="str">
        <v>ORD-2024-00933</v>
      </c>
      <c r="B934" s="2">
        <v>1105</v>
      </c>
      <c r="C934" s="2">
        <v>183.55</v>
      </c>
      <c r="D934" s="28">
        <v>0.15</v>
      </c>
      <c r="E934" t="str">
        <f t="shared" si="42"/>
        <v>Loss</v>
      </c>
      <c r="F934" t="str">
        <f t="shared" si="43"/>
        <v>Low</v>
      </c>
      <c r="G934" t="str">
        <f>VLOOKUP(A934,DataSet!$1:$1048576,5,FALSE)</f>
        <v>Kabir Desai</v>
      </c>
      <c r="H934" s="29">
        <f>INDEX(DataSet!B:B,MATCH('Advanced  Formulas'!A934,DataSet!A:A,0))</f>
        <v>45566</v>
      </c>
      <c r="I934" s="29">
        <f>INDEX(DataSet!C:C,MATCH('Advanced  Formulas'!A934,DataSet!A:A,0))</f>
        <v>45568</v>
      </c>
      <c r="J934" t="str">
        <f t="shared" si="44"/>
        <v>Review</v>
      </c>
      <c r="K934" s="10" t="str">
        <f>CONCATENATE(DataSet!E934,"-",DataSet!G934)</f>
        <v>Kabir Desai-Bengaluru</v>
      </c>
    </row>
    <row r="935" spans="1:11">
      <c r="A935" t="str">
        <v>ORD-2026-00934</v>
      </c>
      <c r="B935" s="2">
        <v>1662.5</v>
      </c>
      <c r="C935" s="2">
        <v>412.27</v>
      </c>
      <c r="D935" s="28">
        <v>0.05</v>
      </c>
      <c r="E935" t="str">
        <f t="shared" si="42"/>
        <v>Profit</v>
      </c>
      <c r="F935" t="str">
        <f t="shared" si="43"/>
        <v>Low</v>
      </c>
      <c r="G935" t="str">
        <f>VLOOKUP(A935,DataSet!$1:$1048576,5,FALSE)</f>
        <v>Diya Soni</v>
      </c>
      <c r="H935" s="29">
        <f>INDEX(DataSet!B:B,MATCH('Advanced  Formulas'!A935,DataSet!A:A,0))</f>
        <v>46069</v>
      </c>
      <c r="I935" s="29">
        <f>INDEX(DataSet!C:C,MATCH('Advanced  Formulas'!A935,DataSet!A:A,0))</f>
        <v>46074</v>
      </c>
      <c r="J935" t="str">
        <f t="shared" si="44"/>
        <v>Review</v>
      </c>
      <c r="K935" s="10" t="str">
        <f>CONCATENATE(DataSet!E935,"-",DataSet!G935)</f>
        <v>Diya Soni-Indore</v>
      </c>
    </row>
    <row r="936" spans="1:11">
      <c r="A936" t="str">
        <v>ORD-2025-00935</v>
      </c>
      <c r="B936" s="2">
        <v>1105</v>
      </c>
      <c r="C936" s="2">
        <v>309.77999999999997</v>
      </c>
      <c r="D936" s="28">
        <v>0.15</v>
      </c>
      <c r="E936" t="str">
        <f t="shared" si="42"/>
        <v>Profit</v>
      </c>
      <c r="F936" t="str">
        <f t="shared" si="43"/>
        <v>Low</v>
      </c>
      <c r="G936" t="str">
        <f>VLOOKUP(A936,DataSet!$1:$1048576,5,FALSE)</f>
        <v>Aanya Mehta</v>
      </c>
      <c r="H936" s="29">
        <f>INDEX(DataSet!B:B,MATCH('Advanced  Formulas'!A936,DataSet!A:A,0))</f>
        <v>45934</v>
      </c>
      <c r="I936" s="29">
        <f>INDEX(DataSet!C:C,MATCH('Advanced  Formulas'!A936,DataSet!A:A,0))</f>
        <v>45939</v>
      </c>
      <c r="J936" t="str">
        <f t="shared" si="44"/>
        <v>Review</v>
      </c>
      <c r="K936" s="10" t="str">
        <f>CONCATENATE(DataSet!E936,"-",DataSet!G936)</f>
        <v>Aanya Mehta-Bhavnagar</v>
      </c>
    </row>
    <row r="937" spans="1:11">
      <c r="A937" t="str">
        <v>ORD-2024-00936</v>
      </c>
      <c r="B937" s="2">
        <v>1680</v>
      </c>
      <c r="C937" s="2">
        <v>462.71</v>
      </c>
      <c r="D937" s="28">
        <v>0.2</v>
      </c>
      <c r="E937" t="str">
        <f t="shared" si="42"/>
        <v>Profit</v>
      </c>
      <c r="F937" t="str">
        <f t="shared" si="43"/>
        <v>Low</v>
      </c>
      <c r="G937" t="str">
        <f>VLOOKUP(A937,DataSet!$1:$1048576,5,FALSE)</f>
        <v>Krish Kapoor</v>
      </c>
      <c r="H937" s="29">
        <f>INDEX(DataSet!B:B,MATCH('Advanced  Formulas'!A937,DataSet!A:A,0))</f>
        <v>45316</v>
      </c>
      <c r="I937" s="29">
        <f>INDEX(DataSet!C:C,MATCH('Advanced  Formulas'!A937,DataSet!A:A,0))</f>
        <v>45318</v>
      </c>
      <c r="J937" t="str">
        <f t="shared" si="44"/>
        <v>Review</v>
      </c>
      <c r="K937" s="10" t="str">
        <f>CONCATENATE(DataSet!E937,"-",DataSet!G937)</f>
        <v>Krish Kapoor-Pune</v>
      </c>
    </row>
    <row r="938" spans="1:11">
      <c r="A938" t="str">
        <v>ORD-2025-00937</v>
      </c>
      <c r="B938" s="2">
        <v>855</v>
      </c>
      <c r="C938" s="2">
        <v>301.52999999999997</v>
      </c>
      <c r="D938" s="28">
        <v>0.05</v>
      </c>
      <c r="E938" t="str">
        <f t="shared" si="42"/>
        <v>Profit</v>
      </c>
      <c r="F938" t="str">
        <f t="shared" si="43"/>
        <v>Low</v>
      </c>
      <c r="G938" t="str">
        <f>VLOOKUP(A938,DataSet!$1:$1048576,5,FALSE)</f>
        <v>Anaya Trivedi</v>
      </c>
      <c r="H938" s="29">
        <f>INDEX(DataSet!B:B,MATCH('Advanced  Formulas'!A938,DataSet!A:A,0))</f>
        <v>45795</v>
      </c>
      <c r="I938" s="29">
        <f>INDEX(DataSet!C:C,MATCH('Advanced  Formulas'!A938,DataSet!A:A,0))</f>
        <v>45797</v>
      </c>
      <c r="J938" t="str">
        <f t="shared" si="44"/>
        <v>Review</v>
      </c>
      <c r="K938" s="10" t="str">
        <f>CONCATENATE(DataSet!E938,"-",DataSet!G938)</f>
        <v>Anaya Trivedi-Bhavnagar</v>
      </c>
    </row>
    <row r="939" spans="1:11">
      <c r="A939" t="str">
        <v>ORD-2025-00938</v>
      </c>
      <c r="B939" s="2">
        <v>1122</v>
      </c>
      <c r="C939" s="2">
        <v>348.21</v>
      </c>
      <c r="D939" s="28">
        <v>0.15</v>
      </c>
      <c r="E939" t="str">
        <f t="shared" si="42"/>
        <v>Profit</v>
      </c>
      <c r="F939" t="str">
        <f t="shared" si="43"/>
        <v>Low</v>
      </c>
      <c r="G939" t="str">
        <f>VLOOKUP(A939,DataSet!$1:$1048576,5,FALSE)</f>
        <v>Vivaan Sheikh</v>
      </c>
      <c r="H939" s="29">
        <f>INDEX(DataSet!B:B,MATCH('Advanced  Formulas'!A939,DataSet!A:A,0))</f>
        <v>45911</v>
      </c>
      <c r="I939" s="29">
        <f>INDEX(DataSet!C:C,MATCH('Advanced  Formulas'!A939,DataSet!A:A,0))</f>
        <v>45913</v>
      </c>
      <c r="J939" t="str">
        <f t="shared" si="44"/>
        <v>Review</v>
      </c>
      <c r="K939" s="10" t="str">
        <f>CONCATENATE(DataSet!E939,"-",DataSet!G939)</f>
        <v>Vivaan Sheikh-Surat</v>
      </c>
    </row>
    <row r="940" spans="1:11">
      <c r="A940" t="str">
        <v>ORD-2025-00939</v>
      </c>
      <c r="B940" s="2">
        <v>18900</v>
      </c>
      <c r="C940" s="2">
        <v>3646.75</v>
      </c>
      <c r="D940" s="28">
        <v>0.1</v>
      </c>
      <c r="E940" t="str">
        <f t="shared" si="42"/>
        <v>Profit</v>
      </c>
      <c r="F940" t="str">
        <f t="shared" si="43"/>
        <v>High</v>
      </c>
      <c r="G940" t="str">
        <f>VLOOKUP(A940,DataSet!$1:$1048576,5,FALSE)</f>
        <v>Arjun Iyer</v>
      </c>
      <c r="H940" s="29">
        <f>INDEX(DataSet!B:B,MATCH('Advanced  Formulas'!A940,DataSet!A:A,0))</f>
        <v>45931</v>
      </c>
      <c r="I940" s="29">
        <f>INDEX(DataSet!C:C,MATCH('Advanced  Formulas'!A940,DataSet!A:A,0))</f>
        <v>45938</v>
      </c>
      <c r="J940" t="str">
        <f t="shared" si="44"/>
        <v>Good Order</v>
      </c>
      <c r="K940" s="10" t="str">
        <f>CONCATENATE(DataSet!E940,"-",DataSet!G940)</f>
        <v>Arjun Iyer-Rajkot</v>
      </c>
    </row>
    <row r="941" spans="1:11">
      <c r="A941" t="str">
        <v>ORD-2026-00940</v>
      </c>
      <c r="B941" s="2">
        <v>720</v>
      </c>
      <c r="C941" s="2">
        <v>200.48</v>
      </c>
      <c r="D941" s="28">
        <v>0</v>
      </c>
      <c r="E941" t="str">
        <f t="shared" si="42"/>
        <v>Profit</v>
      </c>
      <c r="F941" t="str">
        <f t="shared" si="43"/>
        <v>Low</v>
      </c>
      <c r="G941" t="str">
        <f>VLOOKUP(A941,DataSet!$1:$1048576,5,FALSE)</f>
        <v>Fatima Rao</v>
      </c>
      <c r="H941" s="29">
        <f>INDEX(DataSet!B:B,MATCH('Advanced  Formulas'!A941,DataSet!A:A,0))</f>
        <v>46099</v>
      </c>
      <c r="I941" s="29">
        <f>INDEX(DataSet!C:C,MATCH('Advanced  Formulas'!A941,DataSet!A:A,0))</f>
        <v>46100</v>
      </c>
      <c r="J941" t="str">
        <f t="shared" si="44"/>
        <v>Review</v>
      </c>
      <c r="K941" s="10" t="str">
        <f>CONCATENATE(DataSet!E941,"-",DataSet!G941)</f>
        <v>Fatima Rao-Kolkata</v>
      </c>
    </row>
    <row r="942" spans="1:11">
      <c r="A942" t="str">
        <v>ORD-2025-00941</v>
      </c>
      <c r="B942" s="2">
        <v>12350</v>
      </c>
      <c r="C942" s="2">
        <v>1406.16</v>
      </c>
      <c r="D942" s="28">
        <v>0.05</v>
      </c>
      <c r="E942" t="str">
        <f t="shared" si="42"/>
        <v>Profit</v>
      </c>
      <c r="F942" t="str">
        <f t="shared" si="43"/>
        <v>High</v>
      </c>
      <c r="G942" t="str">
        <f>VLOOKUP(A942,DataSet!$1:$1048576,5,FALSE)</f>
        <v>Krish Trivedi</v>
      </c>
      <c r="H942" s="29">
        <f>INDEX(DataSet!B:B,MATCH('Advanced  Formulas'!A942,DataSet!A:A,0))</f>
        <v>45883</v>
      </c>
      <c r="I942" s="29">
        <f>INDEX(DataSet!C:C,MATCH('Advanced  Formulas'!A942,DataSet!A:A,0))</f>
        <v>45887</v>
      </c>
      <c r="J942" t="str">
        <f t="shared" si="44"/>
        <v>Good Order</v>
      </c>
      <c r="K942" s="10" t="str">
        <f>CONCATENATE(DataSet!E942,"-",DataSet!G942)</f>
        <v>Krish Trivedi-Chennai</v>
      </c>
    </row>
    <row r="943" spans="1:11">
      <c r="A943" t="str">
        <v>ORD-2025-00942</v>
      </c>
      <c r="B943" s="2">
        <v>1320</v>
      </c>
      <c r="C943" s="2">
        <v>226.31</v>
      </c>
      <c r="D943" s="28">
        <v>0</v>
      </c>
      <c r="E943" t="str">
        <f t="shared" si="42"/>
        <v>Profit</v>
      </c>
      <c r="F943" t="str">
        <f t="shared" si="43"/>
        <v>Low</v>
      </c>
      <c r="G943" t="str">
        <f>VLOOKUP(A943,DataSet!$1:$1048576,5,FALSE)</f>
        <v>Myra Panjwani</v>
      </c>
      <c r="H943" s="29">
        <f>INDEX(DataSet!B:B,MATCH('Advanced  Formulas'!A943,DataSet!A:A,0))</f>
        <v>45726</v>
      </c>
      <c r="I943" s="29">
        <f>INDEX(DataSet!C:C,MATCH('Advanced  Formulas'!A943,DataSet!A:A,0))</f>
        <v>45730</v>
      </c>
      <c r="J943" t="str">
        <f t="shared" si="44"/>
        <v>Review</v>
      </c>
      <c r="K943" s="10" t="str">
        <f>CONCATENATE(DataSet!E943,"-",DataSet!G943)</f>
        <v>Myra Panjwani-Chennai</v>
      </c>
    </row>
    <row r="944" spans="1:11">
      <c r="A944" t="str">
        <v>ORD-2025-00943</v>
      </c>
      <c r="B944" s="2">
        <v>792</v>
      </c>
      <c r="C944" s="2">
        <v>271.86</v>
      </c>
      <c r="D944" s="28">
        <v>0.1</v>
      </c>
      <c r="E944" t="str">
        <f t="shared" si="42"/>
        <v>Profit</v>
      </c>
      <c r="F944" t="str">
        <f t="shared" si="43"/>
        <v>Low</v>
      </c>
      <c r="G944" t="str">
        <f>VLOOKUP(A944,DataSet!$1:$1048576,5,FALSE)</f>
        <v>Aanya Soni</v>
      </c>
      <c r="H944" s="29">
        <f>INDEX(DataSet!B:B,MATCH('Advanced  Formulas'!A944,DataSet!A:A,0))</f>
        <v>45801</v>
      </c>
      <c r="I944" s="29">
        <f>INDEX(DataSet!C:C,MATCH('Advanced  Formulas'!A944,DataSet!A:A,0))</f>
        <v>45806</v>
      </c>
      <c r="J944" t="str">
        <f t="shared" si="44"/>
        <v>Review</v>
      </c>
      <c r="K944" s="10" t="str">
        <f>CONCATENATE(DataSet!E944,"-",DataSet!G944)</f>
        <v>Aanya Soni-Delhi</v>
      </c>
    </row>
    <row r="945" spans="1:11">
      <c r="A945" t="str">
        <v>ORD-2025-00944</v>
      </c>
      <c r="B945" s="2">
        <v>16800</v>
      </c>
      <c r="C945" s="2">
        <v>4801.04</v>
      </c>
      <c r="D945" s="28">
        <v>0</v>
      </c>
      <c r="E945" t="str">
        <f t="shared" si="42"/>
        <v>Profit</v>
      </c>
      <c r="F945" t="str">
        <f t="shared" si="43"/>
        <v>High</v>
      </c>
      <c r="G945" t="str">
        <f>VLOOKUP(A945,DataSet!$1:$1048576,5,FALSE)</f>
        <v>Vivaan Sheikh</v>
      </c>
      <c r="H945" s="29">
        <f>INDEX(DataSet!B:B,MATCH('Advanced  Formulas'!A945,DataSet!A:A,0))</f>
        <v>46011</v>
      </c>
      <c r="I945" s="29">
        <f>INDEX(DataSet!C:C,MATCH('Advanced  Formulas'!A945,DataSet!A:A,0))</f>
        <v>46012</v>
      </c>
      <c r="J945" t="str">
        <f t="shared" si="44"/>
        <v>Good Order</v>
      </c>
      <c r="K945" s="10" t="str">
        <f>CONCATENATE(DataSet!E945,"-",DataSet!G945)</f>
        <v>Vivaan Sheikh-Vadodara</v>
      </c>
    </row>
    <row r="946" spans="1:11">
      <c r="A946" t="str">
        <v>ORD-2026-00945</v>
      </c>
      <c r="B946" s="2">
        <v>2560</v>
      </c>
      <c r="C946" s="2">
        <v>416.86</v>
      </c>
      <c r="D946" s="28">
        <v>0</v>
      </c>
      <c r="E946" t="str">
        <f t="shared" si="42"/>
        <v>Profit</v>
      </c>
      <c r="F946" t="str">
        <f t="shared" si="43"/>
        <v>Low</v>
      </c>
      <c r="G946" t="str">
        <f>VLOOKUP(A946,DataSet!$1:$1048576,5,FALSE)</f>
        <v>Aanya Desai</v>
      </c>
      <c r="H946" s="29">
        <f>INDEX(DataSet!B:B,MATCH('Advanced  Formulas'!A946,DataSet!A:A,0))</f>
        <v>46225</v>
      </c>
      <c r="I946" s="29">
        <f>INDEX(DataSet!C:C,MATCH('Advanced  Formulas'!A946,DataSet!A:A,0))</f>
        <v>46228</v>
      </c>
      <c r="J946" t="str">
        <f t="shared" si="44"/>
        <v>Review</v>
      </c>
      <c r="K946" s="10" t="str">
        <f>CONCATENATE(DataSet!E946,"-",DataSet!G946)</f>
        <v>Aanya Desai-Mumbai</v>
      </c>
    </row>
    <row r="947" spans="1:11">
      <c r="A947" t="str">
        <v>ORD-2024-00946</v>
      </c>
      <c r="B947" s="2">
        <v>5320</v>
      </c>
      <c r="C947" s="2">
        <v>1825.56</v>
      </c>
      <c r="D947" s="28">
        <v>0.2</v>
      </c>
      <c r="E947" t="str">
        <f t="shared" si="42"/>
        <v>Profit</v>
      </c>
      <c r="F947" t="str">
        <f t="shared" si="43"/>
        <v>Medium</v>
      </c>
      <c r="G947" t="str">
        <f>VLOOKUP(A947,DataSet!$1:$1048576,5,FALSE)</f>
        <v>Aanya Trivedi</v>
      </c>
      <c r="H947" s="29">
        <f>INDEX(DataSet!B:B,MATCH('Advanced  Formulas'!A947,DataSet!A:A,0))</f>
        <v>45349</v>
      </c>
      <c r="I947" s="29">
        <f>INDEX(DataSet!C:C,MATCH('Advanced  Formulas'!A947,DataSet!A:A,0))</f>
        <v>45355</v>
      </c>
      <c r="J947" t="str">
        <f t="shared" si="44"/>
        <v>Good Order</v>
      </c>
      <c r="K947" s="10" t="str">
        <f>CONCATENATE(DataSet!E947,"-",DataSet!G947)</f>
        <v>Aanya Trivedi-Surat</v>
      </c>
    </row>
    <row r="948" spans="1:11">
      <c r="A948" t="str">
        <v>ORD-2025-00947</v>
      </c>
      <c r="B948" s="2">
        <v>660</v>
      </c>
      <c r="C948" s="2">
        <v>225.59</v>
      </c>
      <c r="D948" s="28">
        <v>0</v>
      </c>
      <c r="E948" t="str">
        <f t="shared" si="42"/>
        <v>Profit</v>
      </c>
      <c r="F948" t="str">
        <f t="shared" si="43"/>
        <v>Low</v>
      </c>
      <c r="G948" t="str">
        <f>VLOOKUP(A948,DataSet!$1:$1048576,5,FALSE)</f>
        <v>Kabir Desai</v>
      </c>
      <c r="H948" s="29">
        <f>INDEX(DataSet!B:B,MATCH('Advanced  Formulas'!A948,DataSet!A:A,0))</f>
        <v>45970</v>
      </c>
      <c r="I948" s="29">
        <f>INDEX(DataSet!C:C,MATCH('Advanced  Formulas'!A948,DataSet!A:A,0))</f>
        <v>45975</v>
      </c>
      <c r="J948" t="str">
        <f t="shared" si="44"/>
        <v>Review</v>
      </c>
      <c r="K948" s="10" t="str">
        <f>CONCATENATE(DataSet!E948,"-",DataSet!G948)</f>
        <v>Kabir Desai-Bhavnagar</v>
      </c>
    </row>
    <row r="949" spans="1:11">
      <c r="A949" t="str">
        <v>ORD-2025-00948</v>
      </c>
      <c r="B949" s="2">
        <v>945</v>
      </c>
      <c r="C949" s="2">
        <v>162.22999999999999</v>
      </c>
      <c r="D949" s="28">
        <v>0.1</v>
      </c>
      <c r="E949" t="str">
        <f t="shared" si="42"/>
        <v>Loss</v>
      </c>
      <c r="F949" t="str">
        <f t="shared" si="43"/>
        <v>Low</v>
      </c>
      <c r="G949" t="str">
        <f>VLOOKUP(A949,DataSet!$1:$1048576,5,FALSE)</f>
        <v>Dev Verma</v>
      </c>
      <c r="H949" s="29">
        <f>INDEX(DataSet!B:B,MATCH('Advanced  Formulas'!A949,DataSet!A:A,0))</f>
        <v>45874</v>
      </c>
      <c r="I949" s="29">
        <f>INDEX(DataSet!C:C,MATCH('Advanced  Formulas'!A949,DataSet!A:A,0))</f>
        <v>45881</v>
      </c>
      <c r="J949" t="str">
        <f t="shared" si="44"/>
        <v>Review</v>
      </c>
      <c r="K949" s="10" t="str">
        <f>CONCATENATE(DataSet!E949,"-",DataSet!G949)</f>
        <v>Dev Verma-Kolkata</v>
      </c>
    </row>
    <row r="950" spans="1:11">
      <c r="A950" t="str">
        <v>ORD-2025-00949</v>
      </c>
      <c r="B950" s="2">
        <v>5500</v>
      </c>
      <c r="C950" s="2">
        <v>1867.08</v>
      </c>
      <c r="D950" s="28">
        <v>0</v>
      </c>
      <c r="E950" t="str">
        <f t="shared" si="42"/>
        <v>Profit</v>
      </c>
      <c r="F950" t="str">
        <f t="shared" si="43"/>
        <v>Medium</v>
      </c>
      <c r="G950" t="str">
        <f>VLOOKUP(A950,DataSet!$1:$1048576,5,FALSE)</f>
        <v>Diya Dave</v>
      </c>
      <c r="H950" s="29">
        <f>INDEX(DataSet!B:B,MATCH('Advanced  Formulas'!A950,DataSet!A:A,0))</f>
        <v>45713</v>
      </c>
      <c r="I950" s="29">
        <f>INDEX(DataSet!C:C,MATCH('Advanced  Formulas'!A950,DataSet!A:A,0))</f>
        <v>45719</v>
      </c>
      <c r="J950" t="str">
        <f t="shared" si="44"/>
        <v>Good Order</v>
      </c>
      <c r="K950" s="10" t="str">
        <f>CONCATENATE(DataSet!E950,"-",DataSet!G950)</f>
        <v>Diya Dave-Mumbai</v>
      </c>
    </row>
    <row r="951" spans="1:11">
      <c r="A951" t="str">
        <v>ORD-2024-00950</v>
      </c>
      <c r="B951" s="2">
        <v>6800</v>
      </c>
      <c r="C951" s="2">
        <v>1543.69</v>
      </c>
      <c r="D951" s="28">
        <v>0.15</v>
      </c>
      <c r="E951" t="str">
        <f t="shared" si="42"/>
        <v>Profit</v>
      </c>
      <c r="F951" t="str">
        <f t="shared" si="43"/>
        <v>High</v>
      </c>
      <c r="G951" t="str">
        <f>VLOOKUP(A951,DataSet!$1:$1048576,5,FALSE)</f>
        <v>Myra Panjwani</v>
      </c>
      <c r="H951" s="29">
        <f>INDEX(DataSet!B:B,MATCH('Advanced  Formulas'!A951,DataSet!A:A,0))</f>
        <v>45456</v>
      </c>
      <c r="I951" s="29">
        <f>INDEX(DataSet!C:C,MATCH('Advanced  Formulas'!A951,DataSet!A:A,0))</f>
        <v>45457</v>
      </c>
      <c r="J951" t="str">
        <f t="shared" si="44"/>
        <v>Good Order</v>
      </c>
      <c r="K951" s="10" t="str">
        <f>CONCATENATE(DataSet!E951,"-",DataSet!G951)</f>
        <v>Myra Panjwani-Pune</v>
      </c>
    </row>
    <row r="952" spans="1:11">
      <c r="A952" t="str">
        <v>ORD-2026-00951</v>
      </c>
      <c r="B952" s="2">
        <v>1260</v>
      </c>
      <c r="C952" s="2">
        <v>257.10000000000002</v>
      </c>
      <c r="D952" s="28">
        <v>0.1</v>
      </c>
      <c r="E952" t="str">
        <f t="shared" si="42"/>
        <v>Profit</v>
      </c>
      <c r="F952" t="str">
        <f t="shared" si="43"/>
        <v>Low</v>
      </c>
      <c r="G952" t="str">
        <f>VLOOKUP(A952,DataSet!$1:$1048576,5,FALSE)</f>
        <v>Krish Mehta</v>
      </c>
      <c r="H952" s="29">
        <f>INDEX(DataSet!B:B,MATCH('Advanced  Formulas'!A952,DataSet!A:A,0))</f>
        <v>46288</v>
      </c>
      <c r="I952" s="29">
        <f>INDEX(DataSet!C:C,MATCH('Advanced  Formulas'!A952,DataSet!A:A,0))</f>
        <v>46289</v>
      </c>
      <c r="J952" t="str">
        <f t="shared" si="44"/>
        <v>Review</v>
      </c>
      <c r="K952" s="10" t="str">
        <f>CONCATENATE(DataSet!E952,"-",DataSet!G952)</f>
        <v>Krish Mehta-Delhi</v>
      </c>
    </row>
    <row r="953" spans="1:11">
      <c r="A953" t="str">
        <v>ORD-2025-00952</v>
      </c>
      <c r="B953" s="2">
        <v>7680</v>
      </c>
      <c r="C953" s="2">
        <v>1406.27</v>
      </c>
      <c r="D953" s="28">
        <v>0.2</v>
      </c>
      <c r="E953" t="str">
        <f t="shared" si="42"/>
        <v>Profit</v>
      </c>
      <c r="F953" t="str">
        <f t="shared" si="43"/>
        <v>High</v>
      </c>
      <c r="G953" t="str">
        <f>VLOOKUP(A953,DataSet!$1:$1048576,5,FALSE)</f>
        <v>Krish Mehta</v>
      </c>
      <c r="H953" s="29">
        <f>INDEX(DataSet!B:B,MATCH('Advanced  Formulas'!A953,DataSet!A:A,0))</f>
        <v>45911</v>
      </c>
      <c r="I953" s="29">
        <f>INDEX(DataSet!C:C,MATCH('Advanced  Formulas'!A953,DataSet!A:A,0))</f>
        <v>45918</v>
      </c>
      <c r="J953" t="str">
        <f t="shared" si="44"/>
        <v>Good Order</v>
      </c>
      <c r="K953" s="10" t="str">
        <f>CONCATENATE(DataSet!E953,"-",DataSet!G953)</f>
        <v>Krish Mehta-Bhavnagar</v>
      </c>
    </row>
    <row r="954" spans="1:11">
      <c r="A954" t="str">
        <v>ORD-2025-00953</v>
      </c>
      <c r="B954" s="2">
        <v>8400</v>
      </c>
      <c r="C954" s="2">
        <v>2399.86</v>
      </c>
      <c r="D954" s="28">
        <v>0</v>
      </c>
      <c r="E954" t="str">
        <f t="shared" si="42"/>
        <v>Profit</v>
      </c>
      <c r="F954" t="str">
        <f t="shared" si="43"/>
        <v>High</v>
      </c>
      <c r="G954" t="str">
        <f>VLOOKUP(A954,DataSet!$1:$1048576,5,FALSE)</f>
        <v>Aditya Patel</v>
      </c>
      <c r="H954" s="29">
        <f>INDEX(DataSet!B:B,MATCH('Advanced  Formulas'!A954,DataSet!A:A,0))</f>
        <v>45954</v>
      </c>
      <c r="I954" s="29">
        <f>INDEX(DataSet!C:C,MATCH('Advanced  Formulas'!A954,DataSet!A:A,0))</f>
        <v>45958</v>
      </c>
      <c r="J954" t="str">
        <f t="shared" si="44"/>
        <v>Good Order</v>
      </c>
      <c r="K954" s="10" t="str">
        <f>CONCATENATE(DataSet!E954,"-",DataSet!G954)</f>
        <v>Aditya Patel-Vadodara</v>
      </c>
    </row>
    <row r="955" spans="1:11">
      <c r="A955" t="str">
        <v>ORD-2024-00954</v>
      </c>
      <c r="B955" s="2">
        <v>902.5</v>
      </c>
      <c r="C955" s="2">
        <v>292.13</v>
      </c>
      <c r="D955" s="28">
        <v>0.05</v>
      </c>
      <c r="E955" t="str">
        <f t="shared" si="42"/>
        <v>Profit</v>
      </c>
      <c r="F955" t="str">
        <f t="shared" si="43"/>
        <v>Low</v>
      </c>
      <c r="G955" t="str">
        <f>VLOOKUP(A955,DataSet!$1:$1048576,5,FALSE)</f>
        <v>Diya Desai</v>
      </c>
      <c r="H955" s="29">
        <f>INDEX(DataSet!B:B,MATCH('Advanced  Formulas'!A955,DataSet!A:A,0))</f>
        <v>45458</v>
      </c>
      <c r="I955" s="29">
        <f>INDEX(DataSet!C:C,MATCH('Advanced  Formulas'!A955,DataSet!A:A,0))</f>
        <v>45463</v>
      </c>
      <c r="J955" t="str">
        <f t="shared" si="44"/>
        <v>Review</v>
      </c>
      <c r="K955" s="10" t="str">
        <f>CONCATENATE(DataSet!E955,"-",DataSet!G955)</f>
        <v>Diya Desai-Bhavnagar</v>
      </c>
    </row>
    <row r="956" spans="1:11">
      <c r="A956" t="str">
        <v>ORD-2026-00955</v>
      </c>
      <c r="B956" s="2">
        <v>68000</v>
      </c>
      <c r="C956" s="2">
        <v>24990.5</v>
      </c>
      <c r="D956" s="28">
        <v>0</v>
      </c>
      <c r="E956" t="str">
        <f t="shared" si="42"/>
        <v>Profit</v>
      </c>
      <c r="F956" t="str">
        <f t="shared" si="43"/>
        <v>High</v>
      </c>
      <c r="G956" t="str">
        <f>VLOOKUP(A956,DataSet!$1:$1048576,5,FALSE)</f>
        <v>Sara Patel</v>
      </c>
      <c r="H956" s="29">
        <f>INDEX(DataSet!B:B,MATCH('Advanced  Formulas'!A956,DataSet!A:A,0))</f>
        <v>46292</v>
      </c>
      <c r="I956" s="29">
        <f>INDEX(DataSet!C:C,MATCH('Advanced  Formulas'!A956,DataSet!A:A,0))</f>
        <v>46297</v>
      </c>
      <c r="J956" t="str">
        <f t="shared" si="44"/>
        <v>Good Order</v>
      </c>
      <c r="K956" s="10" t="str">
        <f>CONCATENATE(DataSet!E956,"-",DataSet!G956)</f>
        <v>Sara Patel-Lucknow</v>
      </c>
    </row>
    <row r="957" spans="1:11">
      <c r="A957" t="str">
        <v>ORD-2026-00956</v>
      </c>
      <c r="B957" s="2">
        <v>1792</v>
      </c>
      <c r="C957" s="2">
        <v>461.41</v>
      </c>
      <c r="D957" s="28">
        <v>0.2</v>
      </c>
      <c r="E957" t="str">
        <f t="shared" si="42"/>
        <v>Profit</v>
      </c>
      <c r="F957" t="str">
        <f t="shared" si="43"/>
        <v>Low</v>
      </c>
      <c r="G957" t="str">
        <f>VLOOKUP(A957,DataSet!$1:$1048576,5,FALSE)</f>
        <v>Anaya Trivedi</v>
      </c>
      <c r="H957" s="29">
        <f>INDEX(DataSet!B:B,MATCH('Advanced  Formulas'!A957,DataSet!A:A,0))</f>
        <v>46273</v>
      </c>
      <c r="I957" s="29">
        <f>INDEX(DataSet!C:C,MATCH('Advanced  Formulas'!A957,DataSet!A:A,0))</f>
        <v>46277</v>
      </c>
      <c r="J957" t="str">
        <f t="shared" si="44"/>
        <v>Review</v>
      </c>
      <c r="K957" s="10" t="str">
        <f>CONCATENATE(DataSet!E957,"-",DataSet!G957)</f>
        <v>Anaya Trivedi-Delhi</v>
      </c>
    </row>
    <row r="958" spans="1:11">
      <c r="A958" t="str">
        <v>ORD-2024-00957</v>
      </c>
      <c r="B958" s="2">
        <v>1134</v>
      </c>
      <c r="C958" s="2">
        <v>241.03</v>
      </c>
      <c r="D958" s="28">
        <v>0.1</v>
      </c>
      <c r="E958" t="str">
        <f t="shared" si="42"/>
        <v>Profit</v>
      </c>
      <c r="F958" t="str">
        <f t="shared" si="43"/>
        <v>Low</v>
      </c>
      <c r="G958" t="str">
        <f>VLOOKUP(A958,DataSet!$1:$1048576,5,FALSE)</f>
        <v>Diya Joshi</v>
      </c>
      <c r="H958" s="29">
        <f>INDEX(DataSet!B:B,MATCH('Advanced  Formulas'!A958,DataSet!A:A,0))</f>
        <v>45395</v>
      </c>
      <c r="I958" s="29">
        <f>INDEX(DataSet!C:C,MATCH('Advanced  Formulas'!A958,DataSet!A:A,0))</f>
        <v>45400</v>
      </c>
      <c r="J958" t="str">
        <f t="shared" si="44"/>
        <v>Review</v>
      </c>
      <c r="K958" s="10" t="str">
        <f>CONCATENATE(DataSet!E958,"-",DataSet!G958)</f>
        <v>Diya Joshi-Hyderabad</v>
      </c>
    </row>
    <row r="959" spans="1:11">
      <c r="A959" t="str">
        <v>ORD-2025-00958</v>
      </c>
      <c r="B959" s="2">
        <v>3040</v>
      </c>
      <c r="C959" s="2">
        <v>546.9</v>
      </c>
      <c r="D959" s="28">
        <v>0.2</v>
      </c>
      <c r="E959" t="str">
        <f t="shared" si="42"/>
        <v>Profit</v>
      </c>
      <c r="F959" t="str">
        <f t="shared" si="43"/>
        <v>Medium</v>
      </c>
      <c r="G959" t="str">
        <f>VLOOKUP(A959,DataSet!$1:$1048576,5,FALSE)</f>
        <v>Isha Soni</v>
      </c>
      <c r="H959" s="29">
        <f>INDEX(DataSet!B:B,MATCH('Advanced  Formulas'!A959,DataSet!A:A,0))</f>
        <v>45990</v>
      </c>
      <c r="I959" s="29">
        <f>INDEX(DataSet!C:C,MATCH('Advanced  Formulas'!A959,DataSet!A:A,0))</f>
        <v>45994</v>
      </c>
      <c r="J959" t="str">
        <f t="shared" si="44"/>
        <v>Good Order</v>
      </c>
      <c r="K959" s="10" t="str">
        <f>CONCATENATE(DataSet!E959,"-",DataSet!G959)</f>
        <v>Isha Soni-Bhavnagar</v>
      </c>
    </row>
    <row r="960" spans="1:11">
      <c r="A960" t="str">
        <v>ORD-2025-00959</v>
      </c>
      <c r="B960" s="2">
        <v>2137.5</v>
      </c>
      <c r="C960" s="2">
        <v>634.58000000000004</v>
      </c>
      <c r="D960" s="28">
        <v>0.05</v>
      </c>
      <c r="E960" t="str">
        <f t="shared" si="42"/>
        <v>Profit</v>
      </c>
      <c r="F960" t="str">
        <f t="shared" si="43"/>
        <v>Low</v>
      </c>
      <c r="G960" t="str">
        <f>VLOOKUP(A960,DataSet!$1:$1048576,5,FALSE)</f>
        <v>Aanya Patel</v>
      </c>
      <c r="H960" s="29">
        <f>INDEX(DataSet!B:B,MATCH('Advanced  Formulas'!A960,DataSet!A:A,0))</f>
        <v>45959</v>
      </c>
      <c r="I960" s="29">
        <f>INDEX(DataSet!C:C,MATCH('Advanced  Formulas'!A960,DataSet!A:A,0))</f>
        <v>45964</v>
      </c>
      <c r="J960" t="str">
        <f t="shared" si="44"/>
        <v>Review</v>
      </c>
      <c r="K960" s="10" t="str">
        <f>CONCATENATE(DataSet!E960,"-",DataSet!G960)</f>
        <v>Aanya Patel-Indore</v>
      </c>
    </row>
    <row r="961" spans="1:11">
      <c r="A961" t="str">
        <v>ORD-2024-00960</v>
      </c>
      <c r="B961" s="2">
        <v>7600</v>
      </c>
      <c r="C961" s="2">
        <v>1297.8599999999999</v>
      </c>
      <c r="D961" s="28">
        <v>0</v>
      </c>
      <c r="E961" t="str">
        <f t="shared" si="42"/>
        <v>Profit</v>
      </c>
      <c r="F961" t="str">
        <f t="shared" si="43"/>
        <v>High</v>
      </c>
      <c r="G961" t="str">
        <f>VLOOKUP(A961,DataSet!$1:$1048576,5,FALSE)</f>
        <v>Sara Soni</v>
      </c>
      <c r="H961" s="29">
        <f>INDEX(DataSet!B:B,MATCH('Advanced  Formulas'!A961,DataSet!A:A,0))</f>
        <v>45536</v>
      </c>
      <c r="I961" s="29">
        <f>INDEX(DataSet!C:C,MATCH('Advanced  Formulas'!A961,DataSet!A:A,0))</f>
        <v>45538</v>
      </c>
      <c r="J961" t="str">
        <f t="shared" si="44"/>
        <v>Good Order</v>
      </c>
      <c r="K961" s="10" t="str">
        <f>CONCATENATE(DataSet!E961,"-",DataSet!G961)</f>
        <v>Sara Soni-Lucknow</v>
      </c>
    </row>
    <row r="962" spans="1:11">
      <c r="A962" t="str">
        <v>ORD-2024-00961</v>
      </c>
      <c r="B962" s="2">
        <v>960</v>
      </c>
      <c r="C962" s="2">
        <v>294.88</v>
      </c>
      <c r="D962" s="28">
        <v>0</v>
      </c>
      <c r="E962" t="str">
        <f t="shared" si="42"/>
        <v>Profit</v>
      </c>
      <c r="F962" t="str">
        <f t="shared" si="43"/>
        <v>Low</v>
      </c>
      <c r="G962" t="str">
        <f>VLOOKUP(A962,DataSet!$1:$1048576,5,FALSE)</f>
        <v>Zoya Shah</v>
      </c>
      <c r="H962" s="29">
        <f>INDEX(DataSet!B:B,MATCH('Advanced  Formulas'!A962,DataSet!A:A,0))</f>
        <v>45388</v>
      </c>
      <c r="I962" s="29">
        <f>INDEX(DataSet!C:C,MATCH('Advanced  Formulas'!A962,DataSet!A:A,0))</f>
        <v>45392</v>
      </c>
      <c r="J962" t="str">
        <f t="shared" si="44"/>
        <v>Review</v>
      </c>
      <c r="K962" s="10" t="str">
        <f>CONCATENATE(DataSet!E962,"-",DataSet!G962)</f>
        <v>Zoya Shah-Mumbai</v>
      </c>
    </row>
    <row r="963" spans="1:11">
      <c r="A963" t="str">
        <v>ORD-2025-00962</v>
      </c>
      <c r="B963" s="2">
        <v>3375</v>
      </c>
      <c r="C963" s="2">
        <v>661.24</v>
      </c>
      <c r="D963" s="28">
        <v>0.1</v>
      </c>
      <c r="E963" t="str">
        <f t="shared" ref="E963:E1001" si="45">IF(C963&gt;200,"Profit","Loss")</f>
        <v>Profit</v>
      </c>
      <c r="F963" t="str">
        <f t="shared" ref="F963:F1001" si="46">IF(B963&gt;6000,"High",IF(B963&gt;=3000,"Medium",IF(B963&lt;3000,"Low")))</f>
        <v>Medium</v>
      </c>
      <c r="G963" t="str">
        <f>VLOOKUP(A963,DataSet!$1:$1048576,5,FALSE)</f>
        <v>Anaya Dave</v>
      </c>
      <c r="H963" s="29">
        <f>INDEX(DataSet!B:B,MATCH('Advanced  Formulas'!A963,DataSet!A:A,0))</f>
        <v>46019</v>
      </c>
      <c r="I963" s="29">
        <f>INDEX(DataSet!C:C,MATCH('Advanced  Formulas'!A963,DataSet!A:A,0))</f>
        <v>46026</v>
      </c>
      <c r="J963" t="str">
        <f t="shared" ref="J963:J1001" si="47">IF(AND(B963&gt;3000,C963&gt;0),"Good Order","Review")</f>
        <v>Good Order</v>
      </c>
      <c r="K963" s="10" t="str">
        <f>CONCATENATE(DataSet!E963,"-",DataSet!G963)</f>
        <v>Anaya Dave-Jaipur</v>
      </c>
    </row>
    <row r="964" spans="1:11">
      <c r="A964" t="str">
        <v>ORD-2025-00963</v>
      </c>
      <c r="B964" s="2">
        <v>4320</v>
      </c>
      <c r="C964" s="2">
        <v>1164.8900000000001</v>
      </c>
      <c r="D964" s="28">
        <v>0.1</v>
      </c>
      <c r="E964" t="str">
        <f t="shared" si="45"/>
        <v>Profit</v>
      </c>
      <c r="F964" t="str">
        <f t="shared" si="46"/>
        <v>Medium</v>
      </c>
      <c r="G964" t="str">
        <f>VLOOKUP(A964,DataSet!$1:$1048576,5,FALSE)</f>
        <v>Meera Trivedi</v>
      </c>
      <c r="H964" s="29">
        <f>INDEX(DataSet!B:B,MATCH('Advanced  Formulas'!A964,DataSet!A:A,0))</f>
        <v>45664</v>
      </c>
      <c r="I964" s="29">
        <f>INDEX(DataSet!C:C,MATCH('Advanced  Formulas'!A964,DataSet!A:A,0))</f>
        <v>45671</v>
      </c>
      <c r="J964" t="str">
        <f t="shared" si="47"/>
        <v>Good Order</v>
      </c>
      <c r="K964" s="10" t="str">
        <f>CONCATENATE(DataSet!E964,"-",DataSet!G964)</f>
        <v>Meera Trivedi-Rajkot</v>
      </c>
    </row>
    <row r="965" spans="1:11">
      <c r="A965" t="str">
        <v>ORD-2025-00964</v>
      </c>
      <c r="B965" s="2">
        <v>1615</v>
      </c>
      <c r="C965" s="2">
        <v>166.94</v>
      </c>
      <c r="D965" s="28">
        <v>0.15</v>
      </c>
      <c r="E965" t="str">
        <f t="shared" si="45"/>
        <v>Loss</v>
      </c>
      <c r="F965" t="str">
        <f t="shared" si="46"/>
        <v>Low</v>
      </c>
      <c r="G965" t="str">
        <f>VLOOKUP(A965,DataSet!$1:$1048576,5,FALSE)</f>
        <v>Myra Verma</v>
      </c>
      <c r="H965" s="29">
        <f>INDEX(DataSet!B:B,MATCH('Advanced  Formulas'!A965,DataSet!A:A,0))</f>
        <v>45990</v>
      </c>
      <c r="I965" s="29">
        <f>INDEX(DataSet!C:C,MATCH('Advanced  Formulas'!A965,DataSet!A:A,0))</f>
        <v>45994</v>
      </c>
      <c r="J965" t="str">
        <f t="shared" si="47"/>
        <v>Review</v>
      </c>
      <c r="K965" s="10" t="str">
        <f>CONCATENATE(DataSet!E965,"-",DataSet!G965)</f>
        <v>Myra Verma-Delhi</v>
      </c>
    </row>
    <row r="966" spans="1:11">
      <c r="A966" t="str">
        <v>ORD-2024-00965</v>
      </c>
      <c r="B966" s="2">
        <v>1912.5</v>
      </c>
      <c r="C966" s="2">
        <v>485.18</v>
      </c>
      <c r="D966" s="28">
        <v>0.15</v>
      </c>
      <c r="E966" t="str">
        <f t="shared" si="45"/>
        <v>Profit</v>
      </c>
      <c r="F966" t="str">
        <f t="shared" si="46"/>
        <v>Low</v>
      </c>
      <c r="G966" t="str">
        <f>VLOOKUP(A966,DataSet!$1:$1048576,5,FALSE)</f>
        <v>Myra Panjwani</v>
      </c>
      <c r="H966" s="29">
        <f>INDEX(DataSet!B:B,MATCH('Advanced  Formulas'!A966,DataSet!A:A,0))</f>
        <v>45450</v>
      </c>
      <c r="I966" s="29">
        <f>INDEX(DataSet!C:C,MATCH('Advanced  Formulas'!A966,DataSet!A:A,0))</f>
        <v>45457</v>
      </c>
      <c r="J966" t="str">
        <f t="shared" si="47"/>
        <v>Review</v>
      </c>
      <c r="K966" s="10" t="str">
        <f>CONCATENATE(DataSet!E966,"-",DataSet!G966)</f>
        <v>Myra Panjwani-Bhavnagar</v>
      </c>
    </row>
    <row r="967" spans="1:11">
      <c r="A967" t="str">
        <v>ORD-2024-00966</v>
      </c>
      <c r="B967" s="2">
        <v>2200</v>
      </c>
      <c r="C967" s="2">
        <v>417.42</v>
      </c>
      <c r="D967" s="28">
        <v>0</v>
      </c>
      <c r="E967" t="str">
        <f t="shared" si="45"/>
        <v>Profit</v>
      </c>
      <c r="F967" t="str">
        <f t="shared" si="46"/>
        <v>Low</v>
      </c>
      <c r="G967" t="str">
        <f>VLOOKUP(A967,DataSet!$1:$1048576,5,FALSE)</f>
        <v>Krish Iyer</v>
      </c>
      <c r="H967" s="29">
        <f>INDEX(DataSet!B:B,MATCH('Advanced  Formulas'!A967,DataSet!A:A,0))</f>
        <v>45649</v>
      </c>
      <c r="I967" s="29">
        <f>INDEX(DataSet!C:C,MATCH('Advanced  Formulas'!A967,DataSet!A:A,0))</f>
        <v>45653</v>
      </c>
      <c r="J967" t="str">
        <f t="shared" si="47"/>
        <v>Review</v>
      </c>
      <c r="K967" s="10" t="str">
        <f>CONCATENATE(DataSet!E967,"-",DataSet!G967)</f>
        <v>Krish Iyer-Jaipur</v>
      </c>
    </row>
    <row r="968" spans="1:11">
      <c r="A968" t="str">
        <v>ORD-2025-00967</v>
      </c>
      <c r="B968" s="2">
        <v>22400</v>
      </c>
      <c r="C968" s="2">
        <v>4421.8599999999997</v>
      </c>
      <c r="D968" s="28">
        <v>0</v>
      </c>
      <c r="E968" t="str">
        <f t="shared" si="45"/>
        <v>Profit</v>
      </c>
      <c r="F968" t="str">
        <f t="shared" si="46"/>
        <v>High</v>
      </c>
      <c r="G968" t="str">
        <f>VLOOKUP(A968,DataSet!$1:$1048576,5,FALSE)</f>
        <v>Anaya Joshi</v>
      </c>
      <c r="H968" s="29">
        <f>INDEX(DataSet!B:B,MATCH('Advanced  Formulas'!A968,DataSet!A:A,0))</f>
        <v>45703</v>
      </c>
      <c r="I968" s="29">
        <f>INDEX(DataSet!C:C,MATCH('Advanced  Formulas'!A968,DataSet!A:A,0))</f>
        <v>45706</v>
      </c>
      <c r="J968" t="str">
        <f t="shared" si="47"/>
        <v>Good Order</v>
      </c>
      <c r="K968" s="10" t="str">
        <f>CONCATENATE(DataSet!E968,"-",DataSet!G968)</f>
        <v>Anaya Joshi-Bhavnagar</v>
      </c>
    </row>
    <row r="969" spans="1:11">
      <c r="A969" t="str">
        <v>ORD-2025-00968</v>
      </c>
      <c r="B969" s="2">
        <v>612</v>
      </c>
      <c r="C969" s="2">
        <v>213.81</v>
      </c>
      <c r="D969" s="28">
        <v>0.15</v>
      </c>
      <c r="E969" t="str">
        <f t="shared" si="45"/>
        <v>Profit</v>
      </c>
      <c r="F969" t="str">
        <f t="shared" si="46"/>
        <v>Low</v>
      </c>
      <c r="G969" t="str">
        <f>VLOOKUP(A969,DataSet!$1:$1048576,5,FALSE)</f>
        <v>Krish Patel</v>
      </c>
      <c r="H969" s="29">
        <f>INDEX(DataSet!B:B,MATCH('Advanced  Formulas'!A969,DataSet!A:A,0))</f>
        <v>45850</v>
      </c>
      <c r="I969" s="29">
        <f>INDEX(DataSet!C:C,MATCH('Advanced  Formulas'!A969,DataSet!A:A,0))</f>
        <v>45852</v>
      </c>
      <c r="J969" t="str">
        <f t="shared" si="47"/>
        <v>Review</v>
      </c>
      <c r="K969" s="10" t="str">
        <f>CONCATENATE(DataSet!E969,"-",DataSet!G969)</f>
        <v>Krish Patel-Jaipur</v>
      </c>
    </row>
    <row r="970" spans="1:11">
      <c r="A970" t="str">
        <v>ORD-2025-00969</v>
      </c>
      <c r="B970" s="2">
        <v>1197</v>
      </c>
      <c r="C970" s="2">
        <v>367.43</v>
      </c>
      <c r="D970" s="28">
        <v>0.05</v>
      </c>
      <c r="E970" t="str">
        <f t="shared" si="45"/>
        <v>Profit</v>
      </c>
      <c r="F970" t="str">
        <f t="shared" si="46"/>
        <v>Low</v>
      </c>
      <c r="G970" t="str">
        <f>VLOOKUP(A970,DataSet!$1:$1048576,5,FALSE)</f>
        <v>Kabir Mehta</v>
      </c>
      <c r="H970" s="29">
        <f>INDEX(DataSet!B:B,MATCH('Advanced  Formulas'!A970,DataSet!A:A,0))</f>
        <v>45776</v>
      </c>
      <c r="I970" s="29">
        <f>INDEX(DataSet!C:C,MATCH('Advanced  Formulas'!A970,DataSet!A:A,0))</f>
        <v>45778</v>
      </c>
      <c r="J970" t="str">
        <f t="shared" si="47"/>
        <v>Review</v>
      </c>
      <c r="K970" s="10" t="str">
        <f>CONCATENATE(DataSet!E970,"-",DataSet!G970)</f>
        <v>Kabir Mehta-Ahmedabad</v>
      </c>
    </row>
    <row r="971" spans="1:11">
      <c r="A971" t="str">
        <v>ORD-2025-00970</v>
      </c>
      <c r="B971" s="2">
        <v>5120</v>
      </c>
      <c r="C971" s="2">
        <v>603.14</v>
      </c>
      <c r="D971" s="28">
        <v>0.2</v>
      </c>
      <c r="E971" t="str">
        <f t="shared" si="45"/>
        <v>Profit</v>
      </c>
      <c r="F971" t="str">
        <f t="shared" si="46"/>
        <v>Medium</v>
      </c>
      <c r="G971" t="str">
        <f>VLOOKUP(A971,DataSet!$1:$1048576,5,FALSE)</f>
        <v>Diya Shah</v>
      </c>
      <c r="H971" s="29">
        <f>INDEX(DataSet!B:B,MATCH('Advanced  Formulas'!A971,DataSet!A:A,0))</f>
        <v>45706</v>
      </c>
      <c r="I971" s="29">
        <f>INDEX(DataSet!C:C,MATCH('Advanced  Formulas'!A971,DataSet!A:A,0))</f>
        <v>45707</v>
      </c>
      <c r="J971" t="str">
        <f t="shared" si="47"/>
        <v>Good Order</v>
      </c>
      <c r="K971" s="10" t="str">
        <f>CONCATENATE(DataSet!E971,"-",DataSet!G971)</f>
        <v>Diya Shah-Rajkot</v>
      </c>
    </row>
    <row r="972" spans="1:11">
      <c r="A972" t="str">
        <v>ORD-2026-00971</v>
      </c>
      <c r="B972" s="2">
        <v>648</v>
      </c>
      <c r="C972" s="2">
        <v>155.38</v>
      </c>
      <c r="D972" s="28">
        <v>0.1</v>
      </c>
      <c r="E972" t="str">
        <f t="shared" si="45"/>
        <v>Loss</v>
      </c>
      <c r="F972" t="str">
        <f t="shared" si="46"/>
        <v>Low</v>
      </c>
      <c r="G972" t="str">
        <f>VLOOKUP(A972,DataSet!$1:$1048576,5,FALSE)</f>
        <v>Isha Verma</v>
      </c>
      <c r="H972" s="29">
        <f>INDEX(DataSet!B:B,MATCH('Advanced  Formulas'!A972,DataSet!A:A,0))</f>
        <v>46278</v>
      </c>
      <c r="I972" s="29">
        <f>INDEX(DataSet!C:C,MATCH('Advanced  Formulas'!A972,DataSet!A:A,0))</f>
        <v>46285</v>
      </c>
      <c r="J972" t="str">
        <f t="shared" si="47"/>
        <v>Review</v>
      </c>
      <c r="K972" s="10" t="str">
        <f>CONCATENATE(DataSet!E972,"-",DataSet!G972)</f>
        <v>Isha Verma-Rajkot</v>
      </c>
    </row>
    <row r="973" spans="1:11">
      <c r="A973" t="str">
        <v>ORD-2026-00972</v>
      </c>
      <c r="B973" s="2">
        <v>4400</v>
      </c>
      <c r="C973" s="2">
        <v>845.2</v>
      </c>
      <c r="D973" s="28">
        <v>0</v>
      </c>
      <c r="E973" t="str">
        <f t="shared" si="45"/>
        <v>Profit</v>
      </c>
      <c r="F973" t="str">
        <f t="shared" si="46"/>
        <v>Medium</v>
      </c>
      <c r="G973" t="str">
        <f>VLOOKUP(A973,DataSet!$1:$1048576,5,FALSE)</f>
        <v>Meera Mehta</v>
      </c>
      <c r="H973" s="29">
        <f>INDEX(DataSet!B:B,MATCH('Advanced  Formulas'!A973,DataSet!A:A,0))</f>
        <v>46226</v>
      </c>
      <c r="I973" s="29">
        <f>INDEX(DataSet!C:C,MATCH('Advanced  Formulas'!A973,DataSet!A:A,0))</f>
        <v>46232</v>
      </c>
      <c r="J973" t="str">
        <f t="shared" si="47"/>
        <v>Good Order</v>
      </c>
      <c r="K973" s="10" t="str">
        <f>CONCATENATE(DataSet!E973,"-",DataSet!G973)</f>
        <v>Meera Mehta-Lucknow</v>
      </c>
    </row>
    <row r="974" spans="1:11">
      <c r="A974" t="str">
        <v>ORD-2024-00973</v>
      </c>
      <c r="B974" s="2">
        <v>2660</v>
      </c>
      <c r="C974" s="2">
        <v>912.28</v>
      </c>
      <c r="D974" s="28">
        <v>0.05</v>
      </c>
      <c r="E974" t="str">
        <f t="shared" si="45"/>
        <v>Profit</v>
      </c>
      <c r="F974" t="str">
        <f t="shared" si="46"/>
        <v>Low</v>
      </c>
      <c r="G974" t="str">
        <f>VLOOKUP(A974,DataSet!$1:$1048576,5,FALSE)</f>
        <v>Aanya Joshi</v>
      </c>
      <c r="H974" s="29">
        <f>INDEX(DataSet!B:B,MATCH('Advanced  Formulas'!A974,DataSet!A:A,0))</f>
        <v>45306</v>
      </c>
      <c r="I974" s="29">
        <f>INDEX(DataSet!C:C,MATCH('Advanced  Formulas'!A974,DataSet!A:A,0))</f>
        <v>45308</v>
      </c>
      <c r="J974" t="str">
        <f t="shared" si="47"/>
        <v>Review</v>
      </c>
      <c r="K974" s="10" t="str">
        <f>CONCATENATE(DataSet!E974,"-",DataSet!G974)</f>
        <v>Aanya Joshi-Indore</v>
      </c>
    </row>
    <row r="975" spans="1:11">
      <c r="A975" t="str">
        <v>ORD-2025-00974</v>
      </c>
      <c r="B975" s="2">
        <v>300</v>
      </c>
      <c r="C975" s="2">
        <v>96.95</v>
      </c>
      <c r="D975" s="28">
        <v>0</v>
      </c>
      <c r="E975" t="str">
        <f t="shared" si="45"/>
        <v>Loss</v>
      </c>
      <c r="F975" t="str">
        <f t="shared" si="46"/>
        <v>Low</v>
      </c>
      <c r="G975" t="str">
        <f>VLOOKUP(A975,DataSet!$1:$1048576,5,FALSE)</f>
        <v>Aanya Verma</v>
      </c>
      <c r="H975" s="29">
        <f>INDEX(DataSet!B:B,MATCH('Advanced  Formulas'!A975,DataSet!A:A,0))</f>
        <v>45753</v>
      </c>
      <c r="I975" s="29">
        <f>INDEX(DataSet!C:C,MATCH('Advanced  Formulas'!A975,DataSet!A:A,0))</f>
        <v>45760</v>
      </c>
      <c r="J975" t="str">
        <f t="shared" si="47"/>
        <v>Review</v>
      </c>
      <c r="K975" s="10" t="str">
        <f>CONCATENATE(DataSet!E975,"-",DataSet!G975)</f>
        <v>Aanya Verma-Kolkata</v>
      </c>
    </row>
    <row r="976" spans="1:11">
      <c r="A976" t="str">
        <v>ORD-2025-00975</v>
      </c>
      <c r="B976" s="2">
        <v>20800</v>
      </c>
      <c r="C976" s="2">
        <v>4160.47</v>
      </c>
      <c r="D976" s="28">
        <v>0.2</v>
      </c>
      <c r="E976" t="str">
        <f t="shared" si="45"/>
        <v>Profit</v>
      </c>
      <c r="F976" t="str">
        <f t="shared" si="46"/>
        <v>High</v>
      </c>
      <c r="G976" t="str">
        <f>VLOOKUP(A976,DataSet!$1:$1048576,5,FALSE)</f>
        <v>Zoya Rao</v>
      </c>
      <c r="H976" s="29">
        <f>INDEX(DataSet!B:B,MATCH('Advanced  Formulas'!A976,DataSet!A:A,0))</f>
        <v>45907</v>
      </c>
      <c r="I976" s="29">
        <f>INDEX(DataSet!C:C,MATCH('Advanced  Formulas'!A976,DataSet!A:A,0))</f>
        <v>45911</v>
      </c>
      <c r="J976" t="str">
        <f t="shared" si="47"/>
        <v>Good Order</v>
      </c>
      <c r="K976" s="10" t="str">
        <f>CONCATENATE(DataSet!E976,"-",DataSet!G976)</f>
        <v>Zoya Rao-Vadodara</v>
      </c>
    </row>
    <row r="977" spans="1:11">
      <c r="A977" t="str">
        <v>ORD-2024-00976</v>
      </c>
      <c r="B977" s="2">
        <v>3960</v>
      </c>
      <c r="C977" s="2">
        <v>1022.87</v>
      </c>
      <c r="D977" s="28">
        <v>0.1</v>
      </c>
      <c r="E977" t="str">
        <f t="shared" si="45"/>
        <v>Profit</v>
      </c>
      <c r="F977" t="str">
        <f t="shared" si="46"/>
        <v>Medium</v>
      </c>
      <c r="G977" t="str">
        <f>VLOOKUP(A977,DataSet!$1:$1048576,5,FALSE)</f>
        <v>Kiara Panjwani</v>
      </c>
      <c r="H977" s="29">
        <f>INDEX(DataSet!B:B,MATCH('Advanced  Formulas'!A977,DataSet!A:A,0))</f>
        <v>45601</v>
      </c>
      <c r="I977" s="29">
        <f>INDEX(DataSet!C:C,MATCH('Advanced  Formulas'!A977,DataSet!A:A,0))</f>
        <v>45604</v>
      </c>
      <c r="J977" t="str">
        <f t="shared" si="47"/>
        <v>Good Order</v>
      </c>
      <c r="K977" s="10" t="str">
        <f>CONCATENATE(DataSet!E977,"-",DataSet!G977)</f>
        <v>Kiara Panjwani-Delhi</v>
      </c>
    </row>
    <row r="978" spans="1:11">
      <c r="A978" t="str">
        <v>ORD-2024-00977</v>
      </c>
      <c r="B978" s="2">
        <v>4845</v>
      </c>
      <c r="C978" s="2">
        <v>982.7</v>
      </c>
      <c r="D978" s="28">
        <v>0.15</v>
      </c>
      <c r="E978" t="str">
        <f t="shared" si="45"/>
        <v>Profit</v>
      </c>
      <c r="F978" t="str">
        <f t="shared" si="46"/>
        <v>Medium</v>
      </c>
      <c r="G978" t="str">
        <f>VLOOKUP(A978,DataSet!$1:$1048576,5,FALSE)</f>
        <v>Aanya Panjwani</v>
      </c>
      <c r="H978" s="29">
        <f>INDEX(DataSet!B:B,MATCH('Advanced  Formulas'!A978,DataSet!A:A,0))</f>
        <v>45408</v>
      </c>
      <c r="I978" s="29">
        <f>INDEX(DataSet!C:C,MATCH('Advanced  Formulas'!A978,DataSet!A:A,0))</f>
        <v>45410</v>
      </c>
      <c r="J978" t="str">
        <f t="shared" si="47"/>
        <v>Good Order</v>
      </c>
      <c r="K978" s="10" t="str">
        <f>CONCATENATE(DataSet!E978,"-",DataSet!G978)</f>
        <v>Aanya Panjwani-Jaipur</v>
      </c>
    </row>
    <row r="979" spans="1:11">
      <c r="A979" t="str">
        <v>ORD-2025-00978</v>
      </c>
      <c r="B979" s="2">
        <v>1300</v>
      </c>
      <c r="C979" s="2">
        <v>274.43</v>
      </c>
      <c r="D979" s="28">
        <v>0</v>
      </c>
      <c r="E979" t="str">
        <f t="shared" si="45"/>
        <v>Profit</v>
      </c>
      <c r="F979" t="str">
        <f t="shared" si="46"/>
        <v>Low</v>
      </c>
      <c r="G979" t="str">
        <f>VLOOKUP(A979,DataSet!$1:$1048576,5,FALSE)</f>
        <v>Aanya Shah</v>
      </c>
      <c r="H979" s="29">
        <f>INDEX(DataSet!B:B,MATCH('Advanced  Formulas'!A979,DataSet!A:A,0))</f>
        <v>45941</v>
      </c>
      <c r="I979" s="29">
        <f>INDEX(DataSet!C:C,MATCH('Advanced  Formulas'!A979,DataSet!A:A,0))</f>
        <v>45944</v>
      </c>
      <c r="J979" t="str">
        <f t="shared" si="47"/>
        <v>Review</v>
      </c>
      <c r="K979" s="10" t="str">
        <f>CONCATENATE(DataSet!E979,"-",DataSet!G979)</f>
        <v>Aanya Shah-Chennai</v>
      </c>
    </row>
    <row r="980" spans="1:11">
      <c r="A980" t="str">
        <v>ORD-2026-00979</v>
      </c>
      <c r="B980" s="2">
        <v>176</v>
      </c>
      <c r="C980" s="2">
        <v>48.33</v>
      </c>
      <c r="D980" s="28">
        <v>0.2</v>
      </c>
      <c r="E980" t="str">
        <f t="shared" si="45"/>
        <v>Loss</v>
      </c>
      <c r="F980" t="str">
        <f t="shared" si="46"/>
        <v>Low</v>
      </c>
      <c r="G980" t="str">
        <f>VLOOKUP(A980,DataSet!$1:$1048576,5,FALSE)</f>
        <v>Reyansh Desai</v>
      </c>
      <c r="H980" s="29">
        <f>INDEX(DataSet!B:B,MATCH('Advanced  Formulas'!A980,DataSet!A:A,0))</f>
        <v>46241</v>
      </c>
      <c r="I980" s="29">
        <f>INDEX(DataSet!C:C,MATCH('Advanced  Formulas'!A980,DataSet!A:A,0))</f>
        <v>46246</v>
      </c>
      <c r="J980" t="str">
        <f t="shared" si="47"/>
        <v>Review</v>
      </c>
      <c r="K980" s="10" t="str">
        <f>CONCATENATE(DataSet!E980,"-",DataSet!G980)</f>
        <v>Reyansh Desai-Bhavnagar</v>
      </c>
    </row>
    <row r="981" spans="1:11">
      <c r="A981" t="str">
        <v>ORD-2025-00980</v>
      </c>
      <c r="B981" s="2">
        <v>5940</v>
      </c>
      <c r="C981" s="2">
        <v>1530.36</v>
      </c>
      <c r="D981" s="28">
        <v>0.1</v>
      </c>
      <c r="E981" t="str">
        <f t="shared" si="45"/>
        <v>Profit</v>
      </c>
      <c r="F981" t="str">
        <f t="shared" si="46"/>
        <v>Medium</v>
      </c>
      <c r="G981" t="str">
        <f>VLOOKUP(A981,DataSet!$1:$1048576,5,FALSE)</f>
        <v>Krish Patel</v>
      </c>
      <c r="H981" s="29">
        <f>INDEX(DataSet!B:B,MATCH('Advanced  Formulas'!A981,DataSet!A:A,0))</f>
        <v>45682</v>
      </c>
      <c r="I981" s="29">
        <f>INDEX(DataSet!C:C,MATCH('Advanced  Formulas'!A981,DataSet!A:A,0))</f>
        <v>45683</v>
      </c>
      <c r="J981" t="str">
        <f t="shared" si="47"/>
        <v>Good Order</v>
      </c>
      <c r="K981" s="10" t="str">
        <f>CONCATENATE(DataSet!E981,"-",DataSet!G981)</f>
        <v>Krish Patel-Vadodara</v>
      </c>
    </row>
    <row r="982" spans="1:11">
      <c r="A982" t="str">
        <v>ORD-2025-00981</v>
      </c>
      <c r="B982" s="2">
        <v>15680</v>
      </c>
      <c r="C982" s="2">
        <v>4503.2299999999996</v>
      </c>
      <c r="D982" s="28">
        <v>0.2</v>
      </c>
      <c r="E982" t="str">
        <f t="shared" si="45"/>
        <v>Profit</v>
      </c>
      <c r="F982" t="str">
        <f t="shared" si="46"/>
        <v>High</v>
      </c>
      <c r="G982" t="str">
        <f>VLOOKUP(A982,DataSet!$1:$1048576,5,FALSE)</f>
        <v>Aanya Patel</v>
      </c>
      <c r="H982" s="29">
        <f>INDEX(DataSet!B:B,MATCH('Advanced  Formulas'!A982,DataSet!A:A,0))</f>
        <v>45811</v>
      </c>
      <c r="I982" s="29">
        <f>INDEX(DataSet!C:C,MATCH('Advanced  Formulas'!A982,DataSet!A:A,0))</f>
        <v>45814</v>
      </c>
      <c r="J982" t="str">
        <f t="shared" si="47"/>
        <v>Good Order</v>
      </c>
      <c r="K982" s="10" t="str">
        <f>CONCATENATE(DataSet!E982,"-",DataSet!G982)</f>
        <v>Aanya Patel-Rajkot</v>
      </c>
    </row>
    <row r="983" spans="1:11">
      <c r="A983" t="str">
        <v>ORD-2024-00982</v>
      </c>
      <c r="B983" s="2">
        <v>7140</v>
      </c>
      <c r="C983" s="2">
        <v>709.46</v>
      </c>
      <c r="D983" s="28">
        <v>0.15</v>
      </c>
      <c r="E983" t="str">
        <f t="shared" si="45"/>
        <v>Profit</v>
      </c>
      <c r="F983" t="str">
        <f t="shared" si="46"/>
        <v>High</v>
      </c>
      <c r="G983" t="str">
        <f>VLOOKUP(A983,DataSet!$1:$1048576,5,FALSE)</f>
        <v>Kiara Panjwani</v>
      </c>
      <c r="H983" s="29">
        <f>INDEX(DataSet!B:B,MATCH('Advanced  Formulas'!A983,DataSet!A:A,0))</f>
        <v>45449</v>
      </c>
      <c r="I983" s="29">
        <f>INDEX(DataSet!C:C,MATCH('Advanced  Formulas'!A983,DataSet!A:A,0))</f>
        <v>45456</v>
      </c>
      <c r="J983" t="str">
        <f t="shared" si="47"/>
        <v>Good Order</v>
      </c>
      <c r="K983" s="10" t="str">
        <f>CONCATENATE(DataSet!E983,"-",DataSet!G983)</f>
        <v>Kiara Panjwani-Mumbai</v>
      </c>
    </row>
    <row r="984" spans="1:11">
      <c r="A984" t="str">
        <v>ORD-2025-00983</v>
      </c>
      <c r="B984" s="2">
        <v>59500</v>
      </c>
      <c r="C984" s="2">
        <v>8077.61</v>
      </c>
      <c r="D984" s="28">
        <v>0</v>
      </c>
      <c r="E984" t="str">
        <f t="shared" si="45"/>
        <v>Profit</v>
      </c>
      <c r="F984" t="str">
        <f t="shared" si="46"/>
        <v>High</v>
      </c>
      <c r="G984" t="str">
        <f>VLOOKUP(A984,DataSet!$1:$1048576,5,FALSE)</f>
        <v>Isha Panjwani</v>
      </c>
      <c r="H984" s="29">
        <f>INDEX(DataSet!B:B,MATCH('Advanced  Formulas'!A984,DataSet!A:A,0))</f>
        <v>45951</v>
      </c>
      <c r="I984" s="29">
        <f>INDEX(DataSet!C:C,MATCH('Advanced  Formulas'!A984,DataSet!A:A,0))</f>
        <v>45955</v>
      </c>
      <c r="J984" t="str">
        <f t="shared" si="47"/>
        <v>Good Order</v>
      </c>
      <c r="K984" s="10" t="str">
        <f>CONCATENATE(DataSet!E984,"-",DataSet!G984)</f>
        <v>Isha Panjwani-Kolkata</v>
      </c>
    </row>
    <row r="985" spans="1:11">
      <c r="A985" t="str">
        <v>ORD-2024-00984</v>
      </c>
      <c r="B985" s="2">
        <v>1520</v>
      </c>
      <c r="C985" s="2">
        <v>304</v>
      </c>
      <c r="D985" s="28">
        <v>0.2</v>
      </c>
      <c r="E985" t="str">
        <f t="shared" si="45"/>
        <v>Profit</v>
      </c>
      <c r="F985" t="str">
        <f t="shared" si="46"/>
        <v>Low</v>
      </c>
      <c r="G985" t="str">
        <f>VLOOKUP(A985,DataSet!$1:$1048576,5,FALSE)</f>
        <v>Arjun Rao</v>
      </c>
      <c r="H985" s="29">
        <f>INDEX(DataSet!B:B,MATCH('Advanced  Formulas'!A985,DataSet!A:A,0))</f>
        <v>45454</v>
      </c>
      <c r="I985" s="29">
        <f>INDEX(DataSet!C:C,MATCH('Advanced  Formulas'!A985,DataSet!A:A,0))</f>
        <v>45458</v>
      </c>
      <c r="J985" t="str">
        <f t="shared" si="47"/>
        <v>Review</v>
      </c>
      <c r="K985" s="10" t="str">
        <f>CONCATENATE(DataSet!E985,"-",DataSet!G985)</f>
        <v>Arjun Rao-Vadodara</v>
      </c>
    </row>
    <row r="986" spans="1:11">
      <c r="A986" t="str">
        <v>ORD-2026-00985</v>
      </c>
      <c r="B986" s="2">
        <v>585</v>
      </c>
      <c r="C986" s="2">
        <v>211.77</v>
      </c>
      <c r="D986" s="28">
        <v>0.1</v>
      </c>
      <c r="E986" t="str">
        <f t="shared" si="45"/>
        <v>Profit</v>
      </c>
      <c r="F986" t="str">
        <f t="shared" si="46"/>
        <v>Low</v>
      </c>
      <c r="G986" t="str">
        <f>VLOOKUP(A986,DataSet!$1:$1048576,5,FALSE)</f>
        <v>Yusuf Mehta</v>
      </c>
      <c r="H986" s="29">
        <f>INDEX(DataSet!B:B,MATCH('Advanced  Formulas'!A986,DataSet!A:A,0))</f>
        <v>46263</v>
      </c>
      <c r="I986" s="29">
        <f>INDEX(DataSet!C:C,MATCH('Advanced  Formulas'!A986,DataSet!A:A,0))</f>
        <v>46266</v>
      </c>
      <c r="J986" t="str">
        <f t="shared" si="47"/>
        <v>Review</v>
      </c>
      <c r="K986" s="10" t="str">
        <f>CONCATENATE(DataSet!E986,"-",DataSet!G986)</f>
        <v>Yusuf Mehta-Vadodara</v>
      </c>
    </row>
    <row r="987" spans="1:11">
      <c r="A987" t="str">
        <v>ORD-2025-00986</v>
      </c>
      <c r="B987" s="2">
        <v>59500</v>
      </c>
      <c r="C987" s="2">
        <v>11126.01</v>
      </c>
      <c r="D987" s="28">
        <v>0</v>
      </c>
      <c r="E987" t="str">
        <f t="shared" si="45"/>
        <v>Profit</v>
      </c>
      <c r="F987" t="str">
        <f t="shared" si="46"/>
        <v>High</v>
      </c>
      <c r="G987" t="str">
        <f>VLOOKUP(A987,DataSet!$1:$1048576,5,FALSE)</f>
        <v>Rohan Kapoor</v>
      </c>
      <c r="H987" s="29">
        <f>INDEX(DataSet!B:B,MATCH('Advanced  Formulas'!A987,DataSet!A:A,0))</f>
        <v>46016</v>
      </c>
      <c r="I987" s="29">
        <f>INDEX(DataSet!C:C,MATCH('Advanced  Formulas'!A987,DataSet!A:A,0))</f>
        <v>46021</v>
      </c>
      <c r="J987" t="str">
        <f t="shared" si="47"/>
        <v>Good Order</v>
      </c>
      <c r="K987" s="10" t="str">
        <f>CONCATENATE(DataSet!E987,"-",DataSet!G987)</f>
        <v>Rohan Kapoor-Indore</v>
      </c>
    </row>
    <row r="988" spans="1:11">
      <c r="A988" t="str">
        <v>ORD-2024-00987</v>
      </c>
      <c r="B988" s="2">
        <v>1088</v>
      </c>
      <c r="C988" s="2">
        <v>151.21</v>
      </c>
      <c r="D988" s="28">
        <v>0.15</v>
      </c>
      <c r="E988" t="str">
        <f t="shared" si="45"/>
        <v>Loss</v>
      </c>
      <c r="F988" t="str">
        <f t="shared" si="46"/>
        <v>Low</v>
      </c>
      <c r="G988" t="str">
        <f>VLOOKUP(A988,DataSet!$1:$1048576,5,FALSE)</f>
        <v>Krish Iyer</v>
      </c>
      <c r="H988" s="29">
        <f>INDEX(DataSet!B:B,MATCH('Advanced  Formulas'!A988,DataSet!A:A,0))</f>
        <v>45483</v>
      </c>
      <c r="I988" s="29">
        <f>INDEX(DataSet!C:C,MATCH('Advanced  Formulas'!A988,DataSet!A:A,0))</f>
        <v>45485</v>
      </c>
      <c r="J988" t="str">
        <f t="shared" si="47"/>
        <v>Review</v>
      </c>
      <c r="K988" s="10" t="str">
        <f>CONCATENATE(DataSet!E988,"-",DataSet!G988)</f>
        <v>Krish Iyer-Bengaluru</v>
      </c>
    </row>
    <row r="989" spans="1:11">
      <c r="A989" t="str">
        <v>ORD-2024-00988</v>
      </c>
      <c r="B989" s="2">
        <v>360</v>
      </c>
      <c r="C989" s="2">
        <v>93.83</v>
      </c>
      <c r="D989" s="28">
        <v>0</v>
      </c>
      <c r="E989" t="str">
        <f t="shared" si="45"/>
        <v>Loss</v>
      </c>
      <c r="F989" t="str">
        <f t="shared" si="46"/>
        <v>Low</v>
      </c>
      <c r="G989" t="str">
        <f>VLOOKUP(A989,DataSet!$1:$1048576,5,FALSE)</f>
        <v>Anaya Shah</v>
      </c>
      <c r="H989" s="29">
        <f>INDEX(DataSet!B:B,MATCH('Advanced  Formulas'!A989,DataSet!A:A,0))</f>
        <v>45573</v>
      </c>
      <c r="I989" s="29">
        <f>INDEX(DataSet!C:C,MATCH('Advanced  Formulas'!A989,DataSet!A:A,0))</f>
        <v>45574</v>
      </c>
      <c r="J989" t="str">
        <f t="shared" si="47"/>
        <v>Review</v>
      </c>
      <c r="K989" s="10" t="str">
        <f>CONCATENATE(DataSet!E989,"-",DataSet!G989)</f>
        <v>Anaya Shah-Indore</v>
      </c>
    </row>
    <row r="990" spans="1:11">
      <c r="A990" t="str">
        <v>ORD-2024-00989</v>
      </c>
      <c r="B990" s="2">
        <v>3300</v>
      </c>
      <c r="C990" s="2">
        <v>918.69</v>
      </c>
      <c r="D990" s="28">
        <v>0</v>
      </c>
      <c r="E990" t="str">
        <f t="shared" si="45"/>
        <v>Profit</v>
      </c>
      <c r="F990" t="str">
        <f t="shared" si="46"/>
        <v>Medium</v>
      </c>
      <c r="G990" t="str">
        <f>VLOOKUP(A990,DataSet!$1:$1048576,5,FALSE)</f>
        <v>Aarav Panjwani</v>
      </c>
      <c r="H990" s="29">
        <f>INDEX(DataSet!B:B,MATCH('Advanced  Formulas'!A990,DataSet!A:A,0))</f>
        <v>45560</v>
      </c>
      <c r="I990" s="29">
        <f>INDEX(DataSet!C:C,MATCH('Advanced  Formulas'!A990,DataSet!A:A,0))</f>
        <v>45562</v>
      </c>
      <c r="J990" t="str">
        <f t="shared" si="47"/>
        <v>Good Order</v>
      </c>
      <c r="K990" s="10" t="str">
        <f>CONCATENATE(DataSet!E990,"-",DataSet!G990)</f>
        <v>Aarav Panjwani-Bhavnagar</v>
      </c>
    </row>
    <row r="991" spans="1:11">
      <c r="A991" t="str">
        <v>ORD-2026-00990</v>
      </c>
      <c r="B991" s="2">
        <v>997.5</v>
      </c>
      <c r="C991" s="2">
        <v>207.26</v>
      </c>
      <c r="D991" s="28">
        <v>0.05</v>
      </c>
      <c r="E991" t="str">
        <f t="shared" si="45"/>
        <v>Profit</v>
      </c>
      <c r="F991" t="str">
        <f t="shared" si="46"/>
        <v>Low</v>
      </c>
      <c r="G991" t="str">
        <f>VLOOKUP(A991,DataSet!$1:$1048576,5,FALSE)</f>
        <v>Isha Mehta</v>
      </c>
      <c r="H991" s="29">
        <f>INDEX(DataSet!B:B,MATCH('Advanced  Formulas'!A991,DataSet!A:A,0))</f>
        <v>46274</v>
      </c>
      <c r="I991" s="29">
        <f>INDEX(DataSet!C:C,MATCH('Advanced  Formulas'!A991,DataSet!A:A,0))</f>
        <v>46280</v>
      </c>
      <c r="J991" t="str">
        <f t="shared" si="47"/>
        <v>Review</v>
      </c>
      <c r="K991" s="10" t="str">
        <f>CONCATENATE(DataSet!E991,"-",DataSet!G991)</f>
        <v>Isha Mehta-Bhavnagar</v>
      </c>
    </row>
    <row r="992" spans="1:11">
      <c r="A992" t="str">
        <v>ORD-2026-00991</v>
      </c>
      <c r="B992" s="2">
        <v>3705</v>
      </c>
      <c r="C992" s="2">
        <v>913.96</v>
      </c>
      <c r="D992" s="28">
        <v>0.05</v>
      </c>
      <c r="E992" t="str">
        <f t="shared" si="45"/>
        <v>Profit</v>
      </c>
      <c r="F992" t="str">
        <f t="shared" si="46"/>
        <v>Medium</v>
      </c>
      <c r="G992" t="str">
        <f>VLOOKUP(A992,DataSet!$1:$1048576,5,FALSE)</f>
        <v>Meera Soni</v>
      </c>
      <c r="H992" s="29">
        <f>INDEX(DataSet!B:B,MATCH('Advanced  Formulas'!A992,DataSet!A:A,0))</f>
        <v>46217</v>
      </c>
      <c r="I992" s="29">
        <f>INDEX(DataSet!C:C,MATCH('Advanced  Formulas'!A992,DataSet!A:A,0))</f>
        <v>46219</v>
      </c>
      <c r="J992" t="str">
        <f t="shared" si="47"/>
        <v>Good Order</v>
      </c>
      <c r="K992" s="10" t="str">
        <f>CONCATENATE(DataSet!E992,"-",DataSet!G992)</f>
        <v>Meera Soni-Bengaluru</v>
      </c>
    </row>
    <row r="993" spans="1:11">
      <c r="A993" t="str">
        <v>ORD-2025-00992</v>
      </c>
      <c r="B993" s="2">
        <v>807.5</v>
      </c>
      <c r="C993" s="2">
        <v>283.83999999999997</v>
      </c>
      <c r="D993" s="28">
        <v>0.15</v>
      </c>
      <c r="E993" t="str">
        <f t="shared" si="45"/>
        <v>Profit</v>
      </c>
      <c r="F993" t="str">
        <f t="shared" si="46"/>
        <v>Low</v>
      </c>
      <c r="G993" t="str">
        <f>VLOOKUP(A993,DataSet!$1:$1048576,5,FALSE)</f>
        <v>Vivaan Desai</v>
      </c>
      <c r="H993" s="29">
        <f>INDEX(DataSet!B:B,MATCH('Advanced  Formulas'!A993,DataSet!A:A,0))</f>
        <v>45826</v>
      </c>
      <c r="I993" s="29">
        <f>INDEX(DataSet!C:C,MATCH('Advanced  Formulas'!A993,DataSet!A:A,0))</f>
        <v>45832</v>
      </c>
      <c r="J993" t="str">
        <f t="shared" si="47"/>
        <v>Review</v>
      </c>
      <c r="K993" s="10" t="str">
        <f>CONCATENATE(DataSet!E993,"-",DataSet!G993)</f>
        <v>Vivaan Desai-Rajkot</v>
      </c>
    </row>
    <row r="994" spans="1:11">
      <c r="A994" t="str">
        <v>ORD-2026-00993</v>
      </c>
      <c r="B994" s="2">
        <v>26000</v>
      </c>
      <c r="C994" s="2">
        <v>4960.45</v>
      </c>
      <c r="D994" s="28">
        <v>0</v>
      </c>
      <c r="E994" t="str">
        <f t="shared" si="45"/>
        <v>Profit</v>
      </c>
      <c r="F994" t="str">
        <f t="shared" si="46"/>
        <v>High</v>
      </c>
      <c r="G994" t="str">
        <f>VLOOKUP(A994,DataSet!$1:$1048576,5,FALSE)</f>
        <v>Vivaan Joshi</v>
      </c>
      <c r="H994" s="29">
        <f>INDEX(DataSet!B:B,MATCH('Advanced  Formulas'!A994,DataSet!A:A,0))</f>
        <v>46212</v>
      </c>
      <c r="I994" s="29">
        <f>INDEX(DataSet!C:C,MATCH('Advanced  Formulas'!A994,DataSet!A:A,0))</f>
        <v>46214</v>
      </c>
      <c r="J994" t="str">
        <f t="shared" si="47"/>
        <v>Good Order</v>
      </c>
      <c r="K994" s="10" t="str">
        <f>CONCATENATE(DataSet!E994,"-",DataSet!G994)</f>
        <v>Vivaan Joshi-Ahmedabad</v>
      </c>
    </row>
    <row r="995" spans="1:11">
      <c r="A995" t="str">
        <v>ORD-2024-00994</v>
      </c>
      <c r="B995" s="2">
        <v>5400</v>
      </c>
      <c r="C995" s="2">
        <v>1251.23</v>
      </c>
      <c r="D995" s="28">
        <v>0.1</v>
      </c>
      <c r="E995" t="str">
        <f t="shared" si="45"/>
        <v>Profit</v>
      </c>
      <c r="F995" t="str">
        <f t="shared" si="46"/>
        <v>Medium</v>
      </c>
      <c r="G995" t="str">
        <f>VLOOKUP(A995,DataSet!$1:$1048576,5,FALSE)</f>
        <v>Reyansh Joshi</v>
      </c>
      <c r="H995" s="29">
        <f>INDEX(DataSet!B:B,MATCH('Advanced  Formulas'!A995,DataSet!A:A,0))</f>
        <v>45496</v>
      </c>
      <c r="I995" s="29">
        <f>INDEX(DataSet!C:C,MATCH('Advanced  Formulas'!A995,DataSet!A:A,0))</f>
        <v>45497</v>
      </c>
      <c r="J995" t="str">
        <f t="shared" si="47"/>
        <v>Good Order</v>
      </c>
      <c r="K995" s="10" t="str">
        <f>CONCATENATE(DataSet!E995,"-",DataSet!G995)</f>
        <v>Reyansh Joshi-Mumbai</v>
      </c>
    </row>
    <row r="996" spans="1:11">
      <c r="A996" t="str">
        <v>ORD-2025-00995</v>
      </c>
      <c r="B996" s="2">
        <v>1275</v>
      </c>
      <c r="C996" s="2">
        <v>192.88</v>
      </c>
      <c r="D996" s="28">
        <v>0.15</v>
      </c>
      <c r="E996" t="str">
        <f t="shared" si="45"/>
        <v>Loss</v>
      </c>
      <c r="F996" t="str">
        <f t="shared" si="46"/>
        <v>Low</v>
      </c>
      <c r="G996" t="str">
        <f>VLOOKUP(A996,DataSet!$1:$1048576,5,FALSE)</f>
        <v>Sara Mehta</v>
      </c>
      <c r="H996" s="29">
        <f>INDEX(DataSet!B:B,MATCH('Advanced  Formulas'!A996,DataSet!A:A,0))</f>
        <v>45995</v>
      </c>
      <c r="I996" s="29">
        <f>INDEX(DataSet!C:C,MATCH('Advanced  Formulas'!A996,DataSet!A:A,0))</f>
        <v>46002</v>
      </c>
      <c r="J996" t="str">
        <f t="shared" si="47"/>
        <v>Review</v>
      </c>
      <c r="K996" s="10" t="str">
        <f>CONCATENATE(DataSet!E996,"-",DataSet!G996)</f>
        <v>Sara Mehta-Indore</v>
      </c>
    </row>
    <row r="997" spans="1:11">
      <c r="A997" t="str">
        <v>ORD-2025-00996</v>
      </c>
      <c r="B997" s="2">
        <v>4760</v>
      </c>
      <c r="C997" s="2">
        <v>1227.6400000000001</v>
      </c>
      <c r="D997" s="28">
        <v>0.15</v>
      </c>
      <c r="E997" t="str">
        <f t="shared" si="45"/>
        <v>Profit</v>
      </c>
      <c r="F997" t="str">
        <f t="shared" si="46"/>
        <v>Medium</v>
      </c>
      <c r="G997" t="str">
        <f>VLOOKUP(A997,DataSet!$1:$1048576,5,FALSE)</f>
        <v>Yusuf Trivedi</v>
      </c>
      <c r="H997" s="29">
        <f>INDEX(DataSet!B:B,MATCH('Advanced  Formulas'!A997,DataSet!A:A,0))</f>
        <v>45735</v>
      </c>
      <c r="I997" s="29">
        <f>INDEX(DataSet!C:C,MATCH('Advanced  Formulas'!A997,DataSet!A:A,0))</f>
        <v>45739</v>
      </c>
      <c r="J997" t="str">
        <f t="shared" si="47"/>
        <v>Good Order</v>
      </c>
      <c r="K997" s="10" t="str">
        <f>CONCATENATE(DataSet!E997,"-",DataSet!G997)</f>
        <v>Yusuf Trivedi-Pune</v>
      </c>
    </row>
    <row r="998" spans="1:11">
      <c r="A998" t="str">
        <v>ORD-2025-00997</v>
      </c>
      <c r="B998" s="2">
        <v>36125</v>
      </c>
      <c r="C998" s="2">
        <v>9065.56</v>
      </c>
      <c r="D998" s="28">
        <v>0.15</v>
      </c>
      <c r="E998" t="str">
        <f t="shared" si="45"/>
        <v>Profit</v>
      </c>
      <c r="F998" t="str">
        <f t="shared" si="46"/>
        <v>High</v>
      </c>
      <c r="G998" t="str">
        <f>VLOOKUP(A998,DataSet!$1:$1048576,5,FALSE)</f>
        <v>Dev Trivedi</v>
      </c>
      <c r="H998" s="29">
        <f>INDEX(DataSet!B:B,MATCH('Advanced  Formulas'!A998,DataSet!A:A,0))</f>
        <v>45752</v>
      </c>
      <c r="I998" s="29">
        <f>INDEX(DataSet!C:C,MATCH('Advanced  Formulas'!A998,DataSet!A:A,0))</f>
        <v>45754</v>
      </c>
      <c r="J998" t="str">
        <f t="shared" si="47"/>
        <v>Good Order</v>
      </c>
      <c r="K998" s="10" t="str">
        <f>CONCATENATE(DataSet!E998,"-",DataSet!G998)</f>
        <v>Dev Trivedi-Indore</v>
      </c>
    </row>
    <row r="999" spans="1:11">
      <c r="A999" t="str">
        <v>ORD-2024-00998</v>
      </c>
      <c r="B999" s="2">
        <v>2137.5</v>
      </c>
      <c r="C999" s="2">
        <v>659.88</v>
      </c>
      <c r="D999" s="28">
        <v>0.05</v>
      </c>
      <c r="E999" t="str">
        <f t="shared" si="45"/>
        <v>Profit</v>
      </c>
      <c r="F999" t="str">
        <f t="shared" si="46"/>
        <v>Low</v>
      </c>
      <c r="G999" t="str">
        <f>VLOOKUP(A999,DataSet!$1:$1048576,5,FALSE)</f>
        <v>Zoya Trivedi</v>
      </c>
      <c r="H999" s="29">
        <f>INDEX(DataSet!B:B,MATCH('Advanced  Formulas'!A999,DataSet!A:A,0))</f>
        <v>45409</v>
      </c>
      <c r="I999" s="29">
        <f>INDEX(DataSet!C:C,MATCH('Advanced  Formulas'!A999,DataSet!A:A,0))</f>
        <v>45411</v>
      </c>
      <c r="J999" t="str">
        <f t="shared" si="47"/>
        <v>Review</v>
      </c>
      <c r="K999" s="10" t="str">
        <f>CONCATENATE(DataSet!E999,"-",DataSet!G999)</f>
        <v>Zoya Trivedi-Hyderabad</v>
      </c>
    </row>
    <row r="1000" spans="1:11">
      <c r="A1000" t="str">
        <v>ORD-2024-00999</v>
      </c>
      <c r="B1000" s="2">
        <v>5220</v>
      </c>
      <c r="C1000" s="2">
        <v>1135.1300000000001</v>
      </c>
      <c r="D1000" s="28">
        <v>0.1</v>
      </c>
      <c r="E1000" t="str">
        <f t="shared" si="45"/>
        <v>Profit</v>
      </c>
      <c r="F1000" t="str">
        <f t="shared" si="46"/>
        <v>Medium</v>
      </c>
      <c r="G1000" t="str">
        <f>VLOOKUP(A1000,DataSet!$1:$1048576,5,FALSE)</f>
        <v>Myra Soni</v>
      </c>
      <c r="H1000" s="29">
        <f>INDEX(DataSet!B:B,MATCH('Advanced  Formulas'!A1000,DataSet!A:A,0))</f>
        <v>45417</v>
      </c>
      <c r="I1000" s="29">
        <f>INDEX(DataSet!C:C,MATCH('Advanced  Formulas'!A1000,DataSet!A:A,0))</f>
        <v>45418</v>
      </c>
      <c r="J1000" t="str">
        <f t="shared" si="47"/>
        <v>Good Order</v>
      </c>
      <c r="K1000" s="10" t="str">
        <f>CONCATENATE(DataSet!E1000,"-",DataSet!G1000)</f>
        <v>Myra Soni-Mumbai</v>
      </c>
    </row>
    <row r="1001" spans="1:11">
      <c r="A1001" t="str">
        <v>ORD-2024-01000</v>
      </c>
      <c r="B1001" s="2">
        <v>720</v>
      </c>
      <c r="C1001" s="2">
        <v>138.19999999999999</v>
      </c>
      <c r="D1001" s="28">
        <v>0.2</v>
      </c>
      <c r="E1001" t="str">
        <f t="shared" si="45"/>
        <v>Loss</v>
      </c>
      <c r="F1001" t="str">
        <f t="shared" si="46"/>
        <v>Low</v>
      </c>
      <c r="G1001" t="str">
        <f>VLOOKUP(A1001,DataSet!$1:$1048576,5,FALSE)</f>
        <v>Kabir Dave</v>
      </c>
      <c r="H1001" s="29">
        <f>INDEX(DataSet!B:B,MATCH('Advanced  Formulas'!A1001,DataSet!A:A,0))</f>
        <v>45582</v>
      </c>
      <c r="I1001" s="29">
        <f>INDEX(DataSet!C:C,MATCH('Advanced  Formulas'!A1001,DataSet!A:A,0))</f>
        <v>45587</v>
      </c>
      <c r="J1001" t="str">
        <f t="shared" si="47"/>
        <v>Review</v>
      </c>
      <c r="K1001" s="10" t="str">
        <f>CONCATENATE(DataSet!E1001,"-",DataSet!G1001)</f>
        <v>Kabir Dave-Vadodara</v>
      </c>
    </row>
  </sheetData>
  <conditionalFormatting sqref="F1:F1048576">
    <cfRule type="containsText" dxfId="5" priority="5" operator="containsText" text="High">
      <formula>NOT(ISERROR(SEARCH("High",F1)))</formula>
    </cfRule>
  </conditionalFormatting>
  <conditionalFormatting sqref="D1:D1048576">
    <cfRule type="cellIs" dxfId="4" priority="3" operator="greaterThan">
      <formula>$D$3</formula>
    </cfRule>
  </conditionalFormatting>
  <conditionalFormatting sqref="B1:B1048576">
    <cfRule type="cellIs" dxfId="3" priority="2" operator="greaterThan">
      <formula>$B$2</formula>
    </cfRule>
  </conditionalFormatting>
  <conditionalFormatting sqref="C1:C1048576">
    <cfRule type="cellIs" dxfId="2" priority="1" operator="lessThan">
      <formula>1000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5F208AA2-05B0-438D-A70A-393DF4FF6E63}">
            <xm:f>NOT(ISERROR(SEARCH($E$2,E1)))</xm:f>
            <xm:f>$E$2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E1:E1048576</xm:sqref>
        </x14:conditionalFormatting>
        <x14:conditionalFormatting xmlns:xm="http://schemas.microsoft.com/office/excel/2006/main">
          <x14:cfRule type="containsText" priority="4" operator="containsText" id="{27AE6D3F-5698-40E8-8472-9418EE29E357}">
            <xm:f>NOT(ISERROR(SEARCH($J$3,J1)))</xm:f>
            <xm:f>$J$3</xm:f>
            <x14:dxf>
              <fill>
                <patternFill>
                  <bgColor rgb="FFFFC7CE"/>
                </patternFill>
              </fill>
            </x14:dxf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2026-09-24T10:38:34Z</dcterms:created>
  <dcterms:modified xsi:type="dcterms:W3CDTF">2026-10-10T06:26:08Z</dcterms:modified>
  <cp:category/>
  <cp:contentStatus/>
</cp:coreProperties>
</file>